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k\Desktop\UIA\uia_powerbi_complete_forecast_model\"/>
    </mc:Choice>
  </mc:AlternateContent>
  <xr:revisionPtr revIDLastSave="0" documentId="13_ncr:1_{FFCD6894-6787-43EA-83BA-869A99FE1008}" xr6:coauthVersionLast="47" xr6:coauthVersionMax="47" xr10:uidLastSave="{00000000-0000-0000-0000-000000000000}"/>
  <bookViews>
    <workbookView xWindow="-120" yWindow="-16320" windowWidth="29040" windowHeight="15720" xr2:uid="{C8903971-0728-4D63-A9F2-FF4BD0DB1D28}"/>
  </bookViews>
  <sheets>
    <sheet name="Executive" sheetId="2" r:id="rId1"/>
    <sheet name="Monthly" sheetId="3" r:id="rId2"/>
    <sheet name="Faculty" sheetId="4" r:id="rId3"/>
    <sheet name="Institute" sheetId="12" r:id="rId4"/>
    <sheet name="AccountVariance" sheetId="15" r:id="rId5"/>
    <sheet name="Projects" sheetId="5" r:id="rId6"/>
    <sheet name="FTE" sheetId="6" r:id="rId7"/>
    <sheet name="StudyPrograms" sheetId="13" r:id="rId8"/>
    <sheet name="Actions" sheetId="14" r:id="rId9"/>
    <sheet name="ActionStatus" sheetId="7" r:id="rId10"/>
    <sheet name="QA" sheetId="9" r:id="rId11"/>
    <sheet name="Relationships" sheetId="10" r:id="rId12"/>
    <sheet name="ModelGuide" sheetId="11" r:id="rId13"/>
    <sheet name="Glossary" sheetId="23" r:id="rId14"/>
    <sheet name="DimDate" sheetId="20" r:id="rId15"/>
    <sheet name="DimOrganization" sheetId="21" r:id="rId16"/>
    <sheet name="DimAccount" sheetId="16" r:id="rId17"/>
    <sheet name="DimProject" sheetId="19" r:id="rId18"/>
    <sheet name="DimForecastVersion" sheetId="17" r:id="rId19"/>
    <sheet name="DimPositionGroup" sheetId="18" r:id="rId20"/>
    <sheet name="DimStudyProgram" sheetId="22" r:id="rId21"/>
    <sheet name="Benchmarks" sheetId="8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6" i="8" l="1"/>
  <c r="B15" i="8"/>
  <c r="B14" i="8"/>
  <c r="B11" i="8"/>
  <c r="J37" i="13"/>
  <c r="J36" i="13"/>
  <c r="J35" i="13"/>
  <c r="J34" i="13"/>
  <c r="J33" i="13"/>
  <c r="J32" i="13"/>
  <c r="J31" i="13"/>
  <c r="J30" i="13"/>
  <c r="J29" i="13"/>
  <c r="J28" i="13"/>
  <c r="J27" i="13"/>
  <c r="J26" i="13"/>
  <c r="J25" i="13"/>
  <c r="J24" i="13"/>
  <c r="J23" i="13"/>
  <c r="J22" i="13"/>
  <c r="J21" i="13"/>
  <c r="J20" i="13"/>
  <c r="J19" i="13"/>
  <c r="J18" i="13"/>
  <c r="J17" i="13"/>
  <c r="J16" i="13"/>
  <c r="J15" i="13"/>
  <c r="J14" i="13"/>
  <c r="J13" i="13"/>
  <c r="J12" i="13"/>
  <c r="J11" i="13"/>
  <c r="J10" i="13"/>
  <c r="J9" i="13"/>
  <c r="J8" i="13"/>
  <c r="J7" i="13"/>
  <c r="J6" i="13"/>
  <c r="J5" i="13"/>
  <c r="J4" i="13"/>
  <c r="J3" i="13"/>
  <c r="J2" i="13"/>
  <c r="I41" i="15"/>
  <c r="I40" i="15"/>
  <c r="I39" i="15"/>
  <c r="I38" i="15"/>
  <c r="I37" i="15"/>
  <c r="I36" i="15"/>
  <c r="I35" i="15"/>
  <c r="I34" i="15"/>
  <c r="I33" i="15"/>
  <c r="I32" i="15"/>
  <c r="I31" i="15"/>
  <c r="I30" i="15"/>
  <c r="I29" i="15"/>
  <c r="I28" i="15"/>
  <c r="I27" i="15"/>
  <c r="I26" i="15"/>
  <c r="I25" i="15"/>
  <c r="I24" i="15"/>
  <c r="I23" i="15"/>
  <c r="I22" i="15"/>
  <c r="I21" i="15"/>
  <c r="I20" i="15"/>
  <c r="I19" i="15"/>
  <c r="I18" i="15"/>
  <c r="I17" i="15"/>
  <c r="I16" i="15"/>
  <c r="I15" i="15"/>
  <c r="I14" i="15"/>
  <c r="I13" i="15"/>
  <c r="I12" i="15"/>
  <c r="I11" i="15"/>
  <c r="I10" i="15"/>
  <c r="I9" i="15"/>
  <c r="I8" i="15"/>
  <c r="I7" i="15"/>
  <c r="I6" i="15"/>
  <c r="I5" i="15"/>
  <c r="I4" i="15"/>
  <c r="I3" i="15"/>
  <c r="I2" i="15"/>
  <c r="H41" i="15"/>
  <c r="H40" i="15"/>
  <c r="H39" i="15"/>
  <c r="H38" i="15"/>
  <c r="H37" i="15"/>
  <c r="H36" i="15"/>
  <c r="H35" i="15"/>
  <c r="H34" i="15"/>
  <c r="H33" i="15"/>
  <c r="H32" i="15"/>
  <c r="H31" i="15"/>
  <c r="H30" i="15"/>
  <c r="H29" i="15"/>
  <c r="H28" i="15"/>
  <c r="H27" i="15"/>
  <c r="H26" i="15"/>
  <c r="H25" i="15"/>
  <c r="H24" i="15"/>
  <c r="H23" i="15"/>
  <c r="H22" i="15"/>
  <c r="H21" i="15"/>
  <c r="H20" i="15"/>
  <c r="H19" i="15"/>
  <c r="H18" i="15"/>
  <c r="H17" i="15"/>
  <c r="H16" i="15"/>
  <c r="H15" i="15"/>
  <c r="H14" i="15"/>
  <c r="H13" i="15"/>
  <c r="H12" i="15"/>
  <c r="H11" i="15"/>
  <c r="H10" i="15"/>
  <c r="H9" i="15"/>
  <c r="H8" i="15"/>
  <c r="H7" i="15"/>
  <c r="H6" i="15"/>
  <c r="H5" i="15"/>
  <c r="H4" i="15"/>
  <c r="H3" i="15"/>
  <c r="H2" i="15"/>
  <c r="J5" i="5"/>
  <c r="J4" i="5"/>
  <c r="J3" i="5"/>
  <c r="J2" i="5"/>
  <c r="I5" i="5"/>
  <c r="I4" i="5"/>
  <c r="I3" i="5"/>
  <c r="I2" i="5"/>
  <c r="I21" i="12"/>
  <c r="I20" i="12"/>
  <c r="I19" i="12"/>
  <c r="I18" i="12"/>
  <c r="I17" i="12"/>
  <c r="I16" i="12"/>
  <c r="I15" i="12"/>
  <c r="I14" i="12"/>
  <c r="I13" i="12"/>
  <c r="I12" i="12"/>
  <c r="I11" i="12"/>
  <c r="I10" i="12"/>
  <c r="I9" i="12"/>
  <c r="I8" i="12"/>
  <c r="I7" i="12"/>
  <c r="I6" i="12"/>
  <c r="I5" i="12"/>
  <c r="I4" i="12"/>
  <c r="I3" i="12"/>
  <c r="I2" i="12"/>
  <c r="H21" i="12"/>
  <c r="H20" i="12"/>
  <c r="H19" i="12"/>
  <c r="H18" i="12"/>
  <c r="H17" i="12"/>
  <c r="H16" i="12"/>
  <c r="H15" i="12"/>
  <c r="H14" i="12"/>
  <c r="H13" i="12"/>
  <c r="H12" i="12"/>
  <c r="H11" i="12"/>
  <c r="H10" i="12"/>
  <c r="H9" i="12"/>
  <c r="H8" i="12"/>
  <c r="H7" i="12"/>
  <c r="H6" i="12"/>
  <c r="H5" i="12"/>
  <c r="H4" i="12"/>
  <c r="H3" i="12"/>
  <c r="H2" i="12"/>
  <c r="G8" i="4"/>
  <c r="G7" i="4"/>
  <c r="G6" i="4"/>
  <c r="G5" i="4"/>
  <c r="G4" i="4"/>
  <c r="G3" i="4"/>
  <c r="G2" i="4"/>
  <c r="F8" i="4"/>
  <c r="F7" i="4"/>
  <c r="F6" i="4"/>
  <c r="F5" i="4"/>
  <c r="F4" i="4"/>
  <c r="F3" i="4"/>
  <c r="F2" i="4"/>
  <c r="F2" i="9"/>
  <c r="G2" i="9"/>
  <c r="H2" i="9"/>
  <c r="A8" i="2"/>
  <c r="B8" i="2"/>
  <c r="C8" i="2"/>
  <c r="D8" i="2"/>
  <c r="A5" i="2"/>
  <c r="B5" i="2"/>
  <c r="C5" i="2"/>
  <c r="D5" i="2"/>
</calcChain>
</file>

<file path=xl/sharedStrings.xml><?xml version="1.0" encoding="utf-8"?>
<sst xmlns="http://schemas.openxmlformats.org/spreadsheetml/2006/main" count="3811" uniqueCount="892">
  <si>
    <t>Maaned</t>
  </si>
  <si>
    <t>Dato</t>
  </si>
  <si>
    <t>Regnskap</t>
  </si>
  <si>
    <t>Budsjett</t>
  </si>
  <si>
    <t>FC1_2026</t>
  </si>
  <si>
    <t>FC2_2026</t>
  </si>
  <si>
    <t>LE_2026</t>
  </si>
  <si>
    <t>Fakultet</t>
  </si>
  <si>
    <t>Fakultetsnavn</t>
  </si>
  <si>
    <t>LE</t>
  </si>
  <si>
    <t>Forecastavvik</t>
  </si>
  <si>
    <t>ForecastavvikPct</t>
  </si>
  <si>
    <t>Aarsverk</t>
  </si>
  <si>
    <t>FagligeAarsverk</t>
  </si>
  <si>
    <t>RegistrerteStudenter</t>
  </si>
  <si>
    <t>StudenterPerFagligAarsverk</t>
  </si>
  <si>
    <t>FAK-HH</t>
  </si>
  <si>
    <t>Handelshoyskolen</t>
  </si>
  <si>
    <t>FAK-HI</t>
  </si>
  <si>
    <t>Helse- og idrettsvitenskap</t>
  </si>
  <si>
    <t>FAK-HP</t>
  </si>
  <si>
    <t>Humaniora og pedagogikk</t>
  </si>
  <si>
    <t>FAK-KF</t>
  </si>
  <si>
    <t>Kunstfag</t>
  </si>
  <si>
    <t>FAK-SV</t>
  </si>
  <si>
    <t>Samfunnsvitenskap</t>
  </si>
  <si>
    <t>FAK-TR</t>
  </si>
  <si>
    <t>Teknologi og realfag</t>
  </si>
  <si>
    <t>FEL-ADM</t>
  </si>
  <si>
    <t>Fellesadministrasjon</t>
  </si>
  <si>
    <t>Prosjekt</t>
  </si>
  <si>
    <t>Prosjektnavn</t>
  </si>
  <si>
    <t>Finansieringstype</t>
  </si>
  <si>
    <t>Finansieringskilde</t>
  </si>
  <si>
    <t>Prosjektkategori</t>
  </si>
  <si>
    <t>DRIFT</t>
  </si>
  <si>
    <t>Ordinær drift</t>
  </si>
  <si>
    <t>Bevilgning</t>
  </si>
  <si>
    <t>KD</t>
  </si>
  <si>
    <t>Drift</t>
  </si>
  <si>
    <t>EU001</t>
  </si>
  <si>
    <t>Horisont Europa prosjekt</t>
  </si>
  <si>
    <t>Bidrag</t>
  </si>
  <si>
    <t>EU</t>
  </si>
  <si>
    <t>Forskning</t>
  </si>
  <si>
    <t>EVU001</t>
  </si>
  <si>
    <t>Etter- og videreutdanning</t>
  </si>
  <si>
    <t>Oppdrag</t>
  </si>
  <si>
    <t>Ekstern</t>
  </si>
  <si>
    <t>Utdanning</t>
  </si>
  <si>
    <t>NFR001</t>
  </si>
  <si>
    <t>NFR forskningsprosjekt A</t>
  </si>
  <si>
    <t>NFR</t>
  </si>
  <si>
    <t>Stillingsgruppe</t>
  </si>
  <si>
    <t>Stillingsgruppenavn</t>
  </si>
  <si>
    <t>Stillingskategori</t>
  </si>
  <si>
    <t>ADM</t>
  </si>
  <si>
    <t>Administrativ</t>
  </si>
  <si>
    <t>Teknisk-administrativ</t>
  </si>
  <si>
    <t>FORST</t>
  </si>
  <si>
    <t>Forsteamanuensis/forstelektor</t>
  </si>
  <si>
    <t>Vitenskapelig</t>
  </si>
  <si>
    <t>PROF</t>
  </si>
  <si>
    <t>Professor/dosent</t>
  </si>
  <si>
    <t>REKR</t>
  </si>
  <si>
    <t>Stipendiat/postdoktor</t>
  </si>
  <si>
    <t>Rekruttering</t>
  </si>
  <si>
    <t>TEK</t>
  </si>
  <si>
    <t>Teknisk</t>
  </si>
  <si>
    <t>Status</t>
  </si>
  <si>
    <t>ForventetEffekt</t>
  </si>
  <si>
    <t>RealisertEffekt</t>
  </si>
  <si>
    <t>Antall</t>
  </si>
  <si>
    <t>Forsinket</t>
  </si>
  <si>
    <t>Gjennomfort</t>
  </si>
  <si>
    <t>Pagar</t>
  </si>
  <si>
    <t>Planlagt</t>
  </si>
  <si>
    <t>Nøkkeltall</t>
  </si>
  <si>
    <t>Verdi</t>
  </si>
  <si>
    <t>Enhet</t>
  </si>
  <si>
    <t>Kilderader – totalt</t>
  </si>
  <si>
    <t>rader</t>
  </si>
  <si>
    <t>FactGL – transaksjoner</t>
  </si>
  <si>
    <t>Bokførte inntekter</t>
  </si>
  <si>
    <t>NOK</t>
  </si>
  <si>
    <t>Driftskostnader</t>
  </si>
  <si>
    <t>Netto regnskap</t>
  </si>
  <si>
    <t>Årsbudsjett</t>
  </si>
  <si>
    <t>Forecast FC1</t>
  </si>
  <si>
    <t>Forecast FC2</t>
  </si>
  <si>
    <t>Latest Estimate</t>
  </si>
  <si>
    <t>Forventet tiltakseffekt</t>
  </si>
  <si>
    <t>Realisert tiltakseffekt</t>
  </si>
  <si>
    <t>Realiseringsgrad</t>
  </si>
  <si>
    <t>%</t>
  </si>
  <si>
    <t>Forecast etter tiltak</t>
  </si>
  <si>
    <t>Restavvik etter tiltak</t>
  </si>
  <si>
    <t>BOA-inntekter</t>
  </si>
  <si>
    <t>Årsverk siste måned</t>
  </si>
  <si>
    <t>FTE</t>
  </si>
  <si>
    <t>Faglige årsverk siste måned</t>
  </si>
  <si>
    <t>Registrerte studenter siste måned</t>
  </si>
  <si>
    <t>antall</t>
  </si>
  <si>
    <t>Avlagte studiepoeng helår</t>
  </si>
  <si>
    <t>SP</t>
  </si>
  <si>
    <t>SPE60 helår</t>
  </si>
  <si>
    <t>SPE60</t>
  </si>
  <si>
    <t>Relasjon</t>
  </si>
  <si>
    <t>Faktarader</t>
  </si>
  <si>
    <t>Orphans</t>
  </si>
  <si>
    <t>DimDate[DatoNokkel] → FactGL[DatoNokkel]</t>
  </si>
  <si>
    <t>OK</t>
  </si>
  <si>
    <t>DimOrganization[Organisasjonsnokkel] → FactGL[Organisasjonsnokkel]</t>
  </si>
  <si>
    <t>DimAccount[Konto] → FactGL[Konto]</t>
  </si>
  <si>
    <t>DimProject[Prosjekt] → FactGL[Prosjekt]</t>
  </si>
  <si>
    <t>DimDate[DatoNokkel] → FactBudget[DatoNokkel]</t>
  </si>
  <si>
    <t>DimOrganization[Organisasjonsnokkel] → FactBudget[Organisasjonsnokkel]</t>
  </si>
  <si>
    <t>DimAccount[Konto] → FactBudget[Konto]</t>
  </si>
  <si>
    <t>DimProject[Prosjekt] → FactBudget[Prosjekt]</t>
  </si>
  <si>
    <t>DimDate[DatoNokkel] → FactForecast[DatoNokkel]</t>
  </si>
  <si>
    <t>DimOrganization[Organisasjonsnokkel] → FactForecast[Organisasjonsnokkel]</t>
  </si>
  <si>
    <t>DimAccount[Konto] → FactForecast[Konto]</t>
  </si>
  <si>
    <t>DimProject[Prosjekt] → FactForecast[Prosjekt]</t>
  </si>
  <si>
    <t>DimForecastVersion[Versjon] → FactForecast[Versjon]</t>
  </si>
  <si>
    <t>DimDate[DatoNokkel] → FactFTE[DatoNokkel]</t>
  </si>
  <si>
    <t>DimOrganization[Organisasjonsnokkel] → FactFTE[Organisasjonsnokkel]</t>
  </si>
  <si>
    <t>DimDate[DatoNokkel] → FactStudyPoints[DatoNokkel]</t>
  </si>
  <si>
    <t>DimOrganization[Organisasjonsnokkel] → FactStudyPoints[Organisasjonsnokkel]</t>
  </si>
  <si>
    <t>DimPositionGroup[Stillingsgruppe] → FactFTE[Stillingsgruppe]</t>
  </si>
  <si>
    <t>DimStudyProgram[Studieprogram] → FactStudyPoints[Studieprogram]</t>
  </si>
  <si>
    <t>DimOrganization[Organisasjonsnokkel] → FactAction[Organisasjonsnokkel]</t>
  </si>
  <si>
    <t>DimAccount[Konto] → FactAction[Konto]</t>
  </si>
  <si>
    <t>DimProject[Prosjekt] → FactAction[Prosjekt]</t>
  </si>
  <si>
    <t>FraTabell</t>
  </si>
  <si>
    <t>FraKolonne</t>
  </si>
  <si>
    <t>TilTabell</t>
  </si>
  <si>
    <t>TilKolonne</t>
  </si>
  <si>
    <t>Kardinalitet</t>
  </si>
  <si>
    <t>Kryssfiltrering</t>
  </si>
  <si>
    <t>DimDate</t>
  </si>
  <si>
    <t>DatoNokkel</t>
  </si>
  <si>
    <t>FactGL</t>
  </si>
  <si>
    <t>1:*</t>
  </si>
  <si>
    <t>Single</t>
  </si>
  <si>
    <t>Active</t>
  </si>
  <si>
    <t>DimOrganization</t>
  </si>
  <si>
    <t>Organisasjonsnokkel</t>
  </si>
  <si>
    <t>DimAccount</t>
  </si>
  <si>
    <t>Konto</t>
  </si>
  <si>
    <t>DimProject</t>
  </si>
  <si>
    <t>FactBudget</t>
  </si>
  <si>
    <t>FactForecast</t>
  </si>
  <si>
    <t>DimForecastVersion</t>
  </si>
  <si>
    <t>Versjon</t>
  </si>
  <si>
    <t>FactFTE</t>
  </si>
  <si>
    <t>FactStudyPoints</t>
  </si>
  <si>
    <t>DimPositionGroup</t>
  </si>
  <si>
    <t>DimStudyProgram</t>
  </si>
  <si>
    <t>Studieprogram</t>
  </si>
  <si>
    <t>FactAction</t>
  </si>
  <si>
    <t>Tabell</t>
  </si>
  <si>
    <t>Type</t>
  </si>
  <si>
    <t>Rader</t>
  </si>
  <si>
    <t>Kolonner</t>
  </si>
  <si>
    <t>Felt</t>
  </si>
  <si>
    <t>Relationships</t>
  </si>
  <si>
    <t>Metadata</t>
  </si>
  <si>
    <t>FraTabell, FraKolonne, TilTabell, TilKolonne, Kardinalitet, Kryssfiltrering, Status</t>
  </si>
  <si>
    <t>Dimensjon</t>
  </si>
  <si>
    <t>Studieprogram, Studieprogramnavn, Studienivaa, NormerteStudiepoeng, Institutt, Fakultet</t>
  </si>
  <si>
    <t>Organisasjonsnokkel, Fakultet, Fakultetsnavn, Institutt, Instituttnavn, Koststed, Koststednavn, Koststedtype</t>
  </si>
  <si>
    <t>Fakta</t>
  </si>
  <si>
    <t>DatoNokkel, Organisasjonsnokkel, Konto, Prosjekt, BudsjettBelop, Scenario</t>
  </si>
  <si>
    <t>Bilag, DatoNokkel, Organisasjonsnokkel, Konto, Prosjekt, Belop_signert, Tekst, Datakilde</t>
  </si>
  <si>
    <t>DatoNokkel, Organisasjonsnokkel, Konto, Prosjekt, Versjon, ForecastBelop, Datastatus, Sannsynlighet, Kommentar</t>
  </si>
  <si>
    <t>DimGlossary</t>
  </si>
  <si>
    <t>BegrepID, Begrep, FulltNavn, Kategori, Definisjon, PraktiskTolkning, FormelDAX, RolleKontekst, RelevantRapport</t>
  </si>
  <si>
    <t>Versjon, Versjonsnavn, Sortering</t>
  </si>
  <si>
    <t>Dato, DatoNokkel, Aar, Kvartal, MaanedNr, AarMaaned, MaanedStart</t>
  </si>
  <si>
    <t>Konto, StandardKonto3, Kontonavn, Kontoklasse, Kontogruppe, Kontotype, SRS_regnskapslinje, AktuellFor</t>
  </si>
  <si>
    <t>Prosjekt, Prosjektnavn, Finansieringstype, Finansieringskilde, Prosjektkategori</t>
  </si>
  <si>
    <t>Stillingsgruppe, Stillingsgruppenavn, Stillingskategori</t>
  </si>
  <si>
    <t>DatoNokkel, Organisasjonsnokkel, Studieprogram, RegistrerteStudenter, PlanlagteStudiepoeng, AvlagteStudiepoeng, SPE60, BestattAndel</t>
  </si>
  <si>
    <t>TiltakID, Organisasjonsnokkel, Prosjekt, Konto, Avviksarsak, Tiltaksbeskrivelse, AnsvarligRolle, StartDatoNokkel, FristDatoNokkel, ForventetEffekt, RealisertEffekt, Status, Prioritet, Sannsynlighet</t>
  </si>
  <si>
    <t>DatoNokkel, Organisasjonsnokkel, Stillingsgruppe, Aarsverk, FagligeAarsverk, Scenario</t>
  </si>
  <si>
    <t>Virksomhetsstyring 2026 | Executive Cockpit</t>
  </si>
  <si>
    <t>Excel-modell basert på alle 109 396 leverte kilderader • Regnskap, budsjett, forecast, tiltak, bemanning og studieproduksjon</t>
  </si>
  <si>
    <t>Årsverk</t>
  </si>
  <si>
    <t>Styringssignal</t>
  </si>
  <si>
    <t>Terskel / nivå</t>
  </si>
  <si>
    <t>Anbefalt handling</t>
  </si>
  <si>
    <t>RØD</t>
  </si>
  <si>
    <t>&gt; 5%</t>
  </si>
  <si>
    <t>Krev korrigerende tiltak</t>
  </si>
  <si>
    <t>Tiltaksrealisering</t>
  </si>
  <si>
    <t>GUL</t>
  </si>
  <si>
    <t>55,6% mot mål &gt;70%</t>
  </si>
  <si>
    <t>Akselerer realisering</t>
  </si>
  <si>
    <t>Studiepoengmål</t>
  </si>
  <si>
    <t>86,4% mot mål ≥90%</t>
  </si>
  <si>
    <t>Følg opp programnivå</t>
  </si>
  <si>
    <t>Institutt</t>
  </si>
  <si>
    <t>Instituttnavn</t>
  </si>
  <si>
    <t>I001</t>
  </si>
  <si>
    <t>Institutt/enhet 1 - Handelshoyskolen</t>
  </si>
  <si>
    <t>I002</t>
  </si>
  <si>
    <t>Institutt/enhet 2 - Handelshoyskolen</t>
  </si>
  <si>
    <t>I003</t>
  </si>
  <si>
    <t>Institutt/enhet 3 - Handelshoyskolen</t>
  </si>
  <si>
    <t>I004</t>
  </si>
  <si>
    <t>Institutt/enhet 1 - Helse- og idrettsvitenskap</t>
  </si>
  <si>
    <t>I005</t>
  </si>
  <si>
    <t>Institutt/enhet 2 - Helse- og idrettsvitenskap</t>
  </si>
  <si>
    <t>I006</t>
  </si>
  <si>
    <t>Institutt/enhet 3 - Helse- og idrettsvitenskap</t>
  </si>
  <si>
    <t>I007</t>
  </si>
  <si>
    <t>Institutt/enhet 1 - Humaniora og pedagogikk</t>
  </si>
  <si>
    <t>I008</t>
  </si>
  <si>
    <t>Institutt/enhet 2 - Humaniora og pedagogikk</t>
  </si>
  <si>
    <t>I009</t>
  </si>
  <si>
    <t>Institutt/enhet 3 - Humaniora og pedagogikk</t>
  </si>
  <si>
    <t>I010</t>
  </si>
  <si>
    <t>Institutt/enhet 1 - Kunstfag</t>
  </si>
  <si>
    <t>I011</t>
  </si>
  <si>
    <t>Institutt/enhet 2 - Kunstfag</t>
  </si>
  <si>
    <t>I012</t>
  </si>
  <si>
    <t>Institutt/enhet 3 - Kunstfag</t>
  </si>
  <si>
    <t>I013</t>
  </si>
  <si>
    <t>Institutt/enhet 1 - Samfunnsvitenskap</t>
  </si>
  <si>
    <t>I014</t>
  </si>
  <si>
    <t>Institutt/enhet 2 - Samfunnsvitenskap</t>
  </si>
  <si>
    <t>I015</t>
  </si>
  <si>
    <t>Institutt/enhet 3 - Samfunnsvitenskap</t>
  </si>
  <si>
    <t>I016</t>
  </si>
  <si>
    <t>Institutt/enhet 1 - Teknologi og realfag</t>
  </si>
  <si>
    <t>I017</t>
  </si>
  <si>
    <t>Institutt/enhet 2 - Teknologi og realfag</t>
  </si>
  <si>
    <t>I018</t>
  </si>
  <si>
    <t>Institutt/enhet 3 - Teknologi og realfag</t>
  </si>
  <si>
    <t>I019</t>
  </si>
  <si>
    <t>Institutt/enhet 1 - Fellesadministrasjon</t>
  </si>
  <si>
    <t>I020</t>
  </si>
  <si>
    <t>Institutt/enhet 2 - Fellesadministrasjon</t>
  </si>
  <si>
    <t>Studieprogramnavn</t>
  </si>
  <si>
    <t>Studienivaa</t>
  </si>
  <si>
    <t>PlanlagteStudiepoeng</t>
  </si>
  <si>
    <t>AvlagteStudiepoeng</t>
  </si>
  <si>
    <t>Maaloppnaaelse</t>
  </si>
  <si>
    <t>I001BA</t>
  </si>
  <si>
    <t>Bachelorprogram Institutt/enhet 1 - Handelshoyskolen</t>
  </si>
  <si>
    <t>Bachelor</t>
  </si>
  <si>
    <t>I001MA</t>
  </si>
  <si>
    <t>Masterprogram Institutt/enhet 1 - Handelshoyskolen</t>
  </si>
  <si>
    <t>Master</t>
  </si>
  <si>
    <t>I002BA</t>
  </si>
  <si>
    <t>Bachelorprogram Institutt/enhet 2 - Handelshoyskolen</t>
  </si>
  <si>
    <t>I002MA</t>
  </si>
  <si>
    <t>Masterprogram Institutt/enhet 2 - Handelshoyskolen</t>
  </si>
  <si>
    <t>I003BA</t>
  </si>
  <si>
    <t>Bachelorprogram Institutt/enhet 3 - Handelshoyskolen</t>
  </si>
  <si>
    <t>I003MA</t>
  </si>
  <si>
    <t>Masterprogram Institutt/enhet 3 - Handelshoyskolen</t>
  </si>
  <si>
    <t>I004BA</t>
  </si>
  <si>
    <t>Bachelorprogram Institutt/enhet 1 - Helse- og idrettsvitenskap</t>
  </si>
  <si>
    <t>I004MA</t>
  </si>
  <si>
    <t>Masterprogram Institutt/enhet 1 - Helse- og idrettsvitenskap</t>
  </si>
  <si>
    <t>I005BA</t>
  </si>
  <si>
    <t>Bachelorprogram Institutt/enhet 2 - Helse- og idrettsvitenskap</t>
  </si>
  <si>
    <t>I005MA</t>
  </si>
  <si>
    <t>Masterprogram Institutt/enhet 2 - Helse- og idrettsvitenskap</t>
  </si>
  <si>
    <t>I006BA</t>
  </si>
  <si>
    <t>Bachelorprogram Institutt/enhet 3 - Helse- og idrettsvitenskap</t>
  </si>
  <si>
    <t>I006MA</t>
  </si>
  <si>
    <t>Masterprogram Institutt/enhet 3 - Helse- og idrettsvitenskap</t>
  </si>
  <si>
    <t>I007BA</t>
  </si>
  <si>
    <t>Bachelorprogram Institutt/enhet 1 - Humaniora og pedagogikk</t>
  </si>
  <si>
    <t>I007MA</t>
  </si>
  <si>
    <t>Masterprogram Institutt/enhet 1 - Humaniora og pedagogikk</t>
  </si>
  <si>
    <t>I008BA</t>
  </si>
  <si>
    <t>Bachelorprogram Institutt/enhet 2 - Humaniora og pedagogikk</t>
  </si>
  <si>
    <t>I008MA</t>
  </si>
  <si>
    <t>Masterprogram Institutt/enhet 2 - Humaniora og pedagogikk</t>
  </si>
  <si>
    <t>I009BA</t>
  </si>
  <si>
    <t>Bachelorprogram Institutt/enhet 3 - Humaniora og pedagogikk</t>
  </si>
  <si>
    <t>I009MA</t>
  </si>
  <si>
    <t>Masterprogram Institutt/enhet 3 - Humaniora og pedagogikk</t>
  </si>
  <si>
    <t>I010BA</t>
  </si>
  <si>
    <t>Bachelorprogram Institutt/enhet 1 - Kunstfag</t>
  </si>
  <si>
    <t>I010MA</t>
  </si>
  <si>
    <t>Masterprogram Institutt/enhet 1 - Kunstfag</t>
  </si>
  <si>
    <t>I011BA</t>
  </si>
  <si>
    <t>Bachelorprogram Institutt/enhet 2 - Kunstfag</t>
  </si>
  <si>
    <t>I011MA</t>
  </si>
  <si>
    <t>Masterprogram Institutt/enhet 2 - Kunstfag</t>
  </si>
  <si>
    <t>I012BA</t>
  </si>
  <si>
    <t>Bachelorprogram Institutt/enhet 3 - Kunstfag</t>
  </si>
  <si>
    <t>I012MA</t>
  </si>
  <si>
    <t>Masterprogram Institutt/enhet 3 - Kunstfag</t>
  </si>
  <si>
    <t>I013BA</t>
  </si>
  <si>
    <t>Bachelorprogram Institutt/enhet 1 - Samfunnsvitenskap</t>
  </si>
  <si>
    <t>I013MA</t>
  </si>
  <si>
    <t>Masterprogram Institutt/enhet 1 - Samfunnsvitenskap</t>
  </si>
  <si>
    <t>I014BA</t>
  </si>
  <si>
    <t>Bachelorprogram Institutt/enhet 2 - Samfunnsvitenskap</t>
  </si>
  <si>
    <t>I014MA</t>
  </si>
  <si>
    <t>Masterprogram Institutt/enhet 2 - Samfunnsvitenskap</t>
  </si>
  <si>
    <t>I015BA</t>
  </si>
  <si>
    <t>Bachelorprogram Institutt/enhet 3 - Samfunnsvitenskap</t>
  </si>
  <si>
    <t>I015MA</t>
  </si>
  <si>
    <t>Masterprogram Institutt/enhet 3 - Samfunnsvitenskap</t>
  </si>
  <si>
    <t>I016BA</t>
  </si>
  <si>
    <t>Bachelorprogram Institutt/enhet 1 - Teknologi og realfag</t>
  </si>
  <si>
    <t>I016MA</t>
  </si>
  <si>
    <t>Masterprogram Institutt/enhet 1 - Teknologi og realfag</t>
  </si>
  <si>
    <t>I017BA</t>
  </si>
  <si>
    <t>Bachelorprogram Institutt/enhet 2 - Teknologi og realfag</t>
  </si>
  <si>
    <t>I017MA</t>
  </si>
  <si>
    <t>Masterprogram Institutt/enhet 2 - Teknologi og realfag</t>
  </si>
  <si>
    <t>I018BA</t>
  </si>
  <si>
    <t>Bachelorprogram Institutt/enhet 3 - Teknologi og realfag</t>
  </si>
  <si>
    <t>I018MA</t>
  </si>
  <si>
    <t>Masterprogram Institutt/enhet 3 - Teknologi og realfag</t>
  </si>
  <si>
    <t>TiltakID</t>
  </si>
  <si>
    <t>Kontonavn</t>
  </si>
  <si>
    <t>Avviksarsak</t>
  </si>
  <si>
    <t>Tiltaksbeskrivelse</t>
  </si>
  <si>
    <t>AnsvarligRolle</t>
  </si>
  <si>
    <t>StartDatoNokkel</t>
  </si>
  <si>
    <t>FristDatoNokkel</t>
  </si>
  <si>
    <t>Prioritet</t>
  </si>
  <si>
    <t>Sannsynlighet</t>
  </si>
  <si>
    <t>T001</t>
  </si>
  <si>
    <t>I001K1</t>
  </si>
  <si>
    <t>Lonn fast ansatte</t>
  </si>
  <si>
    <t>Hoyere driftskostnader</t>
  </si>
  <si>
    <t>Reforhandle innkjop</t>
  </si>
  <si>
    <t>Instituttleder</t>
  </si>
  <si>
    <t>Hoy</t>
  </si>
  <si>
    <t>T002</t>
  </si>
  <si>
    <t>I002K1</t>
  </si>
  <si>
    <t>Lavere eksterninntekt</t>
  </si>
  <si>
    <t>T003</t>
  </si>
  <si>
    <t>I003K1</t>
  </si>
  <si>
    <t>Bemanning over plan</t>
  </si>
  <si>
    <t>Vakansestyring</t>
  </si>
  <si>
    <t>Middels</t>
  </si>
  <si>
    <t>T004</t>
  </si>
  <si>
    <t>I004K1</t>
  </si>
  <si>
    <t>T005</t>
  </si>
  <si>
    <t>I005K1</t>
  </si>
  <si>
    <t>T006</t>
  </si>
  <si>
    <t>I006K1</t>
  </si>
  <si>
    <t>Aktiv prosjektoppfolging</t>
  </si>
  <si>
    <t>T007</t>
  </si>
  <si>
    <t>I007K1</t>
  </si>
  <si>
    <t>T008</t>
  </si>
  <si>
    <t>I008K1</t>
  </si>
  <si>
    <t>T009</t>
  </si>
  <si>
    <t>I009K1</t>
  </si>
  <si>
    <t>T010</t>
  </si>
  <si>
    <t>I010K1</t>
  </si>
  <si>
    <t>T011</t>
  </si>
  <si>
    <t>I011K1</t>
  </si>
  <si>
    <t>T012</t>
  </si>
  <si>
    <t>I012K1</t>
  </si>
  <si>
    <t>T013</t>
  </si>
  <si>
    <t>I013K1</t>
  </si>
  <si>
    <t>T014</t>
  </si>
  <si>
    <t>I014K1</t>
  </si>
  <si>
    <t>T015</t>
  </si>
  <si>
    <t>I015K1</t>
  </si>
  <si>
    <t>T016</t>
  </si>
  <si>
    <t>I016K1</t>
  </si>
  <si>
    <t>Kontotype</t>
  </si>
  <si>
    <t>SRS_regnskapslinje</t>
  </si>
  <si>
    <t>Salgsinntekt tjenester, unntatt avgiftsplikt</t>
  </si>
  <si>
    <t>Inntekt</t>
  </si>
  <si>
    <t>Salgsinntekt</t>
  </si>
  <si>
    <t>Tilskudd fra Norges forskningsråd</t>
  </si>
  <si>
    <t>Tilskudd og overforinger</t>
  </si>
  <si>
    <t>Tilskudd fra EU</t>
  </si>
  <si>
    <t>Inntekt fra bevilgninger</t>
  </si>
  <si>
    <t>Kostnad</t>
  </si>
  <si>
    <t>Lonnskostnader</t>
  </si>
  <si>
    <t>Overtid fast ansatte</t>
  </si>
  <si>
    <t>Feriepenger</t>
  </si>
  <si>
    <t>Lonn midlertidig ansatte</t>
  </si>
  <si>
    <t>Arbeidsgiveravgift innberettede ytelser</t>
  </si>
  <si>
    <t>Pensjonspremie til SPK</t>
  </si>
  <si>
    <t>Refusjon av sykepenger</t>
  </si>
  <si>
    <t>Refusjon av foreldrepenger</t>
  </si>
  <si>
    <t>Avskrivning immaterielle eiendeler</t>
  </si>
  <si>
    <t>Av- og nedskrivninger</t>
  </si>
  <si>
    <t>Avskrivning driftslosore/inventar/IKT</t>
  </si>
  <si>
    <t>Leie lokaler</t>
  </si>
  <si>
    <t>Andre driftskostnader</t>
  </si>
  <si>
    <t>Leie lokaler fra Statsbygg</t>
  </si>
  <si>
    <t>Lys, varme</t>
  </si>
  <si>
    <t>Renhold, vakthold, vaktmester</t>
  </si>
  <si>
    <t>Leie av datasystemer</t>
  </si>
  <si>
    <t>Inventar</t>
  </si>
  <si>
    <t>Datamaskiner og annet IKT-utstyr</t>
  </si>
  <si>
    <t>Reparasjon og vedlikehold leide lokaler</t>
  </si>
  <si>
    <t>Konsulenttjenester okonomi/revisjon/juss</t>
  </si>
  <si>
    <t>Konsulenttjenester programvare/IKT</t>
  </si>
  <si>
    <t>Konsulenttjenester organisasjonsutvikling</t>
  </si>
  <si>
    <t>Andre konsulenttjenester</t>
  </si>
  <si>
    <t>Innleie av vikarer</t>
  </si>
  <si>
    <t>Tjenester til lopende IKT-drift</t>
  </si>
  <si>
    <t>Kontorrekvisita</t>
  </si>
  <si>
    <t>Aviser, tidsskrifter, boker</t>
  </si>
  <si>
    <t>Moter</t>
  </si>
  <si>
    <t>Kurs og seminarer egne ansatte</t>
  </si>
  <si>
    <t>Telefoni og datakommunikasjon</t>
  </si>
  <si>
    <t>Bilgodtgjorelse</t>
  </si>
  <si>
    <t>Reisekostnad</t>
  </si>
  <si>
    <t>Diettkostnad</t>
  </si>
  <si>
    <t>Reklame og markedsforing</t>
  </si>
  <si>
    <t>Kontingent</t>
  </si>
  <si>
    <t>Lisensavgift og royalties</t>
  </si>
  <si>
    <t>Annen kostnad</t>
  </si>
  <si>
    <t>StandardKonto3</t>
  </si>
  <si>
    <t>Kontoklasse</t>
  </si>
  <si>
    <t>Kontogruppe</t>
  </si>
  <si>
    <t>AktuellFor</t>
  </si>
  <si>
    <t>Salgsinntekt tjenester, avgiftspliktig</t>
  </si>
  <si>
    <t>SRS/Alle</t>
  </si>
  <si>
    <t>Salgsinntekt tjenester, avgiftsfri</t>
  </si>
  <si>
    <t>Tilskudd fra andre statlige virksomheter</t>
  </si>
  <si>
    <t>Tilskudd fra naeringsliv og private</t>
  </si>
  <si>
    <t>Andre tilskudd og overforinger</t>
  </si>
  <si>
    <t>Annen driftsrelatert inntekt</t>
  </si>
  <si>
    <t>Andre driftsinntekter</t>
  </si>
  <si>
    <t>Versjonsnavn</t>
  </si>
  <si>
    <t>Sortering</t>
  </si>
  <si>
    <t>Forecast 1 etter april</t>
  </si>
  <si>
    <t>Forecast 2 etter august</t>
  </si>
  <si>
    <t>Latest Estimate etter oktober</t>
  </si>
  <si>
    <t>NFR002</t>
  </si>
  <si>
    <t>NFR forskningsprosjekt B</t>
  </si>
  <si>
    <t>INV001</t>
  </si>
  <si>
    <t>Campus/utstyr</t>
  </si>
  <si>
    <t>Investering</t>
  </si>
  <si>
    <t>Aar</t>
  </si>
  <si>
    <t>Kvartal</t>
  </si>
  <si>
    <t>MaanedNr</t>
  </si>
  <si>
    <t>AarMaaned</t>
  </si>
  <si>
    <t>MaanedStart</t>
  </si>
  <si>
    <t>K1</t>
  </si>
  <si>
    <t>2026-01</t>
  </si>
  <si>
    <t>2026-02</t>
  </si>
  <si>
    <t>2026-03</t>
  </si>
  <si>
    <t>K2</t>
  </si>
  <si>
    <t>2026-04</t>
  </si>
  <si>
    <t>2026-05</t>
  </si>
  <si>
    <t>2026-06</t>
  </si>
  <si>
    <t>K3</t>
  </si>
  <si>
    <t>2026-07</t>
  </si>
  <si>
    <t>2026-08</t>
  </si>
  <si>
    <t>2026-09</t>
  </si>
  <si>
    <t>K4</t>
  </si>
  <si>
    <t>2026-10</t>
  </si>
  <si>
    <t>2026-11</t>
  </si>
  <si>
    <t>2026-12</t>
  </si>
  <si>
    <t>2027-01</t>
  </si>
  <si>
    <t>2027-02</t>
  </si>
  <si>
    <t>2027-03</t>
  </si>
  <si>
    <t>2027-04</t>
  </si>
  <si>
    <t>2027-05</t>
  </si>
  <si>
    <t>2027-06</t>
  </si>
  <si>
    <t>2027-07</t>
  </si>
  <si>
    <t>2027-08</t>
  </si>
  <si>
    <t>2027-09</t>
  </si>
  <si>
    <t>2027-10</t>
  </si>
  <si>
    <t>2027-11</t>
  </si>
  <si>
    <t>2027-12</t>
  </si>
  <si>
    <t>Koststed</t>
  </si>
  <si>
    <t>Koststednavn</t>
  </si>
  <si>
    <t>Koststedtype</t>
  </si>
  <si>
    <t>Institutt/enhet 1 - Handelshoyskolen - drift</t>
  </si>
  <si>
    <t>I001K2</t>
  </si>
  <si>
    <t>Institutt/enhet 1 - Handelshoyskolen - prosjekt</t>
  </si>
  <si>
    <t>Institutt/enhet 2 - Handelshoyskolen - drift</t>
  </si>
  <si>
    <t>I002K2</t>
  </si>
  <si>
    <t>Institutt/enhet 2 - Handelshoyskolen - prosjekt</t>
  </si>
  <si>
    <t>Institutt/enhet 3 - Handelshoyskolen - drift</t>
  </si>
  <si>
    <t>I003K2</t>
  </si>
  <si>
    <t>Institutt/enhet 3 - Handelshoyskolen - prosjekt</t>
  </si>
  <si>
    <t>Institutt/enhet 1 - Helse- og idrettsvitenskap - drift</t>
  </si>
  <si>
    <t>I004K2</t>
  </si>
  <si>
    <t>Institutt/enhet 1 - Helse- og idrettsvitenskap - prosjekt</t>
  </si>
  <si>
    <t>Institutt/enhet 2 - Helse- og idrettsvitenskap - drift</t>
  </si>
  <si>
    <t>I005K2</t>
  </si>
  <si>
    <t>Institutt/enhet 2 - Helse- og idrettsvitenskap - prosjekt</t>
  </si>
  <si>
    <t>Institutt/enhet 3 - Helse- og idrettsvitenskap - drift</t>
  </si>
  <si>
    <t>I006K2</t>
  </si>
  <si>
    <t>Institutt/enhet 3 - Helse- og idrettsvitenskap - prosjekt</t>
  </si>
  <si>
    <t>Institutt/enhet 1 - Humaniora og pedagogikk - drift</t>
  </si>
  <si>
    <t>I007K2</t>
  </si>
  <si>
    <t>Institutt/enhet 1 - Humaniora og pedagogikk - prosjekt</t>
  </si>
  <si>
    <t>Institutt/enhet 2 - Humaniora og pedagogikk - drift</t>
  </si>
  <si>
    <t>I008K2</t>
  </si>
  <si>
    <t>Institutt/enhet 2 - Humaniora og pedagogikk - prosjekt</t>
  </si>
  <si>
    <t>Institutt/enhet 3 - Humaniora og pedagogikk - drift</t>
  </si>
  <si>
    <t>I009K2</t>
  </si>
  <si>
    <t>Institutt/enhet 3 - Humaniora og pedagogikk - prosjekt</t>
  </si>
  <si>
    <t>Institutt/enhet 1 - Kunstfag - drift</t>
  </si>
  <si>
    <t>I010K2</t>
  </si>
  <si>
    <t>Institutt/enhet 1 - Kunstfag - prosjekt</t>
  </si>
  <si>
    <t>Institutt/enhet 2 - Kunstfag - drift</t>
  </si>
  <si>
    <t>I011K2</t>
  </si>
  <si>
    <t>Institutt/enhet 2 - Kunstfag - prosjekt</t>
  </si>
  <si>
    <t>Institutt/enhet 3 - Kunstfag - drift</t>
  </si>
  <si>
    <t>I012K2</t>
  </si>
  <si>
    <t>Institutt/enhet 3 - Kunstfag - prosjekt</t>
  </si>
  <si>
    <t>Institutt/enhet 1 - Samfunnsvitenskap - drift</t>
  </si>
  <si>
    <t>I013K2</t>
  </si>
  <si>
    <t>Institutt/enhet 1 - Samfunnsvitenskap - prosjekt</t>
  </si>
  <si>
    <t>Institutt/enhet 2 - Samfunnsvitenskap - drift</t>
  </si>
  <si>
    <t>I014K2</t>
  </si>
  <si>
    <t>Institutt/enhet 2 - Samfunnsvitenskap - prosjekt</t>
  </si>
  <si>
    <t>Institutt/enhet 3 - Samfunnsvitenskap - drift</t>
  </si>
  <si>
    <t>I015K2</t>
  </si>
  <si>
    <t>Institutt/enhet 3 - Samfunnsvitenskap - prosjekt</t>
  </si>
  <si>
    <t>Institutt/enhet 1 - Teknologi og realfag - drift</t>
  </si>
  <si>
    <t>I016K2</t>
  </si>
  <si>
    <t>Institutt/enhet 1 - Teknologi og realfag - prosjekt</t>
  </si>
  <si>
    <t>I017K1</t>
  </si>
  <si>
    <t>Institutt/enhet 2 - Teknologi og realfag - drift</t>
  </si>
  <si>
    <t>I017K2</t>
  </si>
  <si>
    <t>Institutt/enhet 2 - Teknologi og realfag - prosjekt</t>
  </si>
  <si>
    <t>I018K1</t>
  </si>
  <si>
    <t>Institutt/enhet 3 - Teknologi og realfag - drift</t>
  </si>
  <si>
    <t>I018K2</t>
  </si>
  <si>
    <t>Institutt/enhet 3 - Teknologi og realfag - prosjekt</t>
  </si>
  <si>
    <t>I019K1</t>
  </si>
  <si>
    <t>Institutt/enhet 1 - Fellesadministrasjon - drift</t>
  </si>
  <si>
    <t>I019K2</t>
  </si>
  <si>
    <t>Institutt/enhet 1 - Fellesadministrasjon - prosjekt</t>
  </si>
  <si>
    <t>I020K1</t>
  </si>
  <si>
    <t>Institutt/enhet 2 - Fellesadministrasjon - drift</t>
  </si>
  <si>
    <t>I020K2</t>
  </si>
  <si>
    <t>Institutt/enhet 2 - Fellesadministrasjon - prosjekt</t>
  </si>
  <si>
    <t>NormerteStudiepoeng</t>
  </si>
  <si>
    <t>BegrepID</t>
  </si>
  <si>
    <t>Begrep</t>
  </si>
  <si>
    <t>FulltNavn</t>
  </si>
  <si>
    <t>Kategori</t>
  </si>
  <si>
    <t>Definisjon</t>
  </si>
  <si>
    <t>PraktiskTolkning</t>
  </si>
  <si>
    <t>FormelDAX</t>
  </si>
  <si>
    <t>RolleKontekst</t>
  </si>
  <si>
    <t>RelevantRapport</t>
  </si>
  <si>
    <t>Actual</t>
  </si>
  <si>
    <t>Faktisk bokført regnskap</t>
  </si>
  <si>
    <t>01 Regnskap &amp; Sektor</t>
  </si>
  <si>
    <t>Faktisk påløpte inntekter og kostnader registrert i virksomhetens hovedbok (FactGL).</t>
  </si>
  <si>
    <t>Brukes som fasit for historisk ressursbruk og måles mot periodisert budsjett og prognose.</t>
  </si>
  <si>
    <t>SUM(FactGL[Belop_signert])</t>
  </si>
  <si>
    <t>Alle roller</t>
  </si>
  <si>
    <t>08 Controller Cockpit</t>
  </si>
  <si>
    <t>Artskonto</t>
  </si>
  <si>
    <t>Standard artskonto</t>
  </si>
  <si>
    <t>Firesifret tallkode som spesifiserer transaksjonens økonomiske art iht. DFØ standard kontoplan.</t>
  </si>
  <si>
    <t>Gjør det mulig å drille ned fra regnskapslinjer til kostnadsbærere.</t>
  </si>
  <si>
    <t>DimAccount[Konto]</t>
  </si>
  <si>
    <t>Controller</t>
  </si>
  <si>
    <t>Avskrivninger</t>
  </si>
  <si>
    <t>Verdireduksjon anleggsmidler</t>
  </si>
  <si>
    <t>Periodisering av anskaffelseskost over driftsmidlets økonomiske levetid iht. SRS 17.</t>
  </si>
  <si>
    <t>Påvirker resultatet uten direkte likviditetsutgang i perioden.</t>
  </si>
  <si>
    <t>CALCULATE([Regnskap], DimAccount[SRS_regnskapslinje]=Avskrivninger)</t>
  </si>
  <si>
    <t>Ledelse / Styret</t>
  </si>
  <si>
    <t>03 Executive</t>
  </si>
  <si>
    <t>Avvik YTD</t>
  </si>
  <si>
    <t>Akkumulert regnskapsavvik</t>
  </si>
  <si>
    <t>03 Prognose &amp; Avvik</t>
  </si>
  <si>
    <t>Differansen mellom akkumulert regnskap og periodisert budsjett fra januar til nå.</t>
  </si>
  <si>
    <t>Negativt kostnadsavvik er mindreforbruk; positivt er merforbruk.</t>
  </si>
  <si>
    <t>[Regnskap YTD] - [Budsjett YTD]</t>
  </si>
  <si>
    <t>Avvik YTD RAG Status</t>
  </si>
  <si>
    <t>RAG-status regnskapsavvik</t>
  </si>
  <si>
    <t>07 RAG &amp; Farger</t>
  </si>
  <si>
    <t>Trafikklysindikator for akkumulert avvik mot budsjett.</t>
  </si>
  <si>
    <t>Rød &gt;5%, gul 2–5%, grønn &lt;=2%.</t>
  </si>
  <si>
    <t>SWITCH(TRUE(), [Avvik YTD %] &gt; 0.05, Rød, [Avvik YTD %] &gt;= 0.02, Gul, Grønn)</t>
  </si>
  <si>
    <t>Controller / Dekan</t>
  </si>
  <si>
    <t>BAC</t>
  </si>
  <si>
    <t>Budget at Completion</t>
  </si>
  <si>
    <t>02 Prosjektcontrolling (EVM)</t>
  </si>
  <si>
    <t>Opprinnelig vedtatt total kostnadsramme.</t>
  </si>
  <si>
    <t>Baseline som sluttkostnad måles mot.</t>
  </si>
  <si>
    <t>[Aarsbudsjett]</t>
  </si>
  <si>
    <t>Project Controller / Dekan</t>
  </si>
  <si>
    <t>DT Prosjekt EVM</t>
  </si>
  <si>
    <t>Bevilgningsinntekt</t>
  </si>
  <si>
    <t>Statlig rammebevilgning</t>
  </si>
  <si>
    <t>Ordinær bevilgning fra Kunnskapsdepartementet.</t>
  </si>
  <si>
    <t>Periodiseres etter SRS 10.</t>
  </si>
  <si>
    <t>CALCULATE(-[Regnskap], konto-filter)</t>
  </si>
  <si>
    <t>Styret / Ledelse</t>
  </si>
  <si>
    <t>04 Styret</t>
  </si>
  <si>
    <t>BFV</t>
  </si>
  <si>
    <t>Bevilgningsfinansiert virksomhet</t>
  </si>
  <si>
    <t>Kjerneaktivitet dekket av statstilskuddet.</t>
  </si>
  <si>
    <t>Krever stram rammeoppfølging.</t>
  </si>
  <si>
    <t>DimProject[Finansieringstype] = Drift</t>
  </si>
  <si>
    <t>Bidragsforskning</t>
  </si>
  <si>
    <t>Eksternfinansierte prosjekter uten kommersiell motytelse.</t>
  </si>
  <si>
    <t>Typiske bidragsytere er NFR og EU.</t>
  </si>
  <si>
    <t>DimProject[Finansieringstype] = Bidrag</t>
  </si>
  <si>
    <t>Forskningsledelse</t>
  </si>
  <si>
    <t>05 Forskning &amp; BOA</t>
  </si>
  <si>
    <t>BOA</t>
  </si>
  <si>
    <t>Bidrags- og oppdragsfinansiert aktivitet</t>
  </si>
  <si>
    <t>All eksternt finansiert forskning, utvikling og oppdragsvirksomhet.</t>
  </si>
  <si>
    <t>Strategisk vekstområde og finansielt handlingsrom.</t>
  </si>
  <si>
    <t>[BOA inntekter]</t>
  </si>
  <si>
    <t>BOA-finansieringsandel %</t>
  </si>
  <si>
    <t>Eksternfinansieringsgrad</t>
  </si>
  <si>
    <t>Andel av totale inntekter fra BOA-prosjekter.</t>
  </si>
  <si>
    <t>Måler evnen til å hente konkurranseutsatt finansiering.</t>
  </si>
  <si>
    <t>DIVIDE([BOA inntekter], [Inntekter])</t>
  </si>
  <si>
    <t>Budget</t>
  </si>
  <si>
    <t>Vedtatt årsbudsjett</t>
  </si>
  <si>
    <t>Økonomisk handlingsplan vedtatt før året.</t>
  </si>
  <si>
    <t>Låses som BAC og periodiseres.</t>
  </si>
  <si>
    <t>SUM(FactBudget[BudsjettBelop])</t>
  </si>
  <si>
    <t>Controller Cockpit</t>
  </si>
  <si>
    <t>Avstemmings- og kontrollpanel</t>
  </si>
  <si>
    <t>08 Teknisk &amp; Modell</t>
  </si>
  <si>
    <t>Kontrollpanel for avstemming, feil og avviksdrivere.</t>
  </si>
  <si>
    <t>Brukes før månedsslutt.</t>
  </si>
  <si>
    <t>Rapportside 08</t>
  </si>
  <si>
    <t>Data-Ink Ratio</t>
  </si>
  <si>
    <t>Edward Tuftes designprinsipp</t>
  </si>
  <si>
    <t>Maksimer andelen informasjonsbærende elementer.</t>
  </si>
  <si>
    <t>Fjern chartjunk og bruk funksjonell farge.</t>
  </si>
  <si>
    <t>Data-Ink / Total-Ink</t>
  </si>
  <si>
    <t>Alle dashboards</t>
  </si>
  <si>
    <t>DAX</t>
  </si>
  <si>
    <t>Data Analysis Expressions</t>
  </si>
  <si>
    <t>Beregningsspråk i Power BI, Fabric og Analysis Services.</t>
  </si>
  <si>
    <t>Brukes til forretningslogikk, EVM og RAG.</t>
  </si>
  <si>
    <t>Stjernemodell formler</t>
  </si>
  <si>
    <t>Controller / BI-utvikler</t>
  </si>
  <si>
    <t>TMDL Model</t>
  </si>
  <si>
    <t>Dekan</t>
  </si>
  <si>
    <t>Fakultetsleder</t>
  </si>
  <si>
    <t>Leder for et fakultet.</t>
  </si>
  <si>
    <t>Følger økonomi, lærerressurser og studieproduksjon.</t>
  </si>
  <si>
    <t>Rapportside 02</t>
  </si>
  <si>
    <t>02 Dekan &amp; Fakultet</t>
  </si>
  <si>
    <t>DFØ</t>
  </si>
  <si>
    <t>Direktoratet for forvaltning og økonomistyring</t>
  </si>
  <si>
    <t>Statens fagorgan for økonomistyring og SRS.</t>
  </si>
  <si>
    <t>Utformer R-102 og regnskapsregler.</t>
  </si>
  <si>
    <t>Regelverk</t>
  </si>
  <si>
    <t>Kontoplan (Dimensjon)</t>
  </si>
  <si>
    <t>46 standardkontoer med kontoklasser og SRS-linjer.</t>
  </si>
  <si>
    <t>Knyttes til fire faktatabeller.</t>
  </si>
  <si>
    <t>DimAccount.csv</t>
  </si>
  <si>
    <t>Organisasjonsstruktur (Dimensjon)</t>
  </si>
  <si>
    <t>40 koststeder fordelt på fakulteter og institutter.</t>
  </si>
  <si>
    <t>Hierarki: Fakultet → Institutt → Koststed.</t>
  </si>
  <si>
    <t>DimOrganization.csv</t>
  </si>
  <si>
    <t>01 Instituttleder</t>
  </si>
  <si>
    <t>Drill-down</t>
  </si>
  <si>
    <t>Hierarkisk navigasjon</t>
  </si>
  <si>
    <t>Navigasjon fra aggregert nivå til underliggende nivå.</t>
  </si>
  <si>
    <t>Fra fakultet til institutt og koststed.</t>
  </si>
  <si>
    <t>Hierarkisk visualisering</t>
  </si>
  <si>
    <t>Drill-through</t>
  </si>
  <si>
    <t>Dybdenavigasjon med filterkontekst</t>
  </si>
  <si>
    <t>Navigasjon til detaljrapport med bevart filterkontekst.</t>
  </si>
  <si>
    <t>Fra sammendrag til detalj.</t>
  </si>
  <si>
    <t>Rapportsider DT1-DT5</t>
  </si>
  <si>
    <t>Drill-Through</t>
  </si>
  <si>
    <t>EAC</t>
  </si>
  <si>
    <t>Estimate at Completion</t>
  </si>
  <si>
    <t>Oppdatert forventet totalsluttresultat.</t>
  </si>
  <si>
    <t>Tilsvarer LE og sammenlignes med BAC.</t>
  </si>
  <si>
    <t>[Forecast aarsbelop]</t>
  </si>
  <si>
    <t>ETC</t>
  </si>
  <si>
    <t>Estimate to Complete</t>
  </si>
  <si>
    <t>Forventet gjenstående kostnad frem til fullføring.</t>
  </si>
  <si>
    <t>Brukes til likviditetsstyring.</t>
  </si>
  <si>
    <t>[EAC] - [Regnskap YTD]</t>
  </si>
  <si>
    <t>Project Controller</t>
  </si>
  <si>
    <t>EVU</t>
  </si>
  <si>
    <t>Kommersiell oppdragsutdanning.</t>
  </si>
  <si>
    <t>Krever full kostnadsdekning etter SRS 12.</t>
  </si>
  <si>
    <t>Konto 3600-3620</t>
  </si>
  <si>
    <t>Dekan / Instituttleder</t>
  </si>
  <si>
    <t>EVM</t>
  </si>
  <si>
    <t>Earned Value Management</t>
  </si>
  <si>
    <t>Metode som integrerer omfang, tid og kostnader.</t>
  </si>
  <si>
    <t>Gir tidlige varsler gjennom BAC, EAC, ETC og VAC.</t>
  </si>
  <si>
    <t>Prosjektcontrolling</t>
  </si>
  <si>
    <t>EVM Sluttavvik RAG Status</t>
  </si>
  <si>
    <t>RAG-status prosjektavvik</t>
  </si>
  <si>
    <t>Trafikklysstatus for VAC.</t>
  </si>
  <si>
    <t>Grønn &gt;=0, gul til -5%, ellers rød.</t>
  </si>
  <si>
    <t>SWITCH(TRUE(), [VAC] &gt;= 0, Grønn, [VAC %] &gt;= -0.05, Gul, Rød)</t>
  </si>
  <si>
    <t>Omstillingstiltak (Fakta)</t>
  </si>
  <si>
    <t>06 Omstilling &amp; Tiltak</t>
  </si>
  <si>
    <t>16 tiltak for kostnadsreduksjon og gevinstrealisering.</t>
  </si>
  <si>
    <t>Inneholder effekt, eier, frist, risiko og status.</t>
  </si>
  <si>
    <t>FactAction.csv</t>
  </si>
  <si>
    <t>Ledelse / Controller</t>
  </si>
  <si>
    <t>07 Action Tracker</t>
  </si>
  <si>
    <t>Månedsbudsjett (Fakta)</t>
  </si>
  <si>
    <t>17 760 periodiserte budsjettlinjer.</t>
  </si>
  <si>
    <t>Grunnlag for budsjettoppfølging og BAC.</t>
  </si>
  <si>
    <t>FactBudget.csv</t>
  </si>
  <si>
    <t>Rullende prognose (Fakta)</t>
  </si>
  <si>
    <t>53 280 prognoselinjer for FC1, FC2 og LE.</t>
  </si>
  <si>
    <t>Inneholder beløp og sannsynlighet.</t>
  </si>
  <si>
    <t>FactForecast.csv</t>
  </si>
  <si>
    <t>Controller / Ledelse</t>
  </si>
  <si>
    <t>Årsverk (Fakta)</t>
  </si>
  <si>
    <t>04 Bemanning &amp; Kapasitet</t>
  </si>
  <si>
    <t>1 200 månedlige bemanningsregistreringer.</t>
  </si>
  <si>
    <t>Beregner totale og faglige årsverk.</t>
  </si>
  <si>
    <t>FactFTE.csv</t>
  </si>
  <si>
    <t>HR / Dekan</t>
  </si>
  <si>
    <t>DT Bemanning</t>
  </si>
  <si>
    <t>Hovedbok transaksjoner (Fakta)</t>
  </si>
  <si>
    <t>35 760 bokførte transaksjoner.</t>
  </si>
  <si>
    <t>Grunnlag for avstemming og actuals.</t>
  </si>
  <si>
    <t>FactGL.csv</t>
  </si>
  <si>
    <t>DT Økonomi</t>
  </si>
  <si>
    <t>Studieproduksjon (Fakta)</t>
  </si>
  <si>
    <t>05 Utdanningsproduksjon</t>
  </si>
  <si>
    <t>432 månedlige registreringer.</t>
  </si>
  <si>
    <t>Understøtter studieproduksjon og finansiering.</t>
  </si>
  <si>
    <t>FactStudyPoints.csv</t>
  </si>
  <si>
    <t>Utdanningsledelse</t>
  </si>
  <si>
    <t>06 Studieportefølje</t>
  </si>
  <si>
    <t>Faglig andel %</t>
  </si>
  <si>
    <t>Vitenskapelig bemanningsandel</t>
  </si>
  <si>
    <t>Andel av bemanningen i UF-stillinger.</t>
  </si>
  <si>
    <t>Bør overstige 50–55%.</t>
  </si>
  <si>
    <t>DIVIDE([Faglige aarsverk], [Aarsverk])</t>
  </si>
  <si>
    <t>Dekan / Styret</t>
  </si>
  <si>
    <t>FC1 / FC2</t>
  </si>
  <si>
    <t>Rullende tertialprognoser</t>
  </si>
  <si>
    <t>Prognoser etter tertial 1 og 2.</t>
  </si>
  <si>
    <t>Viser utviklingen i helårsforventningen.</t>
  </si>
  <si>
    <t>DimForecastVersion[Versjon]</t>
  </si>
  <si>
    <t>Forventet avvik ved årsslutt</t>
  </si>
  <si>
    <t>Differansen mellom LE og årsbudsjett.</t>
  </si>
  <si>
    <t>Viser mer- eller mindreforbruk før tiltak.</t>
  </si>
  <si>
    <t>[Forecast aarsbelop] - [Aarsbudsjett]</t>
  </si>
  <si>
    <t>Forecast RAG Status</t>
  </si>
  <si>
    <t>RAG-status helårsprognose</t>
  </si>
  <si>
    <t>Trafikklysstatus for forecastavvik.</t>
  </si>
  <si>
    <t>SWITCH(TRUE(), [Forecastavvik %] &gt; 0.05, Rød, [Forecastavvik %] &gt;= 0.02, Gul, Grønn)</t>
  </si>
  <si>
    <t>Full-Time Equivalent / Årsverk</t>
  </si>
  <si>
    <t>Standardisert arbeidsinnsats for én fulltidsstilling.</t>
  </si>
  <si>
    <t>Måles som månedsslutt-snapshot.</t>
  </si>
  <si>
    <t>[Aarsverk]</t>
  </si>
  <si>
    <t>HR / Ledelse</t>
  </si>
  <si>
    <t>Leder av grunnenhet</t>
  </si>
  <si>
    <t>Leder med budsjett- og personalansvar.</t>
  </si>
  <si>
    <t>Følger månedsavvik, kapasitet og tiltak.</t>
  </si>
  <si>
    <t>Rapportside 01</t>
  </si>
  <si>
    <t>Kunnskapsdepartementet</t>
  </si>
  <si>
    <t>Departementet som fastsetter rammer og bevilgninger.</t>
  </si>
  <si>
    <t>Utsteder tildelingsbrevet.</t>
  </si>
  <si>
    <t>Statlig eier</t>
  </si>
  <si>
    <t>Kostnad per SPE60</t>
  </si>
  <si>
    <t>Enhetskostnad per helårsstudent</t>
  </si>
  <si>
    <t>Totale kostnader dividert med SPE60.</t>
  </si>
  <si>
    <t>Høye tall kan indikere små kull eller høy ressursbruk.</t>
  </si>
  <si>
    <t>DIVIDE([Faktisk kostnader], [SPE60])</t>
  </si>
  <si>
    <t>Dekan / Utdanningsledelse</t>
  </si>
  <si>
    <t>Nyeste gjeldende helårsprognose.</t>
  </si>
  <si>
    <t>Ledelsens beste estimat for sluttresultatet.</t>
  </si>
  <si>
    <t>CALCULATE([Gjeldende forecast], Versjon=LE_2026)</t>
  </si>
  <si>
    <t>Lønnsandel %</t>
  </si>
  <si>
    <t>Personalkostnadsandel</t>
  </si>
  <si>
    <t>Personalkostnader som andel av driftskostnader.</t>
  </si>
  <si>
    <t>Viktig driver for bærekraft.</t>
  </si>
  <si>
    <t>DIVIDE([Faktisk lonnskostnader], [Faktisk kostnader])</t>
  </si>
  <si>
    <t>Dekan / Ledelse</t>
  </si>
  <si>
    <t>Norges forskningsråd</t>
  </si>
  <si>
    <t>Nasjonalt organ for forskningsfinansiering.</t>
  </si>
  <si>
    <t>Største eksterne bidragsyter i modellen.</t>
  </si>
  <si>
    <t>Finansieringskilde=NFR</t>
  </si>
  <si>
    <t>Oppdragsforskning</t>
  </si>
  <si>
    <t>Aktivitet med leveranser på kommersielle vilkår.</t>
  </si>
  <si>
    <t>Skal ha full kostnads- og overheaddekning.</t>
  </si>
  <si>
    <t>Finansieringstype=Oppdrag</t>
  </si>
  <si>
    <t>PBIP</t>
  </si>
  <si>
    <t>Power BI Project</t>
  </si>
  <si>
    <t>Mappebasert kildeformat for Power BI.</t>
  </si>
  <si>
    <t>Muliggjør Git og automatisert testing.</t>
  </si>
  <si>
    <t>Mappestruktur</t>
  </si>
  <si>
    <t>BI-utvikler</t>
  </si>
  <si>
    <t>Repo root</t>
  </si>
  <si>
    <t>PBIR</t>
  </si>
  <si>
    <t>Power BI Enhanced Report Format</t>
  </si>
  <si>
    <t>Deklarativt JSON-format for rapporter.</t>
  </si>
  <si>
    <t>Muliggjør automatiserbar rapportbygging.</t>
  </si>
  <si>
    <t>Report definition</t>
  </si>
  <si>
    <t>PBIR Definition</t>
  </si>
  <si>
    <t>RAG</t>
  </si>
  <si>
    <t>Red-Amber-Green</t>
  </si>
  <si>
    <t>Trafikklysmetodikk for styring.</t>
  </si>
  <si>
    <t>Retter oppmerksomhet mot kritiske områder.</t>
  </si>
  <si>
    <t>RAG-mål</t>
  </si>
  <si>
    <t>Realiseringsgrad %</t>
  </si>
  <si>
    <t>Gevinstrealiseringsgrad</t>
  </si>
  <si>
    <t>Realisert dividert med planlagt innsparing.</t>
  </si>
  <si>
    <t>Måler levert økonomisk effekt.</t>
  </si>
  <si>
    <t>DIVIDE([Realisert tiltakseffekt], [Forventet tiltakseffekt])</t>
  </si>
  <si>
    <t>Restavvik</t>
  </si>
  <si>
    <t>Gjenværende risikogap</t>
  </si>
  <si>
    <t>Avvik som gjenstår etter tiltak.</t>
  </si>
  <si>
    <t>Udekket gap som fortsatt må håndteres.</t>
  </si>
  <si>
    <t>[Forecast etter tiltak] - [Aarsbudsjett]</t>
  </si>
  <si>
    <t>Studiepoengekvivalenter</t>
  </si>
  <si>
    <t>60 avlagte studiepoeng tilsvarer én helårsstudent.</t>
  </si>
  <si>
    <t>Driver i resultatbasert finansiering.</t>
  </si>
  <si>
    <t>DIVIDE([Avlagte studiepoeng], 60)</t>
  </si>
  <si>
    <t>Utdanningsledelse / Dekan</t>
  </si>
  <si>
    <t>SRS</t>
  </si>
  <si>
    <t>Statlige regnskapsstandarder</t>
  </si>
  <si>
    <t>Periodiserte regnskapsprinsipper for staten.</t>
  </si>
  <si>
    <t>Sammenstiller ressursforbruk og inntekter.</t>
  </si>
  <si>
    <t>Studiepoeng måloppnåelse %</t>
  </si>
  <si>
    <t>Eksamensproduksjonsgrad</t>
  </si>
  <si>
    <t>Avlagte studiepoeng delt på planlagte.</t>
  </si>
  <si>
    <t>Måler oppfyllelse av produksjonsmålet.</t>
  </si>
  <si>
    <t>DIVIDE([Avlagte studiepoeng], [Planlagte studiepoeng])</t>
  </si>
  <si>
    <t>TA</t>
  </si>
  <si>
    <t>Teknisk-administrativ bemanning</t>
  </si>
  <si>
    <t>Ansatte innen administrasjon, IT, bibliotek, drift, HR og økonomi.</t>
  </si>
  <si>
    <t>Støttefunksjon dimensjonert mot fagmiljøene.</t>
  </si>
  <si>
    <t>Stillingskategori=Teknisk-administrativ</t>
  </si>
  <si>
    <t>TDI</t>
  </si>
  <si>
    <t>Totalkostnadsmodellen</t>
  </si>
  <si>
    <t>Retningslinjer for direkte og indirekte BOA-kostnader.</t>
  </si>
  <si>
    <t>Sikrer dekning av felles infrastruktur.</t>
  </si>
  <si>
    <t>Tiltak RAG Status</t>
  </si>
  <si>
    <t>RAG-status omstillingstiltak</t>
  </si>
  <si>
    <t>Visuell status for innsparingstiltak.</t>
  </si>
  <si>
    <t>Grønn gjennomført, gul pågår, rød forsinket, grå planlagt.</t>
  </si>
  <si>
    <t>SWITCH(FactAction[Status], ...)</t>
  </si>
  <si>
    <t>TMDL</t>
  </si>
  <si>
    <t>Tabular Model Definition Language</t>
  </si>
  <si>
    <t>Tekstbasert språk for semantiske modeller.</t>
  </si>
  <si>
    <t>Modulære og lesbare modelldefinisjoner.</t>
  </si>
  <si>
    <t>SemanticModel</t>
  </si>
  <si>
    <t>UF</t>
  </si>
  <si>
    <t>Undervisning og forskning</t>
  </si>
  <si>
    <t>Vitenskapelige ansatte i undervisning og forskning.</t>
  </si>
  <si>
    <t>Kjernearbeidskraft for faglig produksjon.</t>
  </si>
  <si>
    <t>Stillingskategori=Vitenskapelig</t>
  </si>
  <si>
    <t>VAC</t>
  </si>
  <si>
    <t>Variance at Completion</t>
  </si>
  <si>
    <t>Forventet sluttavvik som BAC minus EAC.</t>
  </si>
  <si>
    <t>Positivt er besparelse, negativt overskridelse.</t>
  </si>
  <si>
    <t>[BAC] - [EAC]</t>
  </si>
  <si>
    <t>VAC %</t>
  </si>
  <si>
    <t>Sluttavvik prosent</t>
  </si>
  <si>
    <t>Sluttavvik som prosent av opprinnelig ramme.</t>
  </si>
  <si>
    <t>Rangerer prosjekter etter risiko.</t>
  </si>
  <si>
    <t>DIVIDE([VAC], [BAC])</t>
  </si>
  <si>
    <t>YTD</t>
  </si>
  <si>
    <t>Year to Date</t>
  </si>
  <si>
    <t>Akkumulert beløp fra 1. januar til rapporteringsdato.</t>
  </si>
  <si>
    <t>Gir et stabilt utviklingsbilde.</t>
  </si>
  <si>
    <t>TOTALYTD([Regnskap], DimDate[Dato])</t>
  </si>
  <si>
    <t>Modellimplementering</t>
  </si>
  <si>
    <t>Excel-versjonen bruker alle 109 396 leverte kilderader til avstemte analyse- og drill-through-tabeller. Store faktatabeller er oppsummert etter måned, fakultet, institutt, konto, prosjekt og studieprogram; dimensjoner, tiltak, relasjoner og glossary ligger som komplette tabeller.</t>
  </si>
  <si>
    <t>QA Status</t>
  </si>
  <si>
    <t>Relasjonstester</t>
  </si>
  <si>
    <t>RAG-terskler</t>
  </si>
  <si>
    <t>Forecast</t>
  </si>
  <si>
    <t>Grønn ≤2%</t>
  </si>
  <si>
    <t>Gul 2–5%</t>
  </si>
  <si>
    <t>Rød &gt;5%</t>
  </si>
  <si>
    <t>Studiepoeng</t>
  </si>
  <si>
    <t>Grønn ≥90%</t>
  </si>
  <si>
    <t>Gul 80–90%</t>
  </si>
  <si>
    <t>Rød &lt;80%</t>
  </si>
  <si>
    <t>Tiltak</t>
  </si>
  <si>
    <t>Grønn gjennomført</t>
  </si>
  <si>
    <t>Gul pågår</t>
  </si>
  <si>
    <t>Rød forsinket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</si>
</sst>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yyyy\-mm\-dd"/>
    <numFmt numFmtId="170" formatCode="#,##0\ &quot;NOK&quot;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"/>
    </font>
    <font>
      <sz val="10"/>
      <color theme="1"/>
      <name val="Aptos"/>
    </font>
    <font>
      <b/>
      <sz val="10"/>
      <color rgb="FFFFFFFF"/>
      <name val="Aptos"/>
    </font>
    <font>
      <b/>
      <sz val="11"/>
      <color rgb="FFFFFFFF"/>
      <name val="Aptos Narrow"/>
      <family val="2"/>
      <scheme val="minor"/>
    </font>
    <font>
      <b/>
      <sz val="20"/>
      <color rgb="FFFFFFFF"/>
      <name val="Aptos"/>
    </font>
    <font>
      <sz val="11"/>
      <color rgb="FF5B6573"/>
      <name val="Aptos"/>
    </font>
    <font>
      <b/>
      <sz val="11"/>
      <color rgb="FF17365D"/>
      <name val="Aptos"/>
    </font>
    <font>
      <b/>
      <sz val="16"/>
      <color theme="1"/>
      <name val="Aptos"/>
    </font>
    <font>
      <b/>
      <sz val="11"/>
      <color rgb="FFFFFFFF"/>
      <name val="Aptos"/>
    </font>
    <font>
      <sz val="11"/>
      <color rgb="FFFFFFFF"/>
      <name val="Aptos"/>
    </font>
  </fonts>
  <fills count="9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EF4444"/>
        <bgColor indexed="64"/>
      </patternFill>
    </fill>
    <fill>
      <patternFill patternType="solid">
        <fgColor rgb="FFF59E0B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10B98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0" fontId="3" fillId="2" borderId="0" xfId="0" applyFont="1" applyFill="1"/>
    <xf numFmtId="3" fontId="2" fillId="0" borderId="0" xfId="0" applyNumberFormat="1" applyFont="1"/>
    <xf numFmtId="0" fontId="0" fillId="0" borderId="0" xfId="0"/>
    <xf numFmtId="0" fontId="4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1" fillId="0" borderId="0" xfId="0" applyFont="1"/>
    <xf numFmtId="0" fontId="6" fillId="0" borderId="0" xfId="0" applyFont="1"/>
    <xf numFmtId="0" fontId="7" fillId="3" borderId="0" xfId="0" applyFont="1" applyFill="1" applyAlignment="1">
      <alignment horizontal="center"/>
    </xf>
    <xf numFmtId="0" fontId="9" fillId="2" borderId="0" xfId="0" applyFont="1" applyFill="1"/>
    <xf numFmtId="0" fontId="10" fillId="4" borderId="0" xfId="0" applyFont="1" applyFill="1"/>
    <xf numFmtId="0" fontId="1" fillId="5" borderId="0" xfId="0" applyFont="1" applyFill="1"/>
    <xf numFmtId="9" fontId="2" fillId="0" borderId="0" xfId="0" applyNumberFormat="1" applyFont="1"/>
    <xf numFmtId="0" fontId="4" fillId="6" borderId="0" xfId="0" applyFont="1" applyFill="1"/>
    <xf numFmtId="0" fontId="9" fillId="6" borderId="0" xfId="0" applyFont="1" applyFill="1"/>
    <xf numFmtId="169" fontId="1" fillId="0" borderId="0" xfId="0" applyNumberFormat="1" applyFont="1"/>
    <xf numFmtId="0" fontId="3" fillId="2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0" fillId="7" borderId="0" xfId="0" applyFill="1" applyAlignment="1">
      <alignment wrapText="1"/>
    </xf>
    <xf numFmtId="0" fontId="0" fillId="7" borderId="0" xfId="0" applyFill="1"/>
    <xf numFmtId="0" fontId="4" fillId="8" borderId="0" xfId="0" applyFont="1" applyFill="1"/>
    <xf numFmtId="0" fontId="10" fillId="8" borderId="0" xfId="0" applyFont="1" applyFill="1"/>
    <xf numFmtId="170" fontId="8" fillId="0" borderId="0" xfId="0" applyNumberFormat="1" applyFont="1" applyAlignment="1">
      <alignment horizontal="center"/>
    </xf>
    <xf numFmtId="9" fontId="8" fillId="0" borderId="0" xfId="0" applyNumberFormat="1" applyFont="1" applyAlignment="1">
      <alignment horizontal="center"/>
    </xf>
    <xf numFmtId="3" fontId="8" fillId="0" borderId="0" xfId="0" applyNumberFormat="1" applyFont="1" applyAlignment="1">
      <alignment horizontal="center"/>
    </xf>
    <xf numFmtId="1" fontId="2" fillId="0" borderId="0" xfId="0" applyNumberFormat="1" applyFont="1"/>
    <xf numFmtId="1" fontId="1" fillId="0" borderId="0" xfId="0" applyNumberFormat="1" applyFont="1"/>
  </cellXfs>
  <cellStyles count="1">
    <cellStyle name="Normal" xfId="0" builtinId="0"/>
  </cellStyles>
  <dxfs count="229">
    <dxf>
      <font>
        <name val="Aptos"/>
      </font>
      <numFmt numFmtId="1" formatCode="0"/>
    </dxf>
    <dxf>
      <font>
        <name val="Aptos"/>
      </font>
      <numFmt numFmtId="1" formatCode="0"/>
    </dxf>
    <dxf>
      <font>
        <name val="Aptos"/>
      </font>
      <numFmt numFmtId="1" formatCode="0"/>
    </dxf>
    <dxf>
      <font>
        <name val="Aptos"/>
      </font>
      <numFmt numFmtId="1" formatCode="0"/>
    </dxf>
    <dxf>
      <font>
        <sz val="10"/>
        <name val="Aptos"/>
      </font>
      <numFmt numFmtId="13" formatCode="0%"/>
    </dxf>
    <dxf>
      <font>
        <sz val="10"/>
        <name val="Aptos"/>
      </font>
      <numFmt numFmtId="3" formatCode="#,##0"/>
    </dxf>
    <dxf>
      <font>
        <sz val="10"/>
        <name val="Aptos"/>
      </font>
      <numFmt numFmtId="3" formatCode="#,##0"/>
    </dxf>
    <dxf>
      <font>
        <sz val="10"/>
        <name val="Aptos"/>
      </font>
      <numFmt numFmtId="3" formatCode="#,##0"/>
    </dxf>
    <dxf>
      <font>
        <sz val="10"/>
        <name val="Aptos"/>
      </font>
      <numFmt numFmtId="3" formatCode="#,##0"/>
    </dxf>
    <dxf>
      <font>
        <sz val="10"/>
        <name val="Aptos"/>
      </font>
      <numFmt numFmtId="1" formatCode="0"/>
    </dxf>
    <dxf>
      <font>
        <sz val="10"/>
        <name val="Aptos"/>
      </font>
      <numFmt numFmtId="13" formatCode="0%"/>
    </dxf>
    <dxf>
      <font>
        <sz val="10"/>
        <name val="Aptos"/>
      </font>
      <numFmt numFmtId="3" formatCode="#,##0"/>
    </dxf>
    <dxf>
      <font>
        <sz val="10"/>
        <name val="Aptos"/>
      </font>
      <numFmt numFmtId="3" formatCode="#,##0"/>
    </dxf>
    <dxf>
      <font>
        <sz val="10"/>
        <name val="Aptos"/>
      </font>
      <numFmt numFmtId="1" formatCode="0"/>
    </dxf>
    <dxf>
      <font>
        <sz val="10"/>
        <name val="Aptos"/>
      </font>
      <numFmt numFmtId="1" formatCode="0"/>
    </dxf>
    <dxf>
      <font>
        <sz val="10"/>
        <name val="Aptos"/>
      </font>
      <numFmt numFmtId="1" formatCode="0"/>
    </dxf>
    <dxf>
      <font>
        <sz val="10"/>
        <name val="Aptos"/>
      </font>
      <numFmt numFmtId="13" formatCode="0%"/>
    </dxf>
    <dxf>
      <font>
        <sz val="10"/>
        <name val="Aptos"/>
      </font>
      <numFmt numFmtId="3" formatCode="#,##0"/>
    </dxf>
    <dxf>
      <font>
        <sz val="10"/>
        <name val="Aptos"/>
      </font>
      <numFmt numFmtId="3" formatCode="#,##0"/>
    </dxf>
    <dxf>
      <font>
        <sz val="10"/>
        <name val="Aptos"/>
      </font>
      <numFmt numFmtId="3" formatCode="#,##0"/>
    </dxf>
    <dxf>
      <font>
        <sz val="10"/>
        <name val="Aptos"/>
      </font>
      <numFmt numFmtId="3" formatCode="#,##0"/>
    </dxf>
    <dxf>
      <font>
        <sz val="10"/>
        <name val="Aptos"/>
      </font>
      <numFmt numFmtId="3" formatCode="#,##0"/>
    </dxf>
    <dxf>
      <font>
        <sz val="10"/>
        <name val="Aptos"/>
      </font>
      <numFmt numFmtId="3" formatCode="#,##0"/>
    </dxf>
    <dxf>
      <font>
        <sz val="10"/>
        <name val="Aptos"/>
      </font>
      <numFmt numFmtId="3" formatCode="#,##0"/>
    </dxf>
    <dxf>
      <font>
        <sz val="10"/>
        <name val="Aptos"/>
      </font>
      <numFmt numFmtId="3" formatCode="#,##0"/>
    </dxf>
    <dxf>
      <font>
        <sz val="10"/>
        <name val="Aptos"/>
      </font>
      <numFmt numFmtId="3" formatCode="#,##0"/>
    </dxf>
    <dxf>
      <font>
        <sz val="10"/>
        <name val="Aptos"/>
      </font>
      <numFmt numFmtId="13" formatCode="0%"/>
    </dxf>
    <dxf>
      <font>
        <sz val="10"/>
        <name val="Aptos"/>
      </font>
      <numFmt numFmtId="3" formatCode="#,##0"/>
    </dxf>
    <dxf>
      <font>
        <sz val="10"/>
        <name val="Aptos"/>
      </font>
      <numFmt numFmtId="3" formatCode="#,##0"/>
    </dxf>
    <dxf>
      <font>
        <sz val="10"/>
        <name val="Aptos"/>
      </font>
      <numFmt numFmtId="3" formatCode="#,##0"/>
    </dxf>
    <dxf>
      <font>
        <sz val="10"/>
        <name val="Aptos"/>
      </font>
      <numFmt numFmtId="3" formatCode="#,##0"/>
    </dxf>
    <dxf>
      <font>
        <sz val="10"/>
        <name val="Aptos"/>
      </font>
      <numFmt numFmtId="3" formatCode="#,##0"/>
    </dxf>
    <dxf>
      <font>
        <sz val="10"/>
        <name val="Aptos"/>
      </font>
      <numFmt numFmtId="3" formatCode="#,##0"/>
    </dxf>
    <dxf>
      <font>
        <sz val="10"/>
        <name val="Aptos"/>
      </font>
      <numFmt numFmtId="3" formatCode="#,##0"/>
    </dxf>
    <dxf>
      <font>
        <sz val="10"/>
        <name val="Aptos"/>
      </font>
      <numFmt numFmtId="3" formatCode="#,##0"/>
    </dxf>
    <dxf>
      <font>
        <sz val="10"/>
        <name val="Aptos"/>
      </font>
      <numFmt numFmtId="13" formatCode="0%"/>
    </dxf>
    <dxf>
      <font>
        <sz val="10"/>
        <name val="Aptos"/>
      </font>
      <numFmt numFmtId="3" formatCode="#,##0"/>
    </dxf>
    <dxf>
      <font>
        <sz val="10"/>
        <name val="Aptos"/>
      </font>
      <numFmt numFmtId="3" formatCode="#,##0"/>
    </dxf>
    <dxf>
      <font>
        <sz val="10"/>
        <name val="Aptos"/>
      </font>
      <numFmt numFmtId="3" formatCode="#,##0"/>
    </dxf>
    <dxf>
      <font>
        <sz val="10"/>
        <name val="Aptos"/>
      </font>
      <numFmt numFmtId="3" formatCode="#,##0"/>
    </dxf>
    <dxf>
      <font>
        <sz val="10"/>
        <name val="Aptos"/>
      </font>
      <numFmt numFmtId="3" formatCode="#,##0"/>
    </dxf>
    <dxf>
      <font>
        <sz val="10"/>
        <name val="Aptos"/>
      </font>
      <numFmt numFmtId="3" formatCode="#,##0"/>
    </dxf>
    <dxf>
      <font>
        <sz val="10"/>
        <name val="Aptos"/>
      </font>
      <numFmt numFmtId="3" formatCode="#,##0"/>
    </dxf>
    <dxf>
      <font>
        <sz val="10"/>
        <name val="Aptos"/>
      </font>
      <numFmt numFmtId="3" formatCode="#,##0"/>
    </dxf>
    <dxf>
      <font>
        <sz val="10"/>
        <name val="Aptos"/>
      </font>
      <numFmt numFmtId="13" formatCode="0%"/>
    </dxf>
    <dxf>
      <font>
        <sz val="10"/>
        <name val="Aptos"/>
      </font>
      <numFmt numFmtId="3" formatCode="#,##0"/>
    </dxf>
    <dxf>
      <font>
        <sz val="10"/>
        <name val="Aptos"/>
      </font>
      <numFmt numFmtId="3" formatCode="#,##0"/>
    </dxf>
    <dxf>
      <font>
        <sz val="10"/>
        <name val="Aptos"/>
      </font>
      <numFmt numFmtId="3" formatCode="#,##0"/>
    </dxf>
    <dxf>
      <font>
        <sz val="10"/>
        <name val="Aptos"/>
      </font>
      <numFmt numFmtId="3" formatCode="#,##0"/>
    </dxf>
    <dxf>
      <font>
        <sz val="10"/>
        <name val="Aptos"/>
      </font>
      <numFmt numFmtId="3" formatCode="#,##0"/>
    </dxf>
    <dxf>
      <font>
        <sz val="10"/>
        <name val="Aptos"/>
      </font>
      <numFmt numFmtId="3" formatCode="#,##0"/>
    </dxf>
    <dxf>
      <font>
        <sz val="10"/>
        <name val="Aptos"/>
      </font>
      <numFmt numFmtId="3" formatCode="#,##0"/>
    </dxf>
    <dxf>
      <font>
        <sz val="10"/>
        <name val="Aptos"/>
      </font>
      <numFmt numFmtId="3" formatCode="#,##0"/>
    </dxf>
    <dxf>
      <font>
        <sz val="10"/>
        <name val="Aptos"/>
      </font>
      <numFmt numFmtId="3" formatCode="#,##0"/>
    </dxf>
    <dxf>
      <font>
        <color rgb="FFFFFFFF"/>
      </font>
      <fill>
        <patternFill patternType="solid">
          <fgColor indexed="64"/>
          <bgColor rgb="FFEF4444"/>
        </patternFill>
      </fill>
    </dxf>
    <dxf>
      <font>
        <color rgb="FFFFFFFF"/>
      </font>
      <fill>
        <patternFill patternType="solid">
          <fgColor indexed="64"/>
          <bgColor rgb="FF10B981"/>
        </patternFill>
      </fill>
    </dxf>
    <dxf>
      <font>
        <color rgb="FFFFFFFF"/>
      </font>
      <fill>
        <patternFill patternType="solid">
          <fgColor indexed="64"/>
          <bgColor rgb="FF94A3B8"/>
        </patternFill>
      </fill>
    </dxf>
    <dxf>
      <font>
        <color rgb="FFFFFFFF"/>
      </font>
      <fill>
        <patternFill patternType="solid">
          <fgColor indexed="64"/>
          <bgColor rgb="FF10B981"/>
        </patternFill>
      </fill>
    </dxf>
    <dxf>
      <font>
        <color rgb="FF000000"/>
      </font>
      <fill>
        <patternFill patternType="solid">
          <fgColor indexed="64"/>
          <bgColor rgb="FFF59E0B"/>
        </patternFill>
      </fill>
    </dxf>
    <dxf>
      <font>
        <color rgb="FFFFFFFF"/>
      </font>
      <fill>
        <patternFill patternType="solid">
          <fgColor indexed="64"/>
          <bgColor rgb="FFEF4444"/>
        </patternFill>
      </fill>
    </dxf>
    <dxf>
      <font>
        <color rgb="FFFFFFFF"/>
      </font>
      <fill>
        <patternFill patternType="solid">
          <fgColor indexed="64"/>
          <bgColor rgb="FF94A3B8"/>
        </patternFill>
      </fill>
    </dxf>
    <dxf>
      <font>
        <color rgb="FFFFFFFF"/>
      </font>
      <fill>
        <patternFill patternType="solid">
          <fgColor indexed="64"/>
          <bgColor rgb="FF10B981"/>
        </patternFill>
      </fill>
    </dxf>
    <dxf>
      <font>
        <color rgb="FF000000"/>
      </font>
      <fill>
        <patternFill patternType="solid">
          <fgColor indexed="64"/>
          <bgColor rgb="FFF59E0B"/>
        </patternFill>
      </fill>
    </dxf>
    <dxf>
      <font>
        <color rgb="FFFFFFFF"/>
      </font>
      <fill>
        <patternFill patternType="solid">
          <fgColor indexed="64"/>
          <bgColor rgb="FFEF4444"/>
        </patternFill>
      </fill>
    </dxf>
    <dxf>
      <font>
        <color rgb="FFFFFFFF"/>
      </font>
      <fill>
        <patternFill patternType="solid">
          <fgColor indexed="64"/>
          <bgColor rgb="FF10B981"/>
        </patternFill>
      </fill>
    </dxf>
    <dxf>
      <font>
        <color rgb="FF000000"/>
      </font>
      <fill>
        <patternFill patternType="solid">
          <fgColor indexed="64"/>
          <bgColor rgb="FFF59E0B"/>
        </patternFill>
      </fill>
    </dxf>
    <dxf>
      <font>
        <color rgb="FFFFFFFF"/>
      </font>
      <fill>
        <patternFill patternType="solid">
          <fgColor indexed="64"/>
          <bgColor rgb="FFEF4444"/>
        </patternFill>
      </fill>
    </dxf>
    <dxf>
      <font>
        <color rgb="FFFFFFFF"/>
      </font>
      <fill>
        <patternFill patternType="solid">
          <fgColor indexed="64"/>
          <bgColor rgb="FF10B981"/>
        </patternFill>
      </fill>
    </dxf>
    <dxf>
      <font>
        <color rgb="FF000000"/>
      </font>
      <fill>
        <patternFill patternType="solid">
          <fgColor indexed="64"/>
          <bgColor rgb="FFF59E0B"/>
        </patternFill>
      </fill>
    </dxf>
    <dxf>
      <font>
        <color rgb="FFFFFFFF"/>
      </font>
      <fill>
        <patternFill patternType="solid">
          <fgColor indexed="64"/>
          <bgColor rgb="FFEF4444"/>
        </patternFill>
      </fill>
    </dxf>
    <dxf>
      <font>
        <color rgb="FFFFFFFF"/>
      </font>
      <fill>
        <patternFill patternType="solid">
          <fgColor indexed="64"/>
          <bgColor rgb="FF10B981"/>
        </patternFill>
      </fill>
    </dxf>
    <dxf>
      <font>
        <color rgb="FF000000"/>
      </font>
      <fill>
        <patternFill patternType="solid">
          <fgColor indexed="64"/>
          <bgColor rgb="FFF59E0B"/>
        </patternFill>
      </fill>
    </dxf>
    <dxf>
      <font>
        <color rgb="FFFFFFFF"/>
      </font>
      <fill>
        <patternFill patternType="solid">
          <fgColor indexed="64"/>
          <bgColor rgb="FFEF4444"/>
        </patternFill>
      </fill>
    </dxf>
    <dxf>
      <font>
        <color rgb="FFFFFFFF"/>
      </font>
      <fill>
        <patternFill patternType="solid">
          <fgColor indexed="64"/>
          <bgColor rgb="FF10B981"/>
        </patternFill>
      </fill>
    </dxf>
    <dxf>
      <font>
        <color rgb="FF000000"/>
      </font>
      <fill>
        <patternFill patternType="solid">
          <fgColor indexed="64"/>
          <bgColor rgb="FFF59E0B"/>
        </patternFill>
      </fill>
    </dxf>
    <dxf>
      <font>
        <color rgb="FFFFFFFF"/>
      </font>
      <fill>
        <patternFill patternType="solid">
          <fgColor indexed="64"/>
          <bgColor rgb="FFEF4444"/>
        </patternFill>
      </fill>
    </dxf>
    <dxf>
      <font>
        <color rgb="FFFFFFFF"/>
      </font>
      <fill>
        <patternFill patternType="solid">
          <fgColor indexed="64"/>
          <bgColor rgb="FF10B981"/>
        </patternFill>
      </fill>
    </dxf>
    <dxf>
      <font>
        <color rgb="FF000000"/>
      </font>
      <fill>
        <patternFill patternType="solid">
          <fgColor indexed="64"/>
          <bgColor rgb="FFF59E0B"/>
        </patternFill>
      </fill>
    </dxf>
    <dxf>
      <font>
        <color rgb="FFFFFFFF"/>
      </font>
      <fill>
        <patternFill patternType="solid">
          <fgColor indexed="64"/>
          <bgColor rgb="FFEF4444"/>
        </patternFill>
      </fill>
    </dxf>
    <dxf>
      <font>
        <sz val="10"/>
        <name val="Aptos"/>
      </font>
      <alignment wrapText="1"/>
    </dxf>
    <dxf>
      <font>
        <sz val="10"/>
        <name val="Aptos"/>
      </font>
      <alignment wrapText="1"/>
    </dxf>
    <dxf>
      <font>
        <sz val="10"/>
        <name val="Aptos"/>
      </font>
      <alignment wrapText="1"/>
    </dxf>
    <dxf>
      <font>
        <sz val="10"/>
        <name val="Aptos"/>
      </font>
      <alignment wrapText="1"/>
    </dxf>
    <dxf>
      <font>
        <sz val="10"/>
        <name val="Aptos"/>
      </font>
      <alignment wrapText="1"/>
    </dxf>
    <dxf>
      <font>
        <sz val="10"/>
        <name val="Aptos"/>
      </font>
      <alignment wrapText="1"/>
    </dxf>
    <dxf>
      <font>
        <color rgb="FFFFFFFF"/>
      </font>
      <fill>
        <patternFill patternType="solid">
          <fgColor indexed="64"/>
          <bgColor rgb="FFEF4444"/>
        </patternFill>
      </fill>
    </dxf>
    <dxf>
      <font>
        <color rgb="FFFFFFFF"/>
      </font>
      <fill>
        <patternFill patternType="solid">
          <fgColor indexed="64"/>
          <bgColor rgb="FF10B981"/>
        </patternFill>
      </fill>
    </dxf>
    <dxf>
      <fill>
        <patternFill patternType="solid">
          <fgColor indexed="64"/>
          <bgColor rgb="FFF59E0B"/>
        </patternFill>
      </fill>
    </dxf>
    <dxf>
      <font>
        <color rgb="FFFFFFFF"/>
      </font>
      <fill>
        <patternFill patternType="solid">
          <fgColor indexed="64"/>
          <bgColor rgb="FFEF4444"/>
        </patternFill>
      </fill>
    </dxf>
    <dxf>
      <font>
        <color rgb="FFFFFFFF"/>
      </font>
      <fill>
        <patternFill patternType="solid">
          <fgColor indexed="64"/>
          <bgColor rgb="FF10B981"/>
        </patternFill>
      </fill>
    </dxf>
    <dxf>
      <fill>
        <patternFill patternType="solid">
          <fgColor indexed="64"/>
          <bgColor rgb="FFF59E0B"/>
        </patternFill>
      </fill>
    </dxf>
    <dxf>
      <font>
        <color rgb="FFFFFFFF"/>
      </font>
      <fill>
        <patternFill patternType="solid">
          <fgColor indexed="64"/>
          <bgColor rgb="FFEF4444"/>
        </patternFill>
      </fill>
    </dxf>
    <dxf>
      <font>
        <b/>
        <sz val="10"/>
        <color rgb="FFFFFFFF"/>
        <name val="Aptos"/>
      </font>
      <fill>
        <patternFill patternType="solid">
          <fgColor indexed="64"/>
          <bgColor rgb="FF17365D"/>
        </patternFill>
      </fill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name val="Aptos"/>
      </font>
    </dxf>
    <dxf>
      <font>
        <b/>
        <color rgb="FFFFFFFF"/>
        <name val="Aptos"/>
      </font>
      <fill>
        <patternFill patternType="solid">
          <fgColor indexed="64"/>
          <bgColor rgb="FF44546A"/>
        </patternFill>
      </fill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b/>
        <color rgb="FFFFFFFF"/>
        <name val="Aptos"/>
      </font>
      <fill>
        <patternFill patternType="solid">
          <fgColor indexed="64"/>
          <bgColor rgb="FF44546A"/>
        </patternFill>
      </fill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b/>
        <color rgb="FFFFFFFF"/>
        <name val="Aptos"/>
      </font>
      <fill>
        <patternFill patternType="solid">
          <fgColor indexed="64"/>
          <bgColor rgb="FF44546A"/>
        </patternFill>
      </fill>
    </dxf>
    <dxf>
      <font>
        <name val="Aptos"/>
      </font>
      <numFmt numFmtId="169" formatCode="yyyy\-mm\-dd"/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  <numFmt numFmtId="169" formatCode="yyyy\-mm\-dd"/>
    </dxf>
    <dxf>
      <font>
        <name val="Aptos"/>
      </font>
    </dxf>
    <dxf>
      <font>
        <b/>
        <color rgb="FFFFFFFF"/>
        <name val="Aptos"/>
      </font>
      <fill>
        <patternFill patternType="solid">
          <fgColor indexed="64"/>
          <bgColor rgb="FF44546A"/>
        </patternFill>
      </fill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b/>
        <color rgb="FFFFFFFF"/>
        <name val="Aptos"/>
      </font>
      <fill>
        <patternFill patternType="solid">
          <fgColor indexed="64"/>
          <bgColor rgb="FF44546A"/>
        </patternFill>
      </fill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b/>
        <color rgb="FFFFFFFF"/>
        <name val="Aptos"/>
      </font>
      <fill>
        <patternFill patternType="solid">
          <fgColor indexed="64"/>
          <bgColor rgb="FF44546A"/>
        </patternFill>
      </fill>
    </dxf>
    <dxf>
      <font>
        <name val="Aptos"/>
      </font>
    </dxf>
    <dxf>
      <font>
        <name val="Aptos"/>
      </font>
    </dxf>
    <dxf>
      <font>
        <name val="Aptos"/>
      </font>
    </dxf>
    <dxf>
      <font>
        <b/>
        <color rgb="FFFFFFFF"/>
        <name val="Aptos"/>
      </font>
      <fill>
        <patternFill patternType="solid">
          <fgColor indexed="64"/>
          <bgColor rgb="FF44546A"/>
        </patternFill>
      </fill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b/>
        <sz val="10"/>
        <color rgb="FFFFFFFF"/>
        <name val="Aptos"/>
      </font>
      <fill>
        <patternFill patternType="solid">
          <fgColor indexed="64"/>
          <bgColor rgb="FF17365D"/>
        </patternFill>
      </fill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b/>
        <sz val="10"/>
        <color rgb="FFFFFFFF"/>
        <name val="Aptos"/>
      </font>
      <fill>
        <patternFill patternType="solid">
          <fgColor indexed="64"/>
          <bgColor rgb="FF17365D"/>
        </patternFill>
      </fill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b/>
        <sz val="10"/>
        <color rgb="FFFFFFFF"/>
        <name val="Aptos"/>
      </font>
      <fill>
        <patternFill patternType="solid">
          <fgColor indexed="64"/>
          <bgColor rgb="FF17365D"/>
        </patternFill>
      </fill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b/>
        <sz val="10"/>
        <color rgb="FFFFFFFF"/>
        <name val="Aptos"/>
      </font>
      <fill>
        <patternFill patternType="solid">
          <fgColor indexed="64"/>
          <bgColor rgb="FF17365D"/>
        </patternFill>
      </fill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b/>
        <sz val="10"/>
        <color rgb="FFFFFFFF"/>
        <name val="Aptos"/>
      </font>
      <fill>
        <patternFill patternType="solid">
          <fgColor indexed="64"/>
          <bgColor rgb="FF17365D"/>
        </patternFill>
      </fill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b/>
        <sz val="10"/>
        <color rgb="FFFFFFFF"/>
        <name val="Aptos"/>
      </font>
      <fill>
        <patternFill patternType="solid">
          <fgColor indexed="64"/>
          <bgColor rgb="FF17365D"/>
        </patternFill>
      </fill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b/>
        <sz val="10"/>
        <color rgb="FFFFFFFF"/>
        <name val="Aptos"/>
      </font>
      <fill>
        <patternFill patternType="solid">
          <fgColor indexed="64"/>
          <bgColor rgb="FF17365D"/>
        </patternFill>
      </fill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b/>
        <sz val="10"/>
        <color rgb="FFFFFFFF"/>
        <name val="Aptos"/>
      </font>
      <fill>
        <patternFill patternType="solid">
          <fgColor indexed="64"/>
          <bgColor rgb="FF17365D"/>
        </patternFill>
      </fill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b/>
        <sz val="10"/>
        <color rgb="FFFFFFFF"/>
        <name val="Aptos"/>
      </font>
      <fill>
        <patternFill patternType="solid">
          <fgColor indexed="64"/>
          <bgColor rgb="FF17365D"/>
        </patternFill>
      </fill>
    </dxf>
    <dxf>
      <font>
        <sz val="10"/>
        <name val="Aptos"/>
      </font>
    </dxf>
    <dxf>
      <font>
        <sz val="10"/>
        <name val="Aptos"/>
      </font>
    </dxf>
    <dxf>
      <font>
        <b/>
        <sz val="10"/>
        <color rgb="FFFFFFFF"/>
        <name val="Aptos"/>
      </font>
      <fill>
        <patternFill patternType="solid">
          <fgColor indexed="64"/>
          <bgColor rgb="FF17365D"/>
        </patternFill>
      </fill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b/>
        <sz val="10"/>
        <color rgb="FFFFFFFF"/>
        <name val="Aptos"/>
      </font>
      <fill>
        <patternFill patternType="solid">
          <fgColor indexed="64"/>
          <bgColor rgb="FF17365D"/>
        </patternFill>
      </fill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b/>
        <sz val="10"/>
        <color rgb="FFFFFFFF"/>
        <name val="Aptos"/>
      </font>
      <fill>
        <patternFill patternType="solid">
          <fgColor indexed="64"/>
          <bgColor rgb="FF17365D"/>
        </patternFill>
      </fill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b/>
        <sz val="10"/>
        <color rgb="FFFFFFFF"/>
        <name val="Aptos"/>
      </font>
      <fill>
        <patternFill patternType="solid">
          <fgColor indexed="64"/>
          <bgColor rgb="FF17365D"/>
        </patternFill>
      </fill>
    </dxf>
    <dxf>
      <font>
        <sz val="10"/>
        <name val="Aptos"/>
      </font>
    </dxf>
    <dxf>
      <font>
        <sz val="10"/>
        <name val="Aptos"/>
      </font>
      <numFmt numFmtId="19" formatCode="m/d/yyyy"/>
    </dxf>
    <dxf>
      <font>
        <sz val="10"/>
        <name val="Aptos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Månedlig regnskap, budsjett og prognoser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Executive!$P$1</c:f>
              <c:strCache>
                <c:ptCount val="1"/>
                <c:pt idx="0">
                  <c:v>Regnskap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5"/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nb-NO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6B5-45B8-AE34-12EE22DFC03B}"/>
                </c:ext>
              </c:extLst>
            </c:dLbl>
            <c:dLbl>
              <c:idx val="11"/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nb-NO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A6B5-45B8-AE34-12EE22DFC03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b-N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Executive!$O$2:$O$13</c:f>
              <c:numCache>
                <c:formatCode>General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Executive!$P$2:$P$13</c:f>
              <c:numCache>
                <c:formatCode>General</c:formatCode>
                <c:ptCount val="12"/>
                <c:pt idx="0">
                  <c:v>886590.89</c:v>
                </c:pt>
                <c:pt idx="1">
                  <c:v>885568.37</c:v>
                </c:pt>
                <c:pt idx="2">
                  <c:v>882743.84</c:v>
                </c:pt>
                <c:pt idx="3">
                  <c:v>884688.6</c:v>
                </c:pt>
                <c:pt idx="4">
                  <c:v>886594.01</c:v>
                </c:pt>
                <c:pt idx="5">
                  <c:v>878946.8</c:v>
                </c:pt>
                <c:pt idx="6">
                  <c:v>882587.44</c:v>
                </c:pt>
                <c:pt idx="7">
                  <c:v>881030.94</c:v>
                </c:pt>
                <c:pt idx="8">
                  <c:v>888804.07</c:v>
                </c:pt>
                <c:pt idx="9">
                  <c:v>885955.13</c:v>
                </c:pt>
                <c:pt idx="10">
                  <c:v>882682.31</c:v>
                </c:pt>
                <c:pt idx="11">
                  <c:v>890935.79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B5-45B8-AE34-12EE22DFC03B}"/>
            </c:ext>
          </c:extLst>
        </c:ser>
        <c:ser>
          <c:idx val="1"/>
          <c:order val="1"/>
          <c:tx>
            <c:strRef>
              <c:f>Executive!$Q$1</c:f>
              <c:strCache>
                <c:ptCount val="1"/>
                <c:pt idx="0">
                  <c:v>Budsjett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7"/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nb-NO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6B5-45B8-AE34-12EE22DFC03B}"/>
                </c:ext>
              </c:extLst>
            </c:dLbl>
            <c:dLbl>
              <c:idx val="11"/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nb-NO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A6B5-45B8-AE34-12EE22DFC03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b-N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Executive!$O$2:$O$13</c:f>
              <c:numCache>
                <c:formatCode>General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Executive!$Q$2:$Q$13</c:f>
              <c:numCache>
                <c:formatCode>General</c:formatCode>
                <c:ptCount val="12"/>
                <c:pt idx="0">
                  <c:v>894153.22</c:v>
                </c:pt>
                <c:pt idx="1">
                  <c:v>894318.26</c:v>
                </c:pt>
                <c:pt idx="2">
                  <c:v>895847.16</c:v>
                </c:pt>
                <c:pt idx="3">
                  <c:v>898814.14</c:v>
                </c:pt>
                <c:pt idx="4">
                  <c:v>894976.25</c:v>
                </c:pt>
                <c:pt idx="5">
                  <c:v>893181.32</c:v>
                </c:pt>
                <c:pt idx="6">
                  <c:v>895462.67</c:v>
                </c:pt>
                <c:pt idx="7">
                  <c:v>892991.49</c:v>
                </c:pt>
                <c:pt idx="8">
                  <c:v>896365.57</c:v>
                </c:pt>
                <c:pt idx="9">
                  <c:v>895660.2</c:v>
                </c:pt>
                <c:pt idx="10">
                  <c:v>894175.47</c:v>
                </c:pt>
                <c:pt idx="11">
                  <c:v>901787.07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B5-45B8-AE34-12EE22DFC03B}"/>
            </c:ext>
          </c:extLst>
        </c:ser>
        <c:ser>
          <c:idx val="2"/>
          <c:order val="2"/>
          <c:tx>
            <c:strRef>
              <c:f>Executive!$R$1</c:f>
              <c:strCache>
                <c:ptCount val="1"/>
                <c:pt idx="0">
                  <c:v>FC1_2026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nb-NO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6B5-45B8-AE34-12EE22DFC03B}"/>
                </c:ext>
              </c:extLst>
            </c:dLbl>
            <c:dLbl>
              <c:idx val="9"/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nb-NO"/>
                </a:p>
              </c:txPr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6B5-45B8-AE34-12EE22DFC03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b-N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Executive!$O$2:$O$13</c:f>
              <c:numCache>
                <c:formatCode>General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Executive!$R$2:$R$13</c:f>
              <c:numCache>
                <c:formatCode>General</c:formatCode>
                <c:ptCount val="12"/>
                <c:pt idx="0">
                  <c:v>3099875.34</c:v>
                </c:pt>
                <c:pt idx="1">
                  <c:v>3017684.34</c:v>
                </c:pt>
                <c:pt idx="2">
                  <c:v>3042930.13</c:v>
                </c:pt>
                <c:pt idx="3">
                  <c:v>3009968.24</c:v>
                </c:pt>
                <c:pt idx="4">
                  <c:v>2753059.17</c:v>
                </c:pt>
                <c:pt idx="5">
                  <c:v>2726527.42</c:v>
                </c:pt>
                <c:pt idx="6">
                  <c:v>2547474</c:v>
                </c:pt>
                <c:pt idx="7">
                  <c:v>2972320.59</c:v>
                </c:pt>
                <c:pt idx="8">
                  <c:v>3271950.6</c:v>
                </c:pt>
                <c:pt idx="9">
                  <c:v>3397240.33</c:v>
                </c:pt>
                <c:pt idx="10">
                  <c:v>2803889.74</c:v>
                </c:pt>
                <c:pt idx="11">
                  <c:v>2829716.08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B5-45B8-AE34-12EE22DFC03B}"/>
            </c:ext>
          </c:extLst>
        </c:ser>
        <c:ser>
          <c:idx val="3"/>
          <c:order val="3"/>
          <c:tx>
            <c:strRef>
              <c:f>Executive!$S$1</c:f>
              <c:strCache>
                <c:ptCount val="1"/>
                <c:pt idx="0">
                  <c:v>FC2_2026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8"/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nb-NO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6B5-45B8-AE34-12EE22DFC03B}"/>
                </c:ext>
              </c:extLst>
            </c:dLbl>
            <c:dLbl>
              <c:idx val="10"/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nb-NO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6B5-45B8-AE34-12EE22DFC03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b-N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Executive!$O$2:$O$13</c:f>
              <c:numCache>
                <c:formatCode>General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Executive!$S$2:$S$13</c:f>
              <c:numCache>
                <c:formatCode>General</c:formatCode>
                <c:ptCount val="12"/>
                <c:pt idx="0">
                  <c:v>3099875.34</c:v>
                </c:pt>
                <c:pt idx="1">
                  <c:v>3017684.34</c:v>
                </c:pt>
                <c:pt idx="2">
                  <c:v>3042930.13</c:v>
                </c:pt>
                <c:pt idx="3">
                  <c:v>3009968.24</c:v>
                </c:pt>
                <c:pt idx="4">
                  <c:v>3063401.27</c:v>
                </c:pt>
                <c:pt idx="5">
                  <c:v>3015779.11</c:v>
                </c:pt>
                <c:pt idx="6">
                  <c:v>2998834.66</c:v>
                </c:pt>
                <c:pt idx="7">
                  <c:v>3009860.98</c:v>
                </c:pt>
                <c:pt idx="8">
                  <c:v>3596687.09</c:v>
                </c:pt>
                <c:pt idx="9">
                  <c:v>3012557.79</c:v>
                </c:pt>
                <c:pt idx="10">
                  <c:v>2516820.25</c:v>
                </c:pt>
                <c:pt idx="11">
                  <c:v>2571759.9700000002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B5-45B8-AE34-12EE22DFC03B}"/>
            </c:ext>
          </c:extLst>
        </c:ser>
        <c:ser>
          <c:idx val="4"/>
          <c:order val="4"/>
          <c:tx>
            <c:strRef>
              <c:f>Executive!$T$1</c:f>
              <c:strCache>
                <c:ptCount val="1"/>
                <c:pt idx="0">
                  <c:v>LE_2026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Lbl>
              <c:idx val="10"/>
              <c:layout>
                <c:manualLayout>
                  <c:x val="5.2083333333332064E-3"/>
                  <c:y val="4.4776119402985072E-2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nb-NO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A6B5-45B8-AE34-12EE22DFC03B}"/>
                </c:ext>
              </c:extLst>
            </c:dLbl>
            <c:dLbl>
              <c:idx val="11"/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nb-NO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6B5-45B8-AE34-12EE22DFC03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b-N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Executive!$O$2:$O$13</c:f>
              <c:numCache>
                <c:formatCode>General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Executive!$T$2:$T$13</c:f>
              <c:numCache>
                <c:formatCode>General</c:formatCode>
                <c:ptCount val="12"/>
                <c:pt idx="0">
                  <c:v>3099875.34</c:v>
                </c:pt>
                <c:pt idx="1">
                  <c:v>3017684.34</c:v>
                </c:pt>
                <c:pt idx="2">
                  <c:v>3042930.13</c:v>
                </c:pt>
                <c:pt idx="3">
                  <c:v>3009968.24</c:v>
                </c:pt>
                <c:pt idx="4">
                  <c:v>3063401.27</c:v>
                </c:pt>
                <c:pt idx="5">
                  <c:v>3015779.11</c:v>
                </c:pt>
                <c:pt idx="6">
                  <c:v>2998834.66</c:v>
                </c:pt>
                <c:pt idx="7">
                  <c:v>3009860.98</c:v>
                </c:pt>
                <c:pt idx="8">
                  <c:v>3080740.83</c:v>
                </c:pt>
                <c:pt idx="9">
                  <c:v>3013998.67</c:v>
                </c:pt>
                <c:pt idx="10">
                  <c:v>2433558.59</c:v>
                </c:pt>
                <c:pt idx="11">
                  <c:v>4006892.15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6B5-45B8-AE34-12EE22DFC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0434144"/>
        <c:axId val="1747064655"/>
      </c:lineChart>
      <c:catAx>
        <c:axId val="780434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747064655"/>
        <c:crosses val="autoZero"/>
        <c:auto val="1"/>
        <c:lblAlgn val="ctr"/>
        <c:lblOffset val="100"/>
        <c:noMultiLvlLbl val="0"/>
      </c:catAx>
      <c:valAx>
        <c:axId val="1747064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780434144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b-NO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Forecastavvik per fakultet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Executive!$AA$1</c:f>
              <c:strCache>
                <c:ptCount val="1"/>
                <c:pt idx="0">
                  <c:v>Forecastavvik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b-N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Executive!$W$2:$W$8</c:f>
              <c:strCache>
                <c:ptCount val="7"/>
                <c:pt idx="0">
                  <c:v>Kunstfag</c:v>
                </c:pt>
                <c:pt idx="1">
                  <c:v>Helse- og idrettsvitenskap</c:v>
                </c:pt>
                <c:pt idx="2">
                  <c:v>Samfunnsvitenskap</c:v>
                </c:pt>
                <c:pt idx="3">
                  <c:v>Teknologi og realfag</c:v>
                </c:pt>
                <c:pt idx="4">
                  <c:v>Handelshoyskolen</c:v>
                </c:pt>
                <c:pt idx="5">
                  <c:v>Fellesadministrasjon</c:v>
                </c:pt>
                <c:pt idx="6">
                  <c:v>Humaniora og pedagogikk</c:v>
                </c:pt>
              </c:strCache>
            </c:strRef>
          </c:cat>
          <c:val>
            <c:numRef>
              <c:f>Executive!$AA$2:$AA$8</c:f>
              <c:numCache>
                <c:formatCode>General</c:formatCode>
                <c:ptCount val="7"/>
                <c:pt idx="0">
                  <c:v>4624772.72</c:v>
                </c:pt>
                <c:pt idx="1">
                  <c:v>4534483.54</c:v>
                </c:pt>
                <c:pt idx="2">
                  <c:v>4158245.01</c:v>
                </c:pt>
                <c:pt idx="3">
                  <c:v>3890110.06</c:v>
                </c:pt>
                <c:pt idx="4">
                  <c:v>3360774.79</c:v>
                </c:pt>
                <c:pt idx="5">
                  <c:v>2823414.69</c:v>
                </c:pt>
                <c:pt idx="6">
                  <c:v>2653990.6800000002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E5-400E-A376-D647B73644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80375680"/>
        <c:axId val="1747006575"/>
      </c:barChart>
      <c:catAx>
        <c:axId val="78037568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747006575"/>
        <c:crosses val="autoZero"/>
        <c:auto val="1"/>
        <c:lblAlgn val="ctr"/>
        <c:lblOffset val="100"/>
        <c:noMultiLvlLbl val="0"/>
      </c:catAx>
      <c:valAx>
        <c:axId val="1747006575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780375680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b-NO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6350</xdr:rowOff>
    </xdr:from>
    <xdr:to>
      <xdr:col>13</xdr:col>
      <xdr:colOff>0</xdr:colOff>
      <xdr:row>15</xdr:row>
      <xdr:rowOff>44450</xdr:rowOff>
    </xdr:to>
    <xdr:graphicFrame macro="">
      <xdr:nvGraphicFramePr>
        <xdr:cNvPr id="2" name="Monthly Performance">
          <a:extLst>
            <a:ext uri="{FF2B5EF4-FFF2-40B4-BE49-F238E27FC236}">
              <a16:creationId xmlns:a16="http://schemas.microsoft.com/office/drawing/2014/main" id="{A3452267-E687-B02B-C74C-7834F4E3D8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16</xdr:row>
      <xdr:rowOff>47625</xdr:rowOff>
    </xdr:from>
    <xdr:to>
      <xdr:col>13</xdr:col>
      <xdr:colOff>0</xdr:colOff>
      <xdr:row>30</xdr:row>
      <xdr:rowOff>85725</xdr:rowOff>
    </xdr:to>
    <xdr:graphicFrame macro="">
      <xdr:nvGraphicFramePr>
        <xdr:cNvPr id="3" name="Faculty Forecast Variance">
          <a:extLst>
            <a:ext uri="{FF2B5EF4-FFF2-40B4-BE49-F238E27FC236}">
              <a16:creationId xmlns:a16="http://schemas.microsoft.com/office/drawing/2014/main" id="{FC82B4F5-50E3-02CA-7B02-3DB124761F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0A0F28-C5F8-4079-8854-0B5AAA9F6F19}" name="tblMonthly" displayName="tblMonthly" ref="A1:G13" totalsRowShown="0" headerRowDxfId="225" dataDxfId="226">
  <autoFilter ref="A1:G13" xr:uid="{0A0A0F28-C5F8-4079-8854-0B5AAA9F6F19}"/>
  <tableColumns count="7">
    <tableColumn id="1" xr3:uid="{AE2D9898-1D44-47F4-8ACE-126A716BB67C}" name="Maaned" dataDxfId="228"/>
    <tableColumn id="2" xr3:uid="{143F399B-1369-4786-8A96-32EB431078FE}" name="Dato" dataDxfId="227"/>
    <tableColumn id="3" xr3:uid="{B4D084D4-A6DD-4B89-8B14-912FC2A51D94}" name="Regnskap" dataDxfId="53"/>
    <tableColumn id="4" xr3:uid="{EF53FF1C-9B64-4D7F-95D3-00B5BD258826}" name="Budsjett" dataDxfId="52"/>
    <tableColumn id="5" xr3:uid="{AB48B9FD-6CF6-4B7F-9786-CE6BD8C15D0E}" name="FC1_2026" dataDxfId="51"/>
    <tableColumn id="6" xr3:uid="{9922AC08-EFF7-4C77-832F-32103195BF87}" name="FC2_2026" dataDxfId="50"/>
    <tableColumn id="7" xr3:uid="{1E8C83B9-4758-4D70-88EE-3F508833F7A4}" name="LE_2026" dataDxfId="4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E7ED45-B798-4CF9-86D2-0F81E43CF714}" name="tblFaculty" displayName="tblFaculty" ref="A1:K8" totalsRowShown="0" headerRowDxfId="221" dataDxfId="222">
  <autoFilter ref="A1:K8" xr:uid="{F9E7ED45-B798-4CF9-86D2-0F81E43CF714}"/>
  <tableColumns count="11">
    <tableColumn id="1" xr3:uid="{5E0EFE05-ED2B-4579-B96D-478D926776ED}" name="Fakultet" dataDxfId="224"/>
    <tableColumn id="2" xr3:uid="{709BADAD-80FD-4154-B8D9-8DFE3DE9B1AE}" name="Fakultetsnavn" dataDxfId="223"/>
    <tableColumn id="3" xr3:uid="{6177B7D7-F242-4974-BA86-6DAE65AE7EB6}" name="Regnskap" dataDxfId="48"/>
    <tableColumn id="4" xr3:uid="{BE3896BF-E91D-4189-AE7E-97C4BBE552C9}" name="Budsjett" dataDxfId="47"/>
    <tableColumn id="5" xr3:uid="{F7317AA9-CFB9-4F05-B0BF-CBBCCB67A439}" name="LE" dataDxfId="46"/>
    <tableColumn id="6" xr3:uid="{663A4DBF-AF8E-4BCE-B1F9-BE166E1DBAFC}" name="Forecastavvik" dataDxfId="45">
      <calculatedColumnFormula>E2-D2</calculatedColumnFormula>
    </tableColumn>
    <tableColumn id="7" xr3:uid="{654FC2B5-82A7-4CA8-9BAC-8F587E2CFAD7}" name="ForecastavvikPct" dataDxfId="44">
      <calculatedColumnFormula>IFERROR(F2/D2,"")</calculatedColumnFormula>
    </tableColumn>
    <tableColumn id="8" xr3:uid="{B3641DF1-F9BA-45FD-BCC8-AE7B6BA46A89}" name="Aarsverk" dataDxfId="43"/>
    <tableColumn id="9" xr3:uid="{C6E6F5FD-1BDF-4B22-B504-3736AF5A1AC5}" name="FagligeAarsverk" dataDxfId="42"/>
    <tableColumn id="10" xr3:uid="{1C6F503C-0C3F-4053-98B2-D5A963EB9B5D}" name="RegistrerteStudenter" dataDxfId="41"/>
    <tableColumn id="11" xr3:uid="{2811A021-1506-41E0-818E-16C879FBAD60}" name="StudenterPerFagligAarsverk" dataDxfId="4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41A5DCF-3BCD-41AD-80FE-2406252A30C0}" name="tblInstitute" displayName="tblInstitute" ref="A1:M21" totalsRowShown="0" headerRowDxfId="174" dataDxfId="175">
  <autoFilter ref="A1:M21" xr:uid="{C41A5DCF-3BCD-41AD-80FE-2406252A30C0}"/>
  <tableColumns count="13">
    <tableColumn id="1" xr3:uid="{E4F7124C-928C-4DC4-B067-641810A20DC6}" name="Fakultet" dataDxfId="179"/>
    <tableColumn id="2" xr3:uid="{D6865B92-67AE-49BF-BD02-790F6E442F59}" name="Fakultetsnavn" dataDxfId="178"/>
    <tableColumn id="3" xr3:uid="{AE4A2E48-71CC-4BC8-8A2B-0714C0186A3E}" name="Institutt" dataDxfId="177"/>
    <tableColumn id="4" xr3:uid="{A5ABDD3B-E96E-4A8A-B479-5E676D953BD2}" name="Instituttnavn" dataDxfId="176"/>
    <tableColumn id="5" xr3:uid="{84ECE64D-D16E-4B12-909B-D4856D650C32}" name="Regnskap" dataDxfId="39"/>
    <tableColumn id="6" xr3:uid="{0CFA3A5A-9717-4FAB-810E-E4BB921979D0}" name="Budsjett" dataDxfId="38"/>
    <tableColumn id="7" xr3:uid="{CD4818B9-22D7-43E0-9040-0E4AEB7075A4}" name="LE" dataDxfId="37"/>
    <tableColumn id="8" xr3:uid="{6731B699-21B9-488B-9065-5C86FD327C36}" name="Forecastavvik" dataDxfId="36">
      <calculatedColumnFormula>G2-F2</calculatedColumnFormula>
    </tableColumn>
    <tableColumn id="9" xr3:uid="{05DD5C31-FDC8-4AB9-8EC7-DE86DF5F3F50}" name="ForecastavvikPct" dataDxfId="35">
      <calculatedColumnFormula>IFERROR(H2/F2,"")</calculatedColumnFormula>
    </tableColumn>
    <tableColumn id="10" xr3:uid="{38B19787-1B56-4EF3-9FF4-DFDB60C3B2B8}" name="Aarsverk" dataDxfId="34"/>
    <tableColumn id="11" xr3:uid="{7C9BDD89-71FA-4079-91A1-6D39280E8C16}" name="FagligeAarsverk" dataDxfId="33"/>
    <tableColumn id="12" xr3:uid="{C8519A59-E068-4FE4-9C80-34245564DFA7}" name="RegistrerteStudenter" dataDxfId="32"/>
    <tableColumn id="13" xr3:uid="{F5F59733-8461-4D6D-BF7A-EBF002B0F966}" name="StudenterPerFagligAarsverk" dataDxfId="3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CCB3F4F-D61B-4C6C-A483-6875127A19C6}" name="tblAccountVariance" displayName="tblAccountVariance" ref="A1:I41" totalsRowShown="0" headerRowDxfId="150" dataDxfId="151">
  <autoFilter ref="A1:I41" xr:uid="{ACCB3F4F-D61B-4C6C-A483-6875127A19C6}"/>
  <tableColumns count="9">
    <tableColumn id="1" xr3:uid="{C96D470E-9AD6-4F29-AFD5-3E76590854F3}" name="Konto" dataDxfId="9"/>
    <tableColumn id="2" xr3:uid="{829DD095-7BB8-4971-89FF-1A29A2F7F516}" name="Kontonavn" dataDxfId="154"/>
    <tableColumn id="3" xr3:uid="{35D4CAE7-08ED-49C8-9254-1BEABE8F3209}" name="Kontotype" dataDxfId="153"/>
    <tableColumn id="4" xr3:uid="{B3B46D62-14CB-4CB1-AB36-D9565510A1FE}" name="SRS_regnskapslinje" dataDxfId="152"/>
    <tableColumn id="5" xr3:uid="{9BDD6BFB-2277-4E2F-8DDF-3B261E3FFA6F}" name="Regnskap" dataDxfId="8"/>
    <tableColumn id="6" xr3:uid="{B6A54ED3-7B30-4C8B-AAA0-36E2C66AD5C4}" name="Budsjett" dataDxfId="7"/>
    <tableColumn id="7" xr3:uid="{35702FE6-426D-4948-81E4-D5664A8AC534}" name="LE" dataDxfId="6"/>
    <tableColumn id="8" xr3:uid="{71BBA441-7B4F-4A63-ADD9-AC174660E806}" name="Forecastavvik" dataDxfId="5">
      <calculatedColumnFormula>G2-F2</calculatedColumnFormula>
    </tableColumn>
    <tableColumn id="9" xr3:uid="{4E53853D-D758-428B-87E2-CCAA76CEBAE3}" name="ForecastavvikPct" dataDxfId="4">
      <calculatedColumnFormula>IFERROR(H2/F2,"")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AB0370D-0D4B-4033-A0B4-6E11DD8CDEF4}" name="tblProjects" displayName="tblProjects" ref="A1:J5" totalsRowShown="0" headerRowDxfId="214" dataDxfId="215">
  <autoFilter ref="A1:J5" xr:uid="{9AB0370D-0D4B-4033-A0B4-6E11DD8CDEF4}"/>
  <tableColumns count="10">
    <tableColumn id="1" xr3:uid="{1B881ED9-B173-4CF8-B663-083B9ECC6D05}" name="Prosjekt" dataDxfId="220"/>
    <tableColumn id="2" xr3:uid="{9107D49D-AE7D-49AE-9137-7B10E7F1115E}" name="Prosjektnavn" dataDxfId="219"/>
    <tableColumn id="3" xr3:uid="{D2305D39-625A-4362-8097-53FBB58980BA}" name="Finansieringstype" dataDxfId="218"/>
    <tableColumn id="4" xr3:uid="{BA1C4068-AFFF-48C2-9498-A815AB416EB8}" name="Finansieringskilde" dataDxfId="217"/>
    <tableColumn id="5" xr3:uid="{CF381BDB-A397-436A-B1F5-57A5F824A16C}" name="Prosjektkategori" dataDxfId="216"/>
    <tableColumn id="6" xr3:uid="{05EE3CD1-50EC-48CB-803C-07ACBD33F403}" name="Regnskap" dataDxfId="30"/>
    <tableColumn id="7" xr3:uid="{5FD17748-04E6-44DF-A55F-8BA83284D23F}" name="Budsjett" dataDxfId="29"/>
    <tableColumn id="8" xr3:uid="{E700868B-5A56-4623-BEAC-1E2E31505276}" name="LE" dataDxfId="28"/>
    <tableColumn id="9" xr3:uid="{7820FDC7-2199-4A26-9602-6DFC966E3356}" name="Forecastavvik" dataDxfId="27">
      <calculatedColumnFormula>H2-G2</calculatedColumnFormula>
    </tableColumn>
    <tableColumn id="10" xr3:uid="{66383D7A-C1DD-4AE6-B4AC-03AA4842AEB6}" name="ForecastavvikPct" dataDxfId="26">
      <calculatedColumnFormula>IFERROR(I2/G2,"")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DD94967-9245-4D5B-895D-2C694D22DAA3}" name="tblFTE" displayName="tblFTE" ref="A1:E6" totalsRowShown="0" headerRowDxfId="209" dataDxfId="210">
  <autoFilter ref="A1:E6" xr:uid="{BDD94967-9245-4D5B-895D-2C694D22DAA3}"/>
  <tableColumns count="5">
    <tableColumn id="1" xr3:uid="{4BF1F189-526C-4837-8BAD-918B6AB3E046}" name="Stillingsgruppe" dataDxfId="213"/>
    <tableColumn id="2" xr3:uid="{25E1103C-5344-4767-8C48-1E2F83B8CC1B}" name="Stillingsgruppenavn" dataDxfId="212"/>
    <tableColumn id="3" xr3:uid="{7C080732-681F-41F2-B854-552B41812344}" name="Stillingskategori" dataDxfId="211"/>
    <tableColumn id="4" xr3:uid="{850F2A25-477C-4E0D-86A8-7642436783E9}" name="Aarsverk" dataDxfId="25"/>
    <tableColumn id="5" xr3:uid="{B588177B-D24D-487D-B563-A3EA656A908A}" name="FagligeAarsverk" dataDxfId="2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39F1E96-88D9-4125-B859-84AEF0E45B70}" name="tblStudyPrograms" displayName="tblStudyPrograms" ref="A1:J37" totalsRowShown="0" headerRowDxfId="167" dataDxfId="168">
  <autoFilter ref="A1:J37" xr:uid="{E39F1E96-88D9-4125-B859-84AEF0E45B70}"/>
  <tableColumns count="10">
    <tableColumn id="1" xr3:uid="{F0210253-4578-4B94-A10B-B0B185199751}" name="Studieprogram" dataDxfId="173"/>
    <tableColumn id="2" xr3:uid="{99E1D0B8-1AE1-4918-853B-4CDE87A1808E}" name="Studieprogramnavn" dataDxfId="172"/>
    <tableColumn id="3" xr3:uid="{88586B47-C8C4-4F32-BB20-85F4C2D4D829}" name="Studienivaa" dataDxfId="171"/>
    <tableColumn id="4" xr3:uid="{4A193314-A543-46FA-8064-04953C8CF151}" name="Fakultet" dataDxfId="170"/>
    <tableColumn id="5" xr3:uid="{4C1C0B35-EF7A-4C16-BC4D-F9B5DC9AAC0D}" name="Institutt" dataDxfId="169"/>
    <tableColumn id="6" xr3:uid="{DC9DC4AF-CF84-4C4A-860A-1B04A6C68758}" name="PlanlagteStudiepoeng" dataDxfId="20"/>
    <tableColumn id="7" xr3:uid="{00680DD3-936E-4D6E-A0E4-C86A7EA6F0EB}" name="AvlagteStudiepoeng" dataDxfId="19"/>
    <tableColumn id="8" xr3:uid="{0CAF213D-4A16-4325-9818-0F1211897E82}" name="SPE60" dataDxfId="18"/>
    <tableColumn id="9" xr3:uid="{7DF4D401-8F2E-4A68-8C06-B43597E4F650}" name="RegistrerteStudenter" dataDxfId="17"/>
    <tableColumn id="10" xr3:uid="{8F75BF4C-3752-49BD-AD2A-4F5B390A86B1}" name="Maaloppnaaelse" dataDxfId="16">
      <calculatedColumnFormula>IFERROR(G2/F2,"")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7731D31-1910-42F9-AB4B-745598081D54}" name="tblActions" displayName="tblActions" ref="A1:R17" totalsRowShown="0" headerRowDxfId="155" dataDxfId="156">
  <autoFilter ref="A1:R17" xr:uid="{97731D31-1910-42F9-AB4B-745598081D54}"/>
  <tableColumns count="18">
    <tableColumn id="1" xr3:uid="{641C169D-BA61-436B-AD3B-876C1E08AF44}" name="TiltakID" dataDxfId="166"/>
    <tableColumn id="2" xr3:uid="{0792511A-8E48-4FDD-87A5-8AB4F91429E9}" name="Fakultet" dataDxfId="165"/>
    <tableColumn id="3" xr3:uid="{CA6CCA69-8703-4D48-B6F7-04DC7114C9CD}" name="Institutt" dataDxfId="164"/>
    <tableColumn id="4" xr3:uid="{A3D2C5A2-590A-4E8F-A157-9BD29A3672D4}" name="Organisasjonsnokkel" dataDxfId="163"/>
    <tableColumn id="5" xr3:uid="{50C72C9E-024A-4251-AE22-3C1D714CA2F2}" name="Prosjekt" dataDxfId="162"/>
    <tableColumn id="6" xr3:uid="{5E2D5FB8-9BAE-4A0C-AB70-9685DDE9C83F}" name="Prosjektnavn" dataDxfId="161"/>
    <tableColumn id="7" xr3:uid="{71E773D9-FBCE-49D0-874A-CE07B0C21C34}" name="Konto" dataDxfId="15"/>
    <tableColumn id="8" xr3:uid="{A0AD2D83-3305-48CE-B848-E14F3BE29E30}" name="Kontonavn" dataDxfId="160"/>
    <tableColumn id="9" xr3:uid="{CECE9494-9DC3-4B0B-A692-7CB05D26E138}" name="Avviksarsak" dataDxfId="84"/>
    <tableColumn id="10" xr3:uid="{57DCB560-7024-4AC8-A205-20B2DB6AED2C}" name="Tiltaksbeskrivelse" dataDxfId="83"/>
    <tableColumn id="11" xr3:uid="{CE86BD7E-4114-4823-9639-1E4C4E6B537F}" name="AnsvarligRolle" dataDxfId="159"/>
    <tableColumn id="12" xr3:uid="{FED518C5-6670-4823-A217-9059CB007AC3}" name="StartDatoNokkel" dataDxfId="14"/>
    <tableColumn id="13" xr3:uid="{E64D2E0F-AB46-421B-A2E4-CEAB88CD21F5}" name="FristDatoNokkel" dataDxfId="13"/>
    <tableColumn id="14" xr3:uid="{E6F5158B-C206-42D6-9C80-25DAB3A2D4D2}" name="ForventetEffekt" dataDxfId="12"/>
    <tableColumn id="15" xr3:uid="{4E9AF1A8-3C2D-4F26-93E9-3DAE7297AACB}" name="RealisertEffekt" dataDxfId="11"/>
    <tableColumn id="16" xr3:uid="{573C52F3-E138-4F1C-B530-77B4B73D79E4}" name="Status" dataDxfId="158"/>
    <tableColumn id="17" xr3:uid="{606E77AA-497B-433D-85E1-FFC9E00A1414}" name="Prioritet" dataDxfId="157"/>
    <tableColumn id="18" xr3:uid="{0A55F842-8AA1-4E64-AD18-FA7320EB69EF}" name="Sannsynlighet" dataDxfId="1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E9798F7-9CB5-4BAD-879C-255A10B144BE}" name="tblActionStatus" displayName="tblActionStatus" ref="A1:D5" totalsRowShown="0" headerRowDxfId="206" dataDxfId="207">
  <autoFilter ref="A1:D5" xr:uid="{2E9798F7-9CB5-4BAD-879C-255A10B144BE}"/>
  <tableColumns count="4">
    <tableColumn id="1" xr3:uid="{E4B0C890-7F91-4421-B536-6FF3A7EB374B}" name="Status" dataDxfId="208"/>
    <tableColumn id="2" xr3:uid="{1F4EA9DD-F1C5-4CFA-85CD-ECC4FB958110}" name="ForventetEffekt" dataDxfId="23"/>
    <tableColumn id="3" xr3:uid="{6874C634-0574-456F-B07A-DEC9F6746D20}" name="RealisertEffekt" dataDxfId="22"/>
    <tableColumn id="4" xr3:uid="{34B3F541-4A8E-4E76-A6A8-AA11A344C5E9}" name="Antall" dataDxfId="2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E85D43E-5DE9-47BA-A174-D77DC1932AF7}" name="tblQA" displayName="tblQA" ref="A1:D23" totalsRowShown="0" headerRowDxfId="195" dataDxfId="196">
  <autoFilter ref="A1:D23" xr:uid="{AE85D43E-5DE9-47BA-A174-D77DC1932AF7}"/>
  <tableColumns count="4">
    <tableColumn id="1" xr3:uid="{9C972C75-32A8-463F-8404-AA3BB8DE965D}" name="Relasjon" dataDxfId="200"/>
    <tableColumn id="2" xr3:uid="{24C89717-FF05-4C4A-9284-7807ECB2A5E8}" name="Faktarader" dataDxfId="199"/>
    <tableColumn id="3" xr3:uid="{329EA98B-A577-4523-806D-404EF5B0D149}" name="Orphans" dataDxfId="198"/>
    <tableColumn id="4" xr3:uid="{D2C0CEA0-EE18-48D7-BA9C-130816EE355A}" name="Status" dataDxfId="197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281632B-F60A-4BAA-AE11-6641BF85ABAD}" name="tblRelationships" displayName="tblRelationships" ref="A1:G23" totalsRowShown="0" headerRowDxfId="186" dataDxfId="187">
  <autoFilter ref="A1:G23" xr:uid="{5281632B-F60A-4BAA-AE11-6641BF85ABAD}"/>
  <tableColumns count="7">
    <tableColumn id="1" xr3:uid="{C2E98E23-BB5D-48FE-B0D6-55BCC0C94113}" name="FraTabell" dataDxfId="194"/>
    <tableColumn id="2" xr3:uid="{EF0F4E7C-7741-4524-9CA3-BF7FE6555D49}" name="FraKolonne" dataDxfId="193"/>
    <tableColumn id="3" xr3:uid="{F997BD5E-3605-4F8B-AF9F-52206209C41E}" name="TilTabell" dataDxfId="192"/>
    <tableColumn id="4" xr3:uid="{123EBF19-1BF6-4A58-B170-9FC74F4F1047}" name="TilKolonne" dataDxfId="191"/>
    <tableColumn id="5" xr3:uid="{8747B96C-EAFD-47FD-B2F8-D2CA68E8A1FC}" name="Kardinalitet" dataDxfId="190"/>
    <tableColumn id="6" xr3:uid="{72EC5A86-29B2-4195-8C65-DC2611704A33}" name="Kryssfiltrering" dataDxfId="189"/>
    <tableColumn id="7" xr3:uid="{FBFF315D-3214-47E6-AE84-0732A40FDDBF}" name="Status" dataDxfId="188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3EB1888-8502-49CC-98F6-50D41AD7D651}" name="tblModelGuide" displayName="tblModelGuide" ref="A1:E16" totalsRowShown="0" headerRowDxfId="180" dataDxfId="181">
  <autoFilter ref="A1:E16" xr:uid="{13EB1888-8502-49CC-98F6-50D41AD7D651}"/>
  <tableColumns count="5">
    <tableColumn id="1" xr3:uid="{5D35CAE8-4464-46AC-B887-1B3EC13A4539}" name="Tabell" dataDxfId="185"/>
    <tableColumn id="2" xr3:uid="{E83941F0-0337-4B43-AAA3-3F9AD7397574}" name="Type" dataDxfId="184"/>
    <tableColumn id="3" xr3:uid="{31075F52-FCE7-44A9-AAF3-35E941102314}" name="Rader" dataDxfId="183"/>
    <tableColumn id="4" xr3:uid="{574D00C3-AECF-49D0-96DA-3320FB3FAD37}" name="Kolonner" dataDxfId="182"/>
    <tableColumn id="5" xr3:uid="{DD839340-D55F-4839-84D1-DBFA36D00202}" name="Felt" dataDxfId="79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367F4E8C-F846-40F0-BF10-200665220641}" name="tblGlossary" displayName="tblGlossary" ref="A1:I61" totalsRowShown="0" headerRowDxfId="92" dataDxfId="93">
  <autoFilter ref="A1:I61" xr:uid="{367F4E8C-F846-40F0-BF10-200665220641}"/>
  <tableColumns count="9">
    <tableColumn id="1" xr3:uid="{24881238-41F6-4D80-A782-F228978F33B9}" name="BegrepID" dataDxfId="99"/>
    <tableColumn id="2" xr3:uid="{F5154EA8-2749-4036-856E-211EC33218CA}" name="Begrep" dataDxfId="98"/>
    <tableColumn id="3" xr3:uid="{B77DA516-8C87-489D-9CD8-5B1E30EEF8AC}" name="FulltNavn" dataDxfId="97"/>
    <tableColumn id="4" xr3:uid="{437F877F-04DC-4371-A6F6-AA3AE0236B6B}" name="Kategori" dataDxfId="96"/>
    <tableColumn id="5" xr3:uid="{18AB9CC7-E04C-4E62-B237-07BEEBEC66CA}" name="Definisjon" dataDxfId="82"/>
    <tableColumn id="6" xr3:uid="{0D8BEEE8-8982-416F-94B0-8E441A74DF40}" name="PraktiskTolkning" dataDxfId="81"/>
    <tableColumn id="7" xr3:uid="{7CFA14D7-AF57-4E8A-B6F9-A8CE30721882}" name="FormelDAX" dataDxfId="80"/>
    <tableColumn id="8" xr3:uid="{27F09A27-B719-46AD-BC94-D215E1C0C466}" name="RolleKontekst" dataDxfId="95"/>
    <tableColumn id="9" xr3:uid="{1052B7C4-5578-4172-BF27-24F6E7107896}" name="RelevantRapport" dataDxfId="94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FB59B561-EC4D-417B-BA2E-41CBBFE48BE4}" name="tblDimDate" displayName="tblDimDate" ref="A1:G731" totalsRowShown="0" headerRowDxfId="118" dataDxfId="117">
  <autoFilter ref="A1:G731" xr:uid="{FB59B561-EC4D-417B-BA2E-41CBBFE48BE4}"/>
  <tableColumns count="7">
    <tableColumn id="1" xr3:uid="{906F295C-B99D-48E6-895A-D06ECD161268}" name="Dato" dataDxfId="125"/>
    <tableColumn id="2" xr3:uid="{BADC787E-AA0B-49A7-8948-EB8A3043E7A0}" name="DatoNokkel" dataDxfId="124"/>
    <tableColumn id="3" xr3:uid="{5315F6AF-9578-4FAF-9802-15A623252069}" name="Aar" dataDxfId="123"/>
    <tableColumn id="4" xr3:uid="{4BB70401-A024-49CE-9D42-B4C72F5285E5}" name="Kvartal" dataDxfId="122"/>
    <tableColumn id="5" xr3:uid="{7164F609-E7E3-4AA3-A319-2FD3D5A0545A}" name="MaanedNr" dataDxfId="121"/>
    <tableColumn id="6" xr3:uid="{B0EE2CF4-CE07-4CFE-BCB3-6F66A7E322D0}" name="AarMaaned" dataDxfId="120"/>
    <tableColumn id="7" xr3:uid="{9C95DC22-33CF-4994-9290-3E73B56EB321}" name="MaanedStart" dataDxfId="119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AC1FD948-FFD0-44C4-967B-49BC2395FD9A}" name="tblDimOrganization" displayName="tblDimOrganization" ref="A1:H41" totalsRowShown="0" headerRowDxfId="108" dataDxfId="107">
  <autoFilter ref="A1:H41" xr:uid="{AC1FD948-FFD0-44C4-967B-49BC2395FD9A}"/>
  <tableColumns count="8">
    <tableColumn id="1" xr3:uid="{D4BC9923-747E-42AA-B039-272471911340}" name="Organisasjonsnokkel" dataDxfId="116"/>
    <tableColumn id="2" xr3:uid="{CCA5CBC2-6DBF-4970-B9CA-709A2426F889}" name="Fakultet" dataDxfId="115"/>
    <tableColumn id="3" xr3:uid="{1D67BFD4-ACBE-413D-84A7-5EAA6DD38A9C}" name="Fakultetsnavn" dataDxfId="114"/>
    <tableColumn id="4" xr3:uid="{4A127539-5A4E-4A6F-B683-283AC48081F0}" name="Institutt" dataDxfId="113"/>
    <tableColumn id="5" xr3:uid="{05A7A5A8-FB3B-4A13-AF41-78AC9B1B7C0E}" name="Instituttnavn" dataDxfId="112"/>
    <tableColumn id="6" xr3:uid="{5C7BBF95-E793-47EC-A517-DEC24A7868C0}" name="Koststed" dataDxfId="111"/>
    <tableColumn id="7" xr3:uid="{36A02B45-9E1C-48AB-BDB8-D9A6041C1731}" name="Koststednavn" dataDxfId="110"/>
    <tableColumn id="8" xr3:uid="{FC10EABF-5E9F-42FA-8D78-D66880E68AFC}" name="Koststedtype" dataDxfId="109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B900B09-2F2A-49D9-8F61-8F00B7E97341}" name="tblDimAccount" displayName="tblDimAccount" ref="A1:H47" totalsRowShown="0" headerRowDxfId="143" dataDxfId="142">
  <autoFilter ref="A1:H47" xr:uid="{5B900B09-2F2A-49D9-8F61-8F00B7E97341}"/>
  <tableColumns count="8">
    <tableColumn id="1" xr3:uid="{183225EC-4959-4E70-8D6E-7C2A7BA90976}" name="Konto" dataDxfId="3"/>
    <tableColumn id="2" xr3:uid="{D46F9687-2E99-4F5D-8CFB-AE510F4F1953}" name="StandardKonto3" dataDxfId="2"/>
    <tableColumn id="3" xr3:uid="{8D2A879F-0141-42AF-BBDF-B792C89D84A4}" name="Kontonavn" dataDxfId="149"/>
    <tableColumn id="4" xr3:uid="{167E71C7-9DCE-467B-AEC9-4AA4F9197DFF}" name="Kontoklasse" dataDxfId="148"/>
    <tableColumn id="5" xr3:uid="{47ADCD56-448D-43B1-9ADF-84FD751E79EA}" name="Kontogruppe" dataDxfId="147"/>
    <tableColumn id="6" xr3:uid="{51897E3C-C108-4A4D-84D6-3EFFE4F25018}" name="Kontotype" dataDxfId="146"/>
    <tableColumn id="7" xr3:uid="{17AFBFD1-7776-4457-AF0A-E868D8ADEC29}" name="SRS_regnskapslinje" dataDxfId="145"/>
    <tableColumn id="8" xr3:uid="{91A5484A-234D-4E96-8215-B3D77184191E}" name="AktuellFor" dataDxfId="144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258DD0D8-65C8-40BD-ACA8-80457B90B0A4}" name="tblDimProject" displayName="tblDimProject" ref="A1:E7" totalsRowShown="0" headerRowDxfId="127" dataDxfId="126">
  <autoFilter ref="A1:E7" xr:uid="{258DD0D8-65C8-40BD-ACA8-80457B90B0A4}"/>
  <tableColumns count="5">
    <tableColumn id="1" xr3:uid="{A1A77C3B-C340-4EB8-97B8-4B14C56A8FF8}" name="Prosjekt" dataDxfId="132"/>
    <tableColumn id="2" xr3:uid="{5974BA18-CCA5-4CDA-81E3-13806BCBF41D}" name="Prosjektnavn" dataDxfId="131"/>
    <tableColumn id="3" xr3:uid="{32E5D57A-0E51-469B-ADE8-0D06896E3170}" name="Finansieringstype" dataDxfId="130"/>
    <tableColumn id="4" xr3:uid="{B8AFA6AD-2ED0-4F6C-BB0B-2FD6DBBDC225}" name="Finansieringskilde" dataDxfId="129"/>
    <tableColumn id="5" xr3:uid="{16CD5BB8-7DAC-4877-91F7-E171C10329ED}" name="Prosjektkategori" dataDxfId="128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C536EEBB-9C3A-4F29-BD14-07FED7EB54EC}" name="tblDimForecastVersion" displayName="tblDimForecastVersion" ref="A1:C4" totalsRowShown="0" headerRowDxfId="139" dataDxfId="138">
  <autoFilter ref="A1:C4" xr:uid="{C536EEBB-9C3A-4F29-BD14-07FED7EB54EC}"/>
  <tableColumns count="3">
    <tableColumn id="1" xr3:uid="{077EE1FB-7B5A-45E9-830B-24EB0261884F}" name="Versjon" dataDxfId="141"/>
    <tableColumn id="2" xr3:uid="{C140D87A-B932-4E91-92F4-73B092FCF90D}" name="Versjonsnavn" dataDxfId="140"/>
    <tableColumn id="3" xr3:uid="{F2F05713-21F5-41AA-8FDB-050BAADD3D97}" name="Sortering" dataDxfId="1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BE125DC6-1114-4D39-83F9-AEA57F9EEA1F}" name="tblDimPositionGroup" displayName="tblDimPositionGroup" ref="A1:C6" totalsRowShown="0" headerRowDxfId="134" dataDxfId="133">
  <autoFilter ref="A1:C6" xr:uid="{BE125DC6-1114-4D39-83F9-AEA57F9EEA1F}"/>
  <tableColumns count="3">
    <tableColumn id="1" xr3:uid="{354C8A3D-46AA-444B-8BEF-28B34738DAAC}" name="Stillingsgruppe" dataDxfId="137"/>
    <tableColumn id="2" xr3:uid="{6CDB549D-9031-4927-B2FE-D13EB25A501B}" name="Stillingsgruppenavn" dataDxfId="136"/>
    <tableColumn id="3" xr3:uid="{889A9E8D-E201-41C7-AAA6-52F6B5394360}" name="Stillingskategori" dataDxfId="135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B168E5DA-CEA1-4C13-96F0-865C706F9881}" name="tblDimStudyProgram" displayName="tblDimStudyProgram" ref="A1:F37" totalsRowShown="0" headerRowDxfId="101" dataDxfId="100">
  <autoFilter ref="A1:F37" xr:uid="{B168E5DA-CEA1-4C13-96F0-865C706F9881}"/>
  <tableColumns count="6">
    <tableColumn id="1" xr3:uid="{7EE7AE1D-946D-4A7C-8BEB-B9C56947B976}" name="Studieprogram" dataDxfId="106"/>
    <tableColumn id="2" xr3:uid="{D594189F-8ABD-4055-845F-4F1A1A82B3DE}" name="Studieprogramnavn" dataDxfId="105"/>
    <tableColumn id="3" xr3:uid="{03D8AD37-441D-4BD7-8E55-B116B0C650B1}" name="Studienivaa" dataDxfId="104"/>
    <tableColumn id="4" xr3:uid="{F5D897E5-7702-4AF0-A7EA-30BF6B592C7C}" name="NormerteStudiepoeng" dataDxfId="0"/>
    <tableColumn id="5" xr3:uid="{09E789CB-EEF3-4823-A546-D15FD5ECAEC0}" name="Institutt" dataDxfId="103"/>
    <tableColumn id="6" xr3:uid="{6EFE20F6-67C4-4264-8EA5-392D1CB826AA}" name="Fakultet" dataDxfId="102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B70B99F-AE7A-43E3-88EE-D8C0D34BD79E}" name="tblBenchmarks" displayName="tblBenchmarks" ref="A1:C22" totalsRowShown="0" headerRowDxfId="201" dataDxfId="202">
  <autoFilter ref="A1:C22" xr:uid="{4B70B99F-AE7A-43E3-88EE-D8C0D34BD79E}"/>
  <tableColumns count="3">
    <tableColumn id="1" xr3:uid="{054B8EA1-DC36-4F19-B499-F520B7B51561}" name="Nøkkeltall" dataDxfId="205"/>
    <tableColumn id="2" xr3:uid="{8A64EC4B-14B3-447E-8ED8-EE2426F6541F}" name="Verdi" dataDxfId="204"/>
    <tableColumn id="3" xr3:uid="{F7422874-908D-4B42-98F3-B5FFBEBA521C}" name="Enhet" dataDxfId="20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53E84-F720-4B9B-8B1B-144A2EA7649E}">
  <dimension ref="A1:AA30"/>
  <sheetViews>
    <sheetView tabSelected="1" workbookViewId="0">
      <selection activeCell="B22" sqref="B22"/>
    </sheetView>
  </sheetViews>
  <sheetFormatPr defaultRowHeight="14.5" x14ac:dyDescent="0.35"/>
  <cols>
    <col min="1" max="1" width="33.453125" customWidth="1"/>
    <col min="2" max="2" width="25.7265625" customWidth="1"/>
    <col min="3" max="3" width="25.1796875" customWidth="1"/>
    <col min="4" max="4" width="26.81640625" customWidth="1"/>
    <col min="5" max="5" width="3.26953125" customWidth="1"/>
    <col min="6" max="13" width="13.08984375" customWidth="1"/>
    <col min="14" max="27" width="0" hidden="1" customWidth="1"/>
  </cols>
  <sheetData>
    <row r="1" spans="1:27" ht="34" customHeight="1" x14ac:dyDescent="0.6">
      <c r="A1" s="9" t="s">
        <v>185</v>
      </c>
      <c r="B1" s="10"/>
      <c r="C1" s="10"/>
      <c r="D1" s="10"/>
      <c r="E1" s="10"/>
      <c r="F1" s="10"/>
      <c r="G1" s="10"/>
      <c r="H1" s="10"/>
      <c r="I1" s="1"/>
      <c r="J1" s="1"/>
      <c r="K1" s="1"/>
      <c r="L1" s="1"/>
      <c r="M1" s="1"/>
      <c r="N1" t="s">
        <v>0</v>
      </c>
      <c r="O1" t="s">
        <v>1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V1" t="s">
        <v>7</v>
      </c>
      <c r="W1" t="s">
        <v>8</v>
      </c>
      <c r="X1" t="s">
        <v>2</v>
      </c>
      <c r="Y1" t="s">
        <v>3</v>
      </c>
      <c r="Z1" t="s">
        <v>9</v>
      </c>
      <c r="AA1" t="s">
        <v>10</v>
      </c>
    </row>
    <row r="2" spans="1:27" x14ac:dyDescent="0.35">
      <c r="A2" s="11" t="s">
        <v>186</v>
      </c>
      <c r="B2" s="10"/>
      <c r="C2" s="10"/>
      <c r="D2" s="10"/>
      <c r="E2" s="10"/>
      <c r="F2" s="10"/>
      <c r="G2" s="10"/>
      <c r="H2" s="10"/>
      <c r="I2" s="1"/>
      <c r="J2" s="1"/>
      <c r="K2" s="1"/>
      <c r="L2" s="1"/>
      <c r="M2" s="1"/>
      <c r="N2">
        <v>202601</v>
      </c>
      <c r="O2">
        <v>46023</v>
      </c>
      <c r="P2">
        <v>886590.89</v>
      </c>
      <c r="Q2">
        <v>894153.22</v>
      </c>
      <c r="R2">
        <v>3099875.34</v>
      </c>
      <c r="S2">
        <v>3099875.34</v>
      </c>
      <c r="T2">
        <v>3099875.34</v>
      </c>
      <c r="V2" t="s">
        <v>22</v>
      </c>
      <c r="W2" t="s">
        <v>23</v>
      </c>
      <c r="X2">
        <v>1945213.28</v>
      </c>
      <c r="Y2">
        <v>1967731.7</v>
      </c>
      <c r="Z2">
        <v>6592504.4199999999</v>
      </c>
      <c r="AA2">
        <v>4624772.72</v>
      </c>
    </row>
    <row r="3" spans="1:27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>
        <v>202602</v>
      </c>
      <c r="O3">
        <v>46054</v>
      </c>
      <c r="P3">
        <v>885568.37</v>
      </c>
      <c r="Q3">
        <v>894318.26</v>
      </c>
      <c r="R3">
        <v>3017684.34</v>
      </c>
      <c r="S3">
        <v>3017684.34</v>
      </c>
      <c r="T3">
        <v>3017684.34</v>
      </c>
      <c r="V3" t="s">
        <v>18</v>
      </c>
      <c r="W3" t="s">
        <v>19</v>
      </c>
      <c r="X3">
        <v>1859939.19</v>
      </c>
      <c r="Y3">
        <v>1882463.25</v>
      </c>
      <c r="Z3">
        <v>6416946.79</v>
      </c>
      <c r="AA3">
        <v>4534483.54</v>
      </c>
    </row>
    <row r="4" spans="1:27" x14ac:dyDescent="0.35">
      <c r="A4" s="12" t="s">
        <v>87</v>
      </c>
      <c r="B4" s="12" t="s">
        <v>90</v>
      </c>
      <c r="C4" s="12" t="s">
        <v>10</v>
      </c>
      <c r="D4" s="12" t="s">
        <v>95</v>
      </c>
      <c r="E4" s="1"/>
      <c r="F4" s="1"/>
      <c r="G4" s="1"/>
      <c r="H4" s="1"/>
      <c r="I4" s="1"/>
      <c r="J4" s="1"/>
      <c r="K4" s="1"/>
      <c r="L4" s="1"/>
      <c r="M4" s="1"/>
      <c r="N4">
        <v>202603</v>
      </c>
      <c r="O4">
        <v>46082</v>
      </c>
      <c r="P4">
        <v>882743.84</v>
      </c>
      <c r="Q4">
        <v>895847.16</v>
      </c>
      <c r="R4">
        <v>3042930.13</v>
      </c>
      <c r="S4">
        <v>3042930.13</v>
      </c>
      <c r="T4">
        <v>3042930.13</v>
      </c>
      <c r="V4" t="s">
        <v>24</v>
      </c>
      <c r="W4" t="s">
        <v>25</v>
      </c>
      <c r="X4">
        <v>1396541.7</v>
      </c>
      <c r="Y4">
        <v>1413910.32</v>
      </c>
      <c r="Z4">
        <v>5572155.3300000001</v>
      </c>
      <c r="AA4">
        <v>4158245.01</v>
      </c>
    </row>
    <row r="5" spans="1:27" ht="28" customHeight="1" x14ac:dyDescent="0.5">
      <c r="A5" s="27">
        <f>_xlfn.XLOOKUP("Årsbudsjett",Benchmarks!A:A,Benchmarks!B:B)</f>
        <v>10747732.82</v>
      </c>
      <c r="B5" s="27">
        <f>_xlfn.XLOOKUP("Latest Estimate",Benchmarks!A:A,Benchmarks!B:B)</f>
        <v>36793524.310000002</v>
      </c>
      <c r="C5" s="27">
        <f>_xlfn.XLOOKUP("Forecastavvik",Benchmarks!A:A,Benchmarks!B:B)</f>
        <v>26045791.490000002</v>
      </c>
      <c r="D5" s="27">
        <f>_xlfn.XLOOKUP("Forecast etter tiltak",Benchmarks!A:A,Benchmarks!B:B)</f>
        <v>26788524.310000002</v>
      </c>
      <c r="E5" s="1"/>
      <c r="F5" s="1"/>
      <c r="G5" s="1"/>
      <c r="H5" s="1"/>
      <c r="I5" s="1"/>
      <c r="J5" s="1"/>
      <c r="K5" s="1"/>
      <c r="L5" s="1"/>
      <c r="M5" s="1"/>
      <c r="N5">
        <v>202604</v>
      </c>
      <c r="O5">
        <v>46113</v>
      </c>
      <c r="P5">
        <v>884688.6</v>
      </c>
      <c r="Q5">
        <v>898814.14</v>
      </c>
      <c r="R5">
        <v>3009968.24</v>
      </c>
      <c r="S5">
        <v>3009968.24</v>
      </c>
      <c r="T5">
        <v>3009968.24</v>
      </c>
      <c r="V5" t="s">
        <v>26</v>
      </c>
      <c r="W5" t="s">
        <v>27</v>
      </c>
      <c r="X5">
        <v>1514986.47</v>
      </c>
      <c r="Y5">
        <v>1533245.45</v>
      </c>
      <c r="Z5">
        <v>5423355.5099999998</v>
      </c>
      <c r="AA5">
        <v>3890110.06</v>
      </c>
    </row>
    <row r="6" spans="1:27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>
        <v>202605</v>
      </c>
      <c r="O6">
        <v>46143</v>
      </c>
      <c r="P6">
        <v>886594.01</v>
      </c>
      <c r="Q6">
        <v>894976.25</v>
      </c>
      <c r="R6">
        <v>2753059.17</v>
      </c>
      <c r="S6">
        <v>3063401.27</v>
      </c>
      <c r="T6">
        <v>3063401.27</v>
      </c>
      <c r="V6" t="s">
        <v>16</v>
      </c>
      <c r="W6" t="s">
        <v>17</v>
      </c>
      <c r="X6">
        <v>1473313.32</v>
      </c>
      <c r="Y6">
        <v>1490346.8</v>
      </c>
      <c r="Z6">
        <v>4851121.59</v>
      </c>
      <c r="AA6">
        <v>3360774.79</v>
      </c>
    </row>
    <row r="7" spans="1:27" x14ac:dyDescent="0.35">
      <c r="A7" s="12" t="s">
        <v>86</v>
      </c>
      <c r="B7" s="12" t="s">
        <v>93</v>
      </c>
      <c r="C7" s="12" t="s">
        <v>187</v>
      </c>
      <c r="D7" s="12" t="s">
        <v>106</v>
      </c>
      <c r="E7" s="1"/>
      <c r="F7" s="1"/>
      <c r="G7" s="1"/>
      <c r="H7" s="1"/>
      <c r="I7" s="1"/>
      <c r="J7" s="1"/>
      <c r="K7" s="1"/>
      <c r="L7" s="1"/>
      <c r="M7" s="1"/>
      <c r="N7">
        <v>202606</v>
      </c>
      <c r="O7">
        <v>46174</v>
      </c>
      <c r="P7">
        <v>878946.8</v>
      </c>
      <c r="Q7">
        <v>893181.32</v>
      </c>
      <c r="R7">
        <v>2726527.42</v>
      </c>
      <c r="S7">
        <v>3015779.11</v>
      </c>
      <c r="T7">
        <v>3015779.11</v>
      </c>
      <c r="V7" t="s">
        <v>28</v>
      </c>
      <c r="W7" t="s">
        <v>29</v>
      </c>
      <c r="X7">
        <v>1199148.3</v>
      </c>
      <c r="Y7">
        <v>1216056.78</v>
      </c>
      <c r="Z7">
        <v>4039471.47</v>
      </c>
      <c r="AA7">
        <v>2823414.69</v>
      </c>
    </row>
    <row r="8" spans="1:27" ht="28" customHeight="1" x14ac:dyDescent="0.5">
      <c r="A8" s="27">
        <f>_xlfn.XLOOKUP("Netto regnskap",Benchmarks!A:A,Benchmarks!B:B)</f>
        <v>10617128.189999999</v>
      </c>
      <c r="B8" s="28">
        <f>_xlfn.XLOOKUP("Realiseringsgrad",Benchmarks!A:A,Benchmarks!B:B)</f>
        <v>0.55593020089955025</v>
      </c>
      <c r="C8" s="29">
        <f>_xlfn.XLOOKUP("Årsverk siste måned",Benchmarks!A:A,Benchmarks!B:B)</f>
        <v>1285.93</v>
      </c>
      <c r="D8" s="29">
        <f>_xlfn.XLOOKUP("SPE60 helår",Benchmarks!A:A,Benchmarks!B:B)</f>
        <v>5615.7380000000003</v>
      </c>
      <c r="E8" s="1"/>
      <c r="F8" s="1"/>
      <c r="G8" s="1"/>
      <c r="H8" s="1"/>
      <c r="I8" s="1"/>
      <c r="J8" s="1"/>
      <c r="K8" s="1"/>
      <c r="L8" s="1"/>
      <c r="M8" s="1"/>
      <c r="N8">
        <v>202607</v>
      </c>
      <c r="O8">
        <v>46204</v>
      </c>
      <c r="P8">
        <v>882587.44</v>
      </c>
      <c r="Q8">
        <v>895462.67</v>
      </c>
      <c r="R8">
        <v>2547474</v>
      </c>
      <c r="S8">
        <v>2998834.66</v>
      </c>
      <c r="T8">
        <v>2998834.66</v>
      </c>
      <c r="V8" t="s">
        <v>20</v>
      </c>
      <c r="W8" t="s">
        <v>21</v>
      </c>
      <c r="X8">
        <v>1227985.93</v>
      </c>
      <c r="Y8">
        <v>1243978.52</v>
      </c>
      <c r="Z8">
        <v>3897969.2</v>
      </c>
      <c r="AA8">
        <v>2653990.6800000002</v>
      </c>
    </row>
    <row r="9" spans="1:27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>
        <v>202608</v>
      </c>
      <c r="O9">
        <v>46235</v>
      </c>
      <c r="P9">
        <v>881030.94</v>
      </c>
      <c r="Q9">
        <v>892991.49</v>
      </c>
      <c r="R9">
        <v>2972320.59</v>
      </c>
      <c r="S9">
        <v>3009860.98</v>
      </c>
      <c r="T9">
        <v>3009860.98</v>
      </c>
    </row>
    <row r="10" spans="1:27" x14ac:dyDescent="0.35">
      <c r="A10" s="13" t="s">
        <v>188</v>
      </c>
      <c r="B10" s="13" t="s">
        <v>69</v>
      </c>
      <c r="C10" s="13" t="s">
        <v>189</v>
      </c>
      <c r="D10" s="13" t="s">
        <v>190</v>
      </c>
      <c r="E10" s="1"/>
      <c r="F10" s="1"/>
      <c r="G10" s="1"/>
      <c r="H10" s="1"/>
      <c r="I10" s="1"/>
      <c r="J10" s="1"/>
      <c r="K10" s="1"/>
      <c r="L10" s="1"/>
      <c r="M10" s="1"/>
      <c r="N10">
        <v>202609</v>
      </c>
      <c r="O10">
        <v>46266</v>
      </c>
      <c r="P10">
        <v>888804.07</v>
      </c>
      <c r="Q10">
        <v>896365.57</v>
      </c>
      <c r="R10">
        <v>3271950.6</v>
      </c>
      <c r="S10">
        <v>3596687.09</v>
      </c>
      <c r="T10">
        <v>3080740.83</v>
      </c>
    </row>
    <row r="11" spans="1:27" x14ac:dyDescent="0.35">
      <c r="A11" s="1" t="s">
        <v>10</v>
      </c>
      <c r="B11" s="14" t="s">
        <v>191</v>
      </c>
      <c r="C11" s="1" t="s">
        <v>192</v>
      </c>
      <c r="D11" s="1" t="s">
        <v>193</v>
      </c>
      <c r="E11" s="1"/>
      <c r="F11" s="1"/>
      <c r="G11" s="1"/>
      <c r="H11" s="1"/>
      <c r="I11" s="1"/>
      <c r="J11" s="1"/>
      <c r="K11" s="1"/>
      <c r="L11" s="1"/>
      <c r="M11" s="1"/>
      <c r="N11">
        <v>202610</v>
      </c>
      <c r="O11">
        <v>46296</v>
      </c>
      <c r="P11">
        <v>885955.13</v>
      </c>
      <c r="Q11">
        <v>895660.2</v>
      </c>
      <c r="R11">
        <v>3397240.33</v>
      </c>
      <c r="S11">
        <v>3012557.79</v>
      </c>
      <c r="T11">
        <v>3013998.67</v>
      </c>
    </row>
    <row r="12" spans="1:27" x14ac:dyDescent="0.35">
      <c r="A12" s="1" t="s">
        <v>194</v>
      </c>
      <c r="B12" s="15" t="s">
        <v>195</v>
      </c>
      <c r="C12" s="1" t="s">
        <v>196</v>
      </c>
      <c r="D12" s="1" t="s">
        <v>197</v>
      </c>
      <c r="E12" s="1"/>
      <c r="F12" s="1"/>
      <c r="G12" s="1"/>
      <c r="H12" s="1"/>
      <c r="I12" s="1"/>
      <c r="J12" s="1"/>
      <c r="K12" s="1"/>
      <c r="L12" s="1"/>
      <c r="M12" s="1"/>
      <c r="N12">
        <v>202611</v>
      </c>
      <c r="O12">
        <v>46327</v>
      </c>
      <c r="P12">
        <v>882682.31</v>
      </c>
      <c r="Q12">
        <v>894175.47</v>
      </c>
      <c r="R12">
        <v>2803889.74</v>
      </c>
      <c r="S12">
        <v>2516820.25</v>
      </c>
      <c r="T12">
        <v>2433558.59</v>
      </c>
    </row>
    <row r="13" spans="1:27" x14ac:dyDescent="0.35">
      <c r="A13" s="1" t="s">
        <v>198</v>
      </c>
      <c r="B13" s="15" t="s">
        <v>195</v>
      </c>
      <c r="C13" s="1" t="s">
        <v>199</v>
      </c>
      <c r="D13" s="1" t="s">
        <v>200</v>
      </c>
      <c r="E13" s="1"/>
      <c r="F13" s="1"/>
      <c r="G13" s="1"/>
      <c r="H13" s="1"/>
      <c r="I13" s="1"/>
      <c r="J13" s="1"/>
      <c r="K13" s="1"/>
      <c r="L13" s="1"/>
      <c r="M13" s="1"/>
      <c r="N13">
        <v>202612</v>
      </c>
      <c r="O13">
        <v>46357</v>
      </c>
      <c r="P13">
        <v>890935.79</v>
      </c>
      <c r="Q13">
        <v>901787.07</v>
      </c>
      <c r="R13">
        <v>2829716.08</v>
      </c>
      <c r="S13">
        <v>2571759.9700000002</v>
      </c>
      <c r="T13">
        <v>4006892.15</v>
      </c>
    </row>
    <row r="14" spans="1:27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27" x14ac:dyDescent="0.35">
      <c r="A15" s="7" t="s">
        <v>879</v>
      </c>
      <c r="B15" s="6"/>
      <c r="C15" s="6"/>
      <c r="D15" s="6"/>
      <c r="E15" s="1"/>
      <c r="F15" s="1"/>
      <c r="G15" s="1"/>
      <c r="H15" s="1"/>
      <c r="I15" s="1"/>
      <c r="J15" s="1"/>
      <c r="K15" s="1"/>
      <c r="L15" s="1"/>
      <c r="M15" s="1"/>
    </row>
    <row r="16" spans="1:27" x14ac:dyDescent="0.35">
      <c r="A16" s="1" t="s">
        <v>880</v>
      </c>
      <c r="B16" s="26" t="s">
        <v>881</v>
      </c>
      <c r="C16" s="15" t="s">
        <v>882</v>
      </c>
      <c r="D16" s="14" t="s">
        <v>883</v>
      </c>
      <c r="E16" s="1"/>
      <c r="F16" s="1"/>
      <c r="G16" s="1"/>
      <c r="H16" s="1"/>
      <c r="I16" s="1"/>
      <c r="J16" s="1"/>
      <c r="K16" s="1"/>
      <c r="L16" s="1"/>
      <c r="M16" s="1"/>
    </row>
    <row r="17" spans="1:13" x14ac:dyDescent="0.35">
      <c r="A17" s="1" t="s">
        <v>884</v>
      </c>
      <c r="B17" s="26" t="s">
        <v>885</v>
      </c>
      <c r="C17" s="15" t="s">
        <v>886</v>
      </c>
      <c r="D17" s="14" t="s">
        <v>887</v>
      </c>
      <c r="E17" s="1"/>
      <c r="F17" s="1"/>
      <c r="G17" s="1"/>
      <c r="H17" s="1"/>
      <c r="I17" s="1"/>
      <c r="J17" s="1"/>
      <c r="K17" s="1"/>
      <c r="L17" s="1"/>
      <c r="M17" s="1"/>
    </row>
    <row r="18" spans="1:13" x14ac:dyDescent="0.35">
      <c r="A18" s="1" t="s">
        <v>888</v>
      </c>
      <c r="B18" s="26" t="s">
        <v>889</v>
      </c>
      <c r="C18" s="15" t="s">
        <v>890</v>
      </c>
      <c r="D18" s="14" t="s">
        <v>891</v>
      </c>
      <c r="E18" s="1"/>
      <c r="F18" s="1"/>
      <c r="G18" s="1"/>
      <c r="H18" s="1"/>
      <c r="I18" s="1"/>
      <c r="J18" s="1"/>
      <c r="K18" s="1"/>
      <c r="L18" s="1"/>
      <c r="M18" s="1"/>
    </row>
    <row r="19" spans="1:13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</sheetData>
  <mergeCells count="3">
    <mergeCell ref="A1:H1"/>
    <mergeCell ref="A2:H2"/>
    <mergeCell ref="A15:D1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7DEAD-F104-483A-836B-868840243DEA}">
  <dimension ref="A1:G13"/>
  <sheetViews>
    <sheetView workbookViewId="0"/>
  </sheetViews>
  <sheetFormatPr defaultRowHeight="14.5" x14ac:dyDescent="0.35"/>
  <cols>
    <col min="1" max="1" width="9.81640625" bestFit="1" customWidth="1"/>
    <col min="2" max="2" width="9.08984375" bestFit="1" customWidth="1"/>
    <col min="3" max="3" width="11.26953125" bestFit="1" customWidth="1"/>
    <col min="4" max="4" width="10.1796875" bestFit="1" customWidth="1"/>
    <col min="5" max="6" width="11.1796875" bestFit="1" customWidth="1"/>
    <col min="7" max="7" width="10.81640625" bestFit="1" customWidth="1"/>
  </cols>
  <sheetData>
    <row r="1" spans="1:7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35">
      <c r="A2" s="2">
        <v>202601</v>
      </c>
      <c r="B2" s="3">
        <v>46023</v>
      </c>
      <c r="C2" s="5">
        <v>886590.89</v>
      </c>
      <c r="D2" s="5">
        <v>894153.22</v>
      </c>
      <c r="E2" s="5">
        <v>3099875.34</v>
      </c>
      <c r="F2" s="5">
        <v>3099875.34</v>
      </c>
      <c r="G2" s="5">
        <v>3099875.34</v>
      </c>
    </row>
    <row r="3" spans="1:7" x14ac:dyDescent="0.35">
      <c r="A3" s="2">
        <v>202602</v>
      </c>
      <c r="B3" s="3">
        <v>46054</v>
      </c>
      <c r="C3" s="5">
        <v>885568.37</v>
      </c>
      <c r="D3" s="5">
        <v>894318.26</v>
      </c>
      <c r="E3" s="5">
        <v>3017684.34</v>
      </c>
      <c r="F3" s="5">
        <v>3017684.34</v>
      </c>
      <c r="G3" s="5">
        <v>3017684.34</v>
      </c>
    </row>
    <row r="4" spans="1:7" x14ac:dyDescent="0.35">
      <c r="A4" s="2">
        <v>202603</v>
      </c>
      <c r="B4" s="3">
        <v>46082</v>
      </c>
      <c r="C4" s="5">
        <v>882743.84</v>
      </c>
      <c r="D4" s="5">
        <v>895847.16</v>
      </c>
      <c r="E4" s="5">
        <v>3042930.13</v>
      </c>
      <c r="F4" s="5">
        <v>3042930.13</v>
      </c>
      <c r="G4" s="5">
        <v>3042930.13</v>
      </c>
    </row>
    <row r="5" spans="1:7" x14ac:dyDescent="0.35">
      <c r="A5" s="2">
        <v>202604</v>
      </c>
      <c r="B5" s="3">
        <v>46113</v>
      </c>
      <c r="C5" s="5">
        <v>884688.6</v>
      </c>
      <c r="D5" s="5">
        <v>898814.14</v>
      </c>
      <c r="E5" s="5">
        <v>3009968.24</v>
      </c>
      <c r="F5" s="5">
        <v>3009968.24</v>
      </c>
      <c r="G5" s="5">
        <v>3009968.24</v>
      </c>
    </row>
    <row r="6" spans="1:7" x14ac:dyDescent="0.35">
      <c r="A6" s="2">
        <v>202605</v>
      </c>
      <c r="B6" s="3">
        <v>46143</v>
      </c>
      <c r="C6" s="5">
        <v>886594.01</v>
      </c>
      <c r="D6" s="5">
        <v>894976.25</v>
      </c>
      <c r="E6" s="5">
        <v>2753059.17</v>
      </c>
      <c r="F6" s="5">
        <v>3063401.27</v>
      </c>
      <c r="G6" s="5">
        <v>3063401.27</v>
      </c>
    </row>
    <row r="7" spans="1:7" x14ac:dyDescent="0.35">
      <c r="A7" s="2">
        <v>202606</v>
      </c>
      <c r="B7" s="3">
        <v>46174</v>
      </c>
      <c r="C7" s="5">
        <v>878946.8</v>
      </c>
      <c r="D7" s="5">
        <v>893181.32</v>
      </c>
      <c r="E7" s="5">
        <v>2726527.42</v>
      </c>
      <c r="F7" s="5">
        <v>3015779.11</v>
      </c>
      <c r="G7" s="5">
        <v>3015779.11</v>
      </c>
    </row>
    <row r="8" spans="1:7" x14ac:dyDescent="0.35">
      <c r="A8" s="2">
        <v>202607</v>
      </c>
      <c r="B8" s="3">
        <v>46204</v>
      </c>
      <c r="C8" s="5">
        <v>882587.44</v>
      </c>
      <c r="D8" s="5">
        <v>895462.67</v>
      </c>
      <c r="E8" s="5">
        <v>2547474</v>
      </c>
      <c r="F8" s="5">
        <v>2998834.66</v>
      </c>
      <c r="G8" s="5">
        <v>2998834.66</v>
      </c>
    </row>
    <row r="9" spans="1:7" x14ac:dyDescent="0.35">
      <c r="A9" s="2">
        <v>202608</v>
      </c>
      <c r="B9" s="3">
        <v>46235</v>
      </c>
      <c r="C9" s="5">
        <v>881030.94</v>
      </c>
      <c r="D9" s="5">
        <v>892991.49</v>
      </c>
      <c r="E9" s="5">
        <v>2972320.59</v>
      </c>
      <c r="F9" s="5">
        <v>3009860.98</v>
      </c>
      <c r="G9" s="5">
        <v>3009860.98</v>
      </c>
    </row>
    <row r="10" spans="1:7" x14ac:dyDescent="0.35">
      <c r="A10" s="2">
        <v>202609</v>
      </c>
      <c r="B10" s="3">
        <v>46266</v>
      </c>
      <c r="C10" s="5">
        <v>888804.07</v>
      </c>
      <c r="D10" s="5">
        <v>896365.57</v>
      </c>
      <c r="E10" s="5">
        <v>3271950.6</v>
      </c>
      <c r="F10" s="5">
        <v>3596687.09</v>
      </c>
      <c r="G10" s="5">
        <v>3080740.83</v>
      </c>
    </row>
    <row r="11" spans="1:7" x14ac:dyDescent="0.35">
      <c r="A11" s="2">
        <v>202610</v>
      </c>
      <c r="B11" s="3">
        <v>46296</v>
      </c>
      <c r="C11" s="5">
        <v>885955.13</v>
      </c>
      <c r="D11" s="5">
        <v>895660.2</v>
      </c>
      <c r="E11" s="5">
        <v>3397240.33</v>
      </c>
      <c r="F11" s="5">
        <v>3012557.79</v>
      </c>
      <c r="G11" s="5">
        <v>3013998.67</v>
      </c>
    </row>
    <row r="12" spans="1:7" x14ac:dyDescent="0.35">
      <c r="A12" s="2">
        <v>202611</v>
      </c>
      <c r="B12" s="3">
        <v>46327</v>
      </c>
      <c r="C12" s="5">
        <v>882682.31</v>
      </c>
      <c r="D12" s="5">
        <v>894175.47</v>
      </c>
      <c r="E12" s="5">
        <v>2803889.74</v>
      </c>
      <c r="F12" s="5">
        <v>2516820.25</v>
      </c>
      <c r="G12" s="5">
        <v>2433558.59</v>
      </c>
    </row>
    <row r="13" spans="1:7" x14ac:dyDescent="0.35">
      <c r="A13" s="2">
        <v>202612</v>
      </c>
      <c r="B13" s="3">
        <v>46357</v>
      </c>
      <c r="C13" s="5">
        <v>890935.79</v>
      </c>
      <c r="D13" s="5">
        <v>901787.07</v>
      </c>
      <c r="E13" s="5">
        <v>2829716.08</v>
      </c>
      <c r="F13" s="5">
        <v>2571759.9700000002</v>
      </c>
      <c r="G13" s="5">
        <v>4006892.15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BA7D4-D12D-45B0-AC9B-C5063BD8E8B9}">
  <dimension ref="A1:K8"/>
  <sheetViews>
    <sheetView workbookViewId="0"/>
  </sheetViews>
  <sheetFormatPr defaultRowHeight="14.5" x14ac:dyDescent="0.35"/>
  <cols>
    <col min="1" max="1" width="10.08984375" bestFit="1" customWidth="1"/>
    <col min="2" max="2" width="21.7265625" bestFit="1" customWidth="1"/>
    <col min="3" max="3" width="11.26953125" bestFit="1" customWidth="1"/>
    <col min="4" max="5" width="10.81640625" bestFit="1" customWidth="1"/>
    <col min="6" max="6" width="14.54296875" bestFit="1" customWidth="1"/>
    <col min="7" max="7" width="17.36328125" customWidth="1"/>
    <col min="8" max="8" width="10.36328125" bestFit="1" customWidth="1"/>
    <col min="9" max="9" width="16.1796875" bestFit="1" customWidth="1"/>
    <col min="10" max="10" width="20.81640625" bestFit="1" customWidth="1"/>
    <col min="11" max="11" width="26.7265625" bestFit="1" customWidth="1"/>
  </cols>
  <sheetData>
    <row r="1" spans="1:11" x14ac:dyDescent="0.35">
      <c r="A1" s="4" t="s">
        <v>7</v>
      </c>
      <c r="B1" s="4" t="s">
        <v>8</v>
      </c>
      <c r="C1" s="4" t="s">
        <v>2</v>
      </c>
      <c r="D1" s="4" t="s">
        <v>3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</row>
    <row r="2" spans="1:11" x14ac:dyDescent="0.35">
      <c r="A2" s="2" t="s">
        <v>16</v>
      </c>
      <c r="B2" s="2" t="s">
        <v>17</v>
      </c>
      <c r="C2" s="5">
        <v>1473313.32</v>
      </c>
      <c r="D2" s="5">
        <v>1490346.8</v>
      </c>
      <c r="E2" s="5">
        <v>4851121.59</v>
      </c>
      <c r="F2" s="5">
        <f>E2-D2</f>
        <v>3360774.79</v>
      </c>
      <c r="G2" s="16">
        <f>IFERROR(F2/D2,"")</f>
        <v>2.2550286886246877</v>
      </c>
      <c r="H2" s="5">
        <v>152.55000000000001</v>
      </c>
      <c r="I2" s="5">
        <v>93.36</v>
      </c>
      <c r="J2" s="5">
        <v>1441</v>
      </c>
      <c r="K2" s="5">
        <v>15.434900000000001</v>
      </c>
    </row>
    <row r="3" spans="1:11" x14ac:dyDescent="0.35">
      <c r="A3" s="2" t="s">
        <v>18</v>
      </c>
      <c r="B3" s="2" t="s">
        <v>19</v>
      </c>
      <c r="C3" s="5">
        <v>1859939.19</v>
      </c>
      <c r="D3" s="5">
        <v>1882463.25</v>
      </c>
      <c r="E3" s="5">
        <v>6416946.79</v>
      </c>
      <c r="F3" s="5">
        <f t="shared" ref="F3:F8" si="0">E3-D3</f>
        <v>4534483.54</v>
      </c>
      <c r="G3" s="16">
        <f t="shared" ref="G3:G8" si="1">IFERROR(F3/D3,"")</f>
        <v>2.4088032209924948</v>
      </c>
      <c r="H3" s="5">
        <v>169.62</v>
      </c>
      <c r="I3" s="5">
        <v>102.98</v>
      </c>
      <c r="J3" s="5">
        <v>817</v>
      </c>
      <c r="K3" s="5">
        <v>7.9336000000000002</v>
      </c>
    </row>
    <row r="4" spans="1:11" x14ac:dyDescent="0.35">
      <c r="A4" s="2" t="s">
        <v>20</v>
      </c>
      <c r="B4" s="2" t="s">
        <v>21</v>
      </c>
      <c r="C4" s="5">
        <v>1227985.93</v>
      </c>
      <c r="D4" s="5">
        <v>1243978.52</v>
      </c>
      <c r="E4" s="5">
        <v>3897969.2</v>
      </c>
      <c r="F4" s="5">
        <f t="shared" si="0"/>
        <v>2653990.6800000002</v>
      </c>
      <c r="G4" s="16">
        <f t="shared" si="1"/>
        <v>2.1334698608783054</v>
      </c>
      <c r="H4" s="5">
        <v>193.64</v>
      </c>
      <c r="I4" s="5">
        <v>117.69</v>
      </c>
      <c r="J4" s="5">
        <v>1007</v>
      </c>
      <c r="K4" s="5">
        <v>8.5564</v>
      </c>
    </row>
    <row r="5" spans="1:11" x14ac:dyDescent="0.35">
      <c r="A5" s="2" t="s">
        <v>22</v>
      </c>
      <c r="B5" s="2" t="s">
        <v>23</v>
      </c>
      <c r="C5" s="5">
        <v>1945213.28</v>
      </c>
      <c r="D5" s="5">
        <v>1967731.7</v>
      </c>
      <c r="E5" s="5">
        <v>6592504.4199999999</v>
      </c>
      <c r="F5" s="5">
        <f t="shared" si="0"/>
        <v>4624772.72</v>
      </c>
      <c r="G5" s="16">
        <f t="shared" si="1"/>
        <v>2.3503065585618201</v>
      </c>
      <c r="H5" s="5">
        <v>154.78</v>
      </c>
      <c r="I5" s="5">
        <v>94.15</v>
      </c>
      <c r="J5" s="5">
        <v>831</v>
      </c>
      <c r="K5" s="5">
        <v>8.8262999999999998</v>
      </c>
    </row>
    <row r="6" spans="1:11" x14ac:dyDescent="0.35">
      <c r="A6" s="2" t="s">
        <v>24</v>
      </c>
      <c r="B6" s="2" t="s">
        <v>25</v>
      </c>
      <c r="C6" s="5">
        <v>1396541.7</v>
      </c>
      <c r="D6" s="5">
        <v>1413910.32</v>
      </c>
      <c r="E6" s="5">
        <v>5572155.3300000001</v>
      </c>
      <c r="F6" s="5">
        <f t="shared" si="0"/>
        <v>4158245.01</v>
      </c>
      <c r="G6" s="16">
        <f t="shared" si="1"/>
        <v>2.9409538576675778</v>
      </c>
      <c r="H6" s="5">
        <v>229.36</v>
      </c>
      <c r="I6" s="5">
        <v>139.19999999999999</v>
      </c>
      <c r="J6" s="5">
        <v>984</v>
      </c>
      <c r="K6" s="5">
        <v>7.069</v>
      </c>
    </row>
    <row r="7" spans="1:11" x14ac:dyDescent="0.35">
      <c r="A7" s="2" t="s">
        <v>26</v>
      </c>
      <c r="B7" s="2" t="s">
        <v>27</v>
      </c>
      <c r="C7" s="5">
        <v>1514986.47</v>
      </c>
      <c r="D7" s="5">
        <v>1533245.45</v>
      </c>
      <c r="E7" s="5">
        <v>5423355.5099999998</v>
      </c>
      <c r="F7" s="5">
        <f t="shared" si="0"/>
        <v>3890110.0599999996</v>
      </c>
      <c r="G7" s="16">
        <f t="shared" si="1"/>
        <v>2.5371737186632446</v>
      </c>
      <c r="H7" s="5">
        <v>172.74</v>
      </c>
      <c r="I7" s="5">
        <v>105.83</v>
      </c>
      <c r="J7" s="5">
        <v>1410</v>
      </c>
      <c r="K7" s="5">
        <v>13.3233</v>
      </c>
    </row>
    <row r="8" spans="1:11" x14ac:dyDescent="0.35">
      <c r="A8" s="2" t="s">
        <v>28</v>
      </c>
      <c r="B8" s="2" t="s">
        <v>29</v>
      </c>
      <c r="C8" s="5">
        <v>1199148.3</v>
      </c>
      <c r="D8" s="5">
        <v>1216056.78</v>
      </c>
      <c r="E8" s="5">
        <v>4039471.47</v>
      </c>
      <c r="F8" s="5">
        <f t="shared" si="0"/>
        <v>2823414.6900000004</v>
      </c>
      <c r="G8" s="16">
        <f t="shared" si="1"/>
        <v>2.3217786672757175</v>
      </c>
      <c r="H8" s="5">
        <v>213.24</v>
      </c>
      <c r="I8" s="5">
        <v>8.56</v>
      </c>
      <c r="J8" s="5"/>
      <c r="K8" s="5"/>
    </row>
  </sheetData>
  <conditionalFormatting sqref="G2:G8">
    <cfRule type="expression" dxfId="78" priority="1">
      <formula>$G2&gt;0.05</formula>
    </cfRule>
  </conditionalFormatting>
  <conditionalFormatting sqref="G2:G8">
    <cfRule type="expression" dxfId="77" priority="2">
      <formula>AND($G2&gt;=0.02,$G2&lt;=0.05)</formula>
    </cfRule>
  </conditionalFormatting>
  <conditionalFormatting sqref="G2:G8">
    <cfRule type="expression" dxfId="76" priority="3">
      <formula>$G2&lt;0.02</formula>
    </cfRule>
  </conditionalFormatting>
  <conditionalFormatting sqref="F2:F8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{8AAE2230-5E07-42DF-B953-7A80657892A1}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AAE2230-5E07-42DF-B953-7A80657892A1}">
            <x14:dataBar minLength="0" maxLength="100" negativeBarColorSameAsPositive="1" axisPosition="middle">
              <x14:cfvo type="min"/>
              <x14:cfvo type="max"/>
              <x14:axisColor rgb="FF000000"/>
            </x14:dataBar>
          </x14:cfRule>
          <xm:sqref>F2:F8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EB441-0DD7-4001-82BD-BF55A0674085}">
  <dimension ref="A1:M21"/>
  <sheetViews>
    <sheetView workbookViewId="0">
      <selection sqref="A1:H1"/>
    </sheetView>
  </sheetViews>
  <sheetFormatPr defaultRowHeight="14.5" x14ac:dyDescent="0.35"/>
  <cols>
    <col min="1" max="1" width="10.08984375" bestFit="1" customWidth="1"/>
    <col min="2" max="2" width="21.7265625" bestFit="1" customWidth="1"/>
    <col min="3" max="3" width="10.08984375" bestFit="1" customWidth="1"/>
    <col min="4" max="4" width="35.90625" bestFit="1" customWidth="1"/>
    <col min="5" max="5" width="11.26953125" bestFit="1" customWidth="1"/>
    <col min="6" max="6" width="10.1796875" bestFit="1" customWidth="1"/>
    <col min="7" max="7" width="10.81640625" bestFit="1" customWidth="1"/>
    <col min="8" max="8" width="14.54296875" bestFit="1" customWidth="1"/>
    <col min="9" max="9" width="17.36328125" customWidth="1"/>
    <col min="10" max="10" width="10.36328125" bestFit="1" customWidth="1"/>
    <col min="11" max="11" width="16.1796875" bestFit="1" customWidth="1"/>
    <col min="12" max="12" width="20.81640625" bestFit="1" customWidth="1"/>
    <col min="13" max="13" width="26.7265625" bestFit="1" customWidth="1"/>
  </cols>
  <sheetData>
    <row r="1" spans="1:13" x14ac:dyDescent="0.35">
      <c r="A1" s="4" t="s">
        <v>7</v>
      </c>
      <c r="B1" s="4" t="s">
        <v>8</v>
      </c>
      <c r="C1" s="4" t="s">
        <v>201</v>
      </c>
      <c r="D1" s="4" t="s">
        <v>202</v>
      </c>
      <c r="E1" s="4" t="s">
        <v>2</v>
      </c>
      <c r="F1" s="4" t="s">
        <v>3</v>
      </c>
      <c r="G1" s="4" t="s">
        <v>9</v>
      </c>
      <c r="H1" s="4" t="s">
        <v>10</v>
      </c>
      <c r="I1" s="4" t="s">
        <v>11</v>
      </c>
      <c r="J1" s="4" t="s">
        <v>12</v>
      </c>
      <c r="K1" s="4" t="s">
        <v>13</v>
      </c>
      <c r="L1" s="4" t="s">
        <v>14</v>
      </c>
      <c r="M1" s="4" t="s">
        <v>15</v>
      </c>
    </row>
    <row r="2" spans="1:13" x14ac:dyDescent="0.35">
      <c r="A2" s="2" t="s">
        <v>16</v>
      </c>
      <c r="B2" s="2" t="s">
        <v>17</v>
      </c>
      <c r="C2" s="2" t="s">
        <v>203</v>
      </c>
      <c r="D2" s="2" t="s">
        <v>204</v>
      </c>
      <c r="E2" s="5">
        <v>374499.8</v>
      </c>
      <c r="F2" s="5">
        <v>378990.31</v>
      </c>
      <c r="G2" s="5">
        <v>1260435.1499999999</v>
      </c>
      <c r="H2" s="5">
        <f>G2-F2</f>
        <v>881444.83999999985</v>
      </c>
      <c r="I2" s="16">
        <f>IFERROR(H2/F2,"")</f>
        <v>2.325771442546908</v>
      </c>
      <c r="J2" s="5">
        <v>40.020000000000003</v>
      </c>
      <c r="K2" s="5">
        <v>24.56</v>
      </c>
      <c r="L2" s="5">
        <v>499</v>
      </c>
      <c r="M2" s="5">
        <v>20.317599999999999</v>
      </c>
    </row>
    <row r="3" spans="1:13" x14ac:dyDescent="0.35">
      <c r="A3" s="2" t="s">
        <v>16</v>
      </c>
      <c r="B3" s="2" t="s">
        <v>17</v>
      </c>
      <c r="C3" s="2" t="s">
        <v>205</v>
      </c>
      <c r="D3" s="2" t="s">
        <v>206</v>
      </c>
      <c r="E3" s="5">
        <v>472672</v>
      </c>
      <c r="F3" s="5">
        <v>479917.72</v>
      </c>
      <c r="G3" s="5">
        <v>1551841.16</v>
      </c>
      <c r="H3" s="5">
        <f t="shared" ref="H3:H21" si="0">G3-F3</f>
        <v>1071923.44</v>
      </c>
      <c r="I3" s="16">
        <f t="shared" ref="I3:I21" si="1">IFERROR(H3/F3,"")</f>
        <v>2.2335567021780318</v>
      </c>
      <c r="J3" s="5">
        <v>56.66</v>
      </c>
      <c r="K3" s="5">
        <v>34.58</v>
      </c>
      <c r="L3" s="5">
        <v>516</v>
      </c>
      <c r="M3" s="5">
        <v>14.921900000000001</v>
      </c>
    </row>
    <row r="4" spans="1:13" x14ac:dyDescent="0.35">
      <c r="A4" s="2" t="s">
        <v>16</v>
      </c>
      <c r="B4" s="2" t="s">
        <v>17</v>
      </c>
      <c r="C4" s="2" t="s">
        <v>207</v>
      </c>
      <c r="D4" s="2" t="s">
        <v>208</v>
      </c>
      <c r="E4" s="5">
        <v>626141.52</v>
      </c>
      <c r="F4" s="5">
        <v>631438.77</v>
      </c>
      <c r="G4" s="5">
        <v>2038845.28</v>
      </c>
      <c r="H4" s="5">
        <f t="shared" si="0"/>
        <v>1407406.51</v>
      </c>
      <c r="I4" s="16">
        <f t="shared" si="1"/>
        <v>2.2288883370275157</v>
      </c>
      <c r="J4" s="5">
        <v>55.87</v>
      </c>
      <c r="K4" s="5">
        <v>34.22</v>
      </c>
      <c r="L4" s="5">
        <v>426</v>
      </c>
      <c r="M4" s="5">
        <v>12.4489</v>
      </c>
    </row>
    <row r="5" spans="1:13" x14ac:dyDescent="0.35">
      <c r="A5" s="2" t="s">
        <v>18</v>
      </c>
      <c r="B5" s="2" t="s">
        <v>19</v>
      </c>
      <c r="C5" s="2" t="s">
        <v>209</v>
      </c>
      <c r="D5" s="2" t="s">
        <v>210</v>
      </c>
      <c r="E5" s="5">
        <v>753993.56</v>
      </c>
      <c r="F5" s="5">
        <v>763474.75</v>
      </c>
      <c r="G5" s="5">
        <v>2763386.03</v>
      </c>
      <c r="H5" s="5">
        <f t="shared" si="0"/>
        <v>1999911.2799999998</v>
      </c>
      <c r="I5" s="16">
        <f t="shared" si="1"/>
        <v>2.61948581796582</v>
      </c>
      <c r="J5" s="5">
        <v>48.25</v>
      </c>
      <c r="K5" s="5">
        <v>29.39</v>
      </c>
      <c r="L5" s="5">
        <v>207</v>
      </c>
      <c r="M5" s="5">
        <v>7.0431999999999997</v>
      </c>
    </row>
    <row r="6" spans="1:13" x14ac:dyDescent="0.35">
      <c r="A6" s="2" t="s">
        <v>18</v>
      </c>
      <c r="B6" s="2" t="s">
        <v>19</v>
      </c>
      <c r="C6" s="2" t="s">
        <v>211</v>
      </c>
      <c r="D6" s="2" t="s">
        <v>212</v>
      </c>
      <c r="E6" s="5">
        <v>542856.61</v>
      </c>
      <c r="F6" s="5">
        <v>546529.5</v>
      </c>
      <c r="G6" s="5">
        <v>1765783.42</v>
      </c>
      <c r="H6" s="5">
        <f t="shared" si="0"/>
        <v>1219253.92</v>
      </c>
      <c r="I6" s="16">
        <f t="shared" si="1"/>
        <v>2.2309023026204438</v>
      </c>
      <c r="J6" s="5">
        <v>66.180000000000007</v>
      </c>
      <c r="K6" s="5">
        <v>40.200000000000003</v>
      </c>
      <c r="L6" s="5">
        <v>269</v>
      </c>
      <c r="M6" s="5">
        <v>6.6914999999999996</v>
      </c>
    </row>
    <row r="7" spans="1:13" x14ac:dyDescent="0.35">
      <c r="A7" s="2" t="s">
        <v>18</v>
      </c>
      <c r="B7" s="2" t="s">
        <v>19</v>
      </c>
      <c r="C7" s="2" t="s">
        <v>213</v>
      </c>
      <c r="D7" s="2" t="s">
        <v>214</v>
      </c>
      <c r="E7" s="5">
        <v>563089.02</v>
      </c>
      <c r="F7" s="5">
        <v>572459</v>
      </c>
      <c r="G7" s="5">
        <v>1887777.34</v>
      </c>
      <c r="H7" s="5">
        <f t="shared" si="0"/>
        <v>1315318.3400000001</v>
      </c>
      <c r="I7" s="16">
        <f t="shared" si="1"/>
        <v>2.2976638326936953</v>
      </c>
      <c r="J7" s="5">
        <v>55.19</v>
      </c>
      <c r="K7" s="5">
        <v>33.39</v>
      </c>
      <c r="L7" s="5">
        <v>341</v>
      </c>
      <c r="M7" s="5">
        <v>10.2126</v>
      </c>
    </row>
    <row r="8" spans="1:13" x14ac:dyDescent="0.35">
      <c r="A8" s="2" t="s">
        <v>20</v>
      </c>
      <c r="B8" s="2" t="s">
        <v>21</v>
      </c>
      <c r="C8" s="2" t="s">
        <v>215</v>
      </c>
      <c r="D8" s="2" t="s">
        <v>216</v>
      </c>
      <c r="E8" s="5">
        <v>394131.9</v>
      </c>
      <c r="F8" s="5">
        <v>400089.92</v>
      </c>
      <c r="G8" s="5">
        <v>1507751.7</v>
      </c>
      <c r="H8" s="5">
        <f t="shared" si="0"/>
        <v>1107661.78</v>
      </c>
      <c r="I8" s="16">
        <f t="shared" si="1"/>
        <v>2.7685320839875196</v>
      </c>
      <c r="J8" s="5">
        <v>77.010000000000005</v>
      </c>
      <c r="K8" s="5">
        <v>46.87</v>
      </c>
      <c r="L8" s="5">
        <v>227</v>
      </c>
      <c r="M8" s="5">
        <v>4.8432000000000004</v>
      </c>
    </row>
    <row r="9" spans="1:13" x14ac:dyDescent="0.35">
      <c r="A9" s="2" t="s">
        <v>20</v>
      </c>
      <c r="B9" s="2" t="s">
        <v>21</v>
      </c>
      <c r="C9" s="2" t="s">
        <v>217</v>
      </c>
      <c r="D9" s="2" t="s">
        <v>218</v>
      </c>
      <c r="E9" s="5">
        <v>416758.7</v>
      </c>
      <c r="F9" s="5">
        <v>421016.06</v>
      </c>
      <c r="G9" s="5">
        <v>1127464.05</v>
      </c>
      <c r="H9" s="5">
        <f t="shared" si="0"/>
        <v>706447.99</v>
      </c>
      <c r="I9" s="16">
        <f t="shared" si="1"/>
        <v>1.6779597196363483</v>
      </c>
      <c r="J9" s="5">
        <v>56.92</v>
      </c>
      <c r="K9" s="5">
        <v>34.479999999999997</v>
      </c>
      <c r="L9" s="5">
        <v>469</v>
      </c>
      <c r="M9" s="5">
        <v>13.6021</v>
      </c>
    </row>
    <row r="10" spans="1:13" x14ac:dyDescent="0.35">
      <c r="A10" s="2" t="s">
        <v>20</v>
      </c>
      <c r="B10" s="2" t="s">
        <v>21</v>
      </c>
      <c r="C10" s="2" t="s">
        <v>219</v>
      </c>
      <c r="D10" s="2" t="s">
        <v>220</v>
      </c>
      <c r="E10" s="5">
        <v>417095.33</v>
      </c>
      <c r="F10" s="5">
        <v>422872.54</v>
      </c>
      <c r="G10" s="5">
        <v>1262753.45</v>
      </c>
      <c r="H10" s="5">
        <f t="shared" si="0"/>
        <v>839880.90999999992</v>
      </c>
      <c r="I10" s="16">
        <f t="shared" si="1"/>
        <v>1.986132535349777</v>
      </c>
      <c r="J10" s="5">
        <v>59.71</v>
      </c>
      <c r="K10" s="5">
        <v>36.340000000000003</v>
      </c>
      <c r="L10" s="5">
        <v>311</v>
      </c>
      <c r="M10" s="5">
        <v>8.5580999999999996</v>
      </c>
    </row>
    <row r="11" spans="1:13" x14ac:dyDescent="0.35">
      <c r="A11" s="2" t="s">
        <v>22</v>
      </c>
      <c r="B11" s="2" t="s">
        <v>23</v>
      </c>
      <c r="C11" s="2" t="s">
        <v>221</v>
      </c>
      <c r="D11" s="2" t="s">
        <v>222</v>
      </c>
      <c r="E11" s="5">
        <v>690324.68</v>
      </c>
      <c r="F11" s="5">
        <v>702638.9</v>
      </c>
      <c r="G11" s="5">
        <v>2607039.9700000002</v>
      </c>
      <c r="H11" s="5">
        <f t="shared" si="0"/>
        <v>1904401.0700000003</v>
      </c>
      <c r="I11" s="16">
        <f t="shared" si="1"/>
        <v>2.7103553048372362</v>
      </c>
      <c r="J11" s="5">
        <v>40.42</v>
      </c>
      <c r="K11" s="5">
        <v>24.66</v>
      </c>
      <c r="L11" s="5">
        <v>297</v>
      </c>
      <c r="M11" s="5">
        <v>12.043799999999999</v>
      </c>
    </row>
    <row r="12" spans="1:13" x14ac:dyDescent="0.35">
      <c r="A12" s="2" t="s">
        <v>22</v>
      </c>
      <c r="B12" s="2" t="s">
        <v>23</v>
      </c>
      <c r="C12" s="2" t="s">
        <v>223</v>
      </c>
      <c r="D12" s="2" t="s">
        <v>224</v>
      </c>
      <c r="E12" s="5">
        <v>571542.75</v>
      </c>
      <c r="F12" s="5">
        <v>577498.62</v>
      </c>
      <c r="G12" s="5">
        <v>1772798.26</v>
      </c>
      <c r="H12" s="5">
        <f t="shared" si="0"/>
        <v>1195299.6400000001</v>
      </c>
      <c r="I12" s="16">
        <f t="shared" si="1"/>
        <v>2.069787872393531</v>
      </c>
      <c r="J12" s="5">
        <v>79.3</v>
      </c>
      <c r="K12" s="5">
        <v>48.03</v>
      </c>
      <c r="L12" s="5">
        <v>244</v>
      </c>
      <c r="M12" s="5">
        <v>5.0801999999999996</v>
      </c>
    </row>
    <row r="13" spans="1:13" x14ac:dyDescent="0.35">
      <c r="A13" s="2" t="s">
        <v>22</v>
      </c>
      <c r="B13" s="2" t="s">
        <v>23</v>
      </c>
      <c r="C13" s="2" t="s">
        <v>225</v>
      </c>
      <c r="D13" s="2" t="s">
        <v>226</v>
      </c>
      <c r="E13" s="5">
        <v>683345.85</v>
      </c>
      <c r="F13" s="5">
        <v>687594.18</v>
      </c>
      <c r="G13" s="5">
        <v>2212666.19</v>
      </c>
      <c r="H13" s="5">
        <f t="shared" si="0"/>
        <v>1525072.0099999998</v>
      </c>
      <c r="I13" s="16">
        <f t="shared" si="1"/>
        <v>2.2179827205634575</v>
      </c>
      <c r="J13" s="5">
        <v>35.06</v>
      </c>
      <c r="K13" s="5">
        <v>21.46</v>
      </c>
      <c r="L13" s="5">
        <v>290</v>
      </c>
      <c r="M13" s="5">
        <v>13.513500000000001</v>
      </c>
    </row>
    <row r="14" spans="1:13" x14ac:dyDescent="0.35">
      <c r="A14" s="2" t="s">
        <v>24</v>
      </c>
      <c r="B14" s="2" t="s">
        <v>25</v>
      </c>
      <c r="C14" s="2" t="s">
        <v>227</v>
      </c>
      <c r="D14" s="2" t="s">
        <v>228</v>
      </c>
      <c r="E14" s="5">
        <v>516942.86</v>
      </c>
      <c r="F14" s="5">
        <v>522554.56</v>
      </c>
      <c r="G14" s="5">
        <v>2188015.5699999998</v>
      </c>
      <c r="H14" s="5">
        <f t="shared" si="0"/>
        <v>1665461.0099999998</v>
      </c>
      <c r="I14" s="16">
        <f t="shared" si="1"/>
        <v>3.1871523807963702</v>
      </c>
      <c r="J14" s="5">
        <v>76.17</v>
      </c>
      <c r="K14" s="5">
        <v>46.11</v>
      </c>
      <c r="L14" s="5">
        <v>430</v>
      </c>
      <c r="M14" s="5">
        <v>9.3254999999999999</v>
      </c>
    </row>
    <row r="15" spans="1:13" x14ac:dyDescent="0.35">
      <c r="A15" s="2" t="s">
        <v>24</v>
      </c>
      <c r="B15" s="2" t="s">
        <v>25</v>
      </c>
      <c r="C15" s="2" t="s">
        <v>229</v>
      </c>
      <c r="D15" s="2" t="s">
        <v>230</v>
      </c>
      <c r="E15" s="5">
        <v>492917.9</v>
      </c>
      <c r="F15" s="5">
        <v>500109.9</v>
      </c>
      <c r="G15" s="5">
        <v>1940610.43</v>
      </c>
      <c r="H15" s="5">
        <f t="shared" si="0"/>
        <v>1440500.5299999998</v>
      </c>
      <c r="I15" s="16">
        <f t="shared" si="1"/>
        <v>2.8803679551234631</v>
      </c>
      <c r="J15" s="5">
        <v>74.86</v>
      </c>
      <c r="K15" s="5">
        <v>45.05</v>
      </c>
      <c r="L15" s="5">
        <v>299</v>
      </c>
      <c r="M15" s="5">
        <v>6.6371000000000002</v>
      </c>
    </row>
    <row r="16" spans="1:13" x14ac:dyDescent="0.35">
      <c r="A16" s="2" t="s">
        <v>24</v>
      </c>
      <c r="B16" s="2" t="s">
        <v>25</v>
      </c>
      <c r="C16" s="2" t="s">
        <v>231</v>
      </c>
      <c r="D16" s="2" t="s">
        <v>232</v>
      </c>
      <c r="E16" s="5">
        <v>386680.94</v>
      </c>
      <c r="F16" s="5">
        <v>391245.86</v>
      </c>
      <c r="G16" s="5">
        <v>1443529.33</v>
      </c>
      <c r="H16" s="5">
        <f t="shared" si="0"/>
        <v>1052283.4700000002</v>
      </c>
      <c r="I16" s="16">
        <f t="shared" si="1"/>
        <v>2.6895708749480449</v>
      </c>
      <c r="J16" s="5">
        <v>78.33</v>
      </c>
      <c r="K16" s="5">
        <v>48.04</v>
      </c>
      <c r="L16" s="5">
        <v>255</v>
      </c>
      <c r="M16" s="5">
        <v>5.3080999999999996</v>
      </c>
    </row>
    <row r="17" spans="1:13" x14ac:dyDescent="0.35">
      <c r="A17" s="2" t="s">
        <v>26</v>
      </c>
      <c r="B17" s="2" t="s">
        <v>27</v>
      </c>
      <c r="C17" s="2" t="s">
        <v>233</v>
      </c>
      <c r="D17" s="2" t="s">
        <v>234</v>
      </c>
      <c r="E17" s="5">
        <v>503011.07</v>
      </c>
      <c r="F17" s="5">
        <v>509888.66</v>
      </c>
      <c r="G17" s="5">
        <v>1547375.34</v>
      </c>
      <c r="H17" s="5">
        <f t="shared" si="0"/>
        <v>1037486.6800000002</v>
      </c>
      <c r="I17" s="16">
        <f t="shared" si="1"/>
        <v>2.0347318177266391</v>
      </c>
      <c r="J17" s="5">
        <v>39.47</v>
      </c>
      <c r="K17" s="5">
        <v>24.22</v>
      </c>
      <c r="L17" s="5">
        <v>592</v>
      </c>
      <c r="M17" s="5">
        <v>24.442599999999999</v>
      </c>
    </row>
    <row r="18" spans="1:13" x14ac:dyDescent="0.35">
      <c r="A18" s="2" t="s">
        <v>26</v>
      </c>
      <c r="B18" s="2" t="s">
        <v>27</v>
      </c>
      <c r="C18" s="2" t="s">
        <v>235</v>
      </c>
      <c r="D18" s="2" t="s">
        <v>236</v>
      </c>
      <c r="E18" s="5">
        <v>537571.93999999994</v>
      </c>
      <c r="F18" s="5">
        <v>543442.13</v>
      </c>
      <c r="G18" s="5">
        <v>2332110.39</v>
      </c>
      <c r="H18" s="5">
        <f t="shared" si="0"/>
        <v>1788668.2600000002</v>
      </c>
      <c r="I18" s="16">
        <f t="shared" si="1"/>
        <v>3.2913684112050721</v>
      </c>
      <c r="J18" s="5">
        <v>66.62</v>
      </c>
      <c r="K18" s="5">
        <v>40.869999999999997</v>
      </c>
      <c r="L18" s="5">
        <v>483</v>
      </c>
      <c r="M18" s="5">
        <v>11.818</v>
      </c>
    </row>
    <row r="19" spans="1:13" x14ac:dyDescent="0.35">
      <c r="A19" s="2" t="s">
        <v>26</v>
      </c>
      <c r="B19" s="2" t="s">
        <v>27</v>
      </c>
      <c r="C19" s="2" t="s">
        <v>237</v>
      </c>
      <c r="D19" s="2" t="s">
        <v>238</v>
      </c>
      <c r="E19" s="5">
        <v>474403.46</v>
      </c>
      <c r="F19" s="5">
        <v>479914.66</v>
      </c>
      <c r="G19" s="5">
        <v>1543869.78</v>
      </c>
      <c r="H19" s="5">
        <f t="shared" si="0"/>
        <v>1063955.1200000001</v>
      </c>
      <c r="I19" s="16">
        <f t="shared" si="1"/>
        <v>2.216967324982321</v>
      </c>
      <c r="J19" s="5">
        <v>66.650000000000006</v>
      </c>
      <c r="K19" s="5">
        <v>40.74</v>
      </c>
      <c r="L19" s="5">
        <v>335</v>
      </c>
      <c r="M19" s="5">
        <v>8.2228999999999992</v>
      </c>
    </row>
    <row r="20" spans="1:13" x14ac:dyDescent="0.35">
      <c r="A20" s="2" t="s">
        <v>28</v>
      </c>
      <c r="B20" s="2" t="s">
        <v>29</v>
      </c>
      <c r="C20" s="2" t="s">
        <v>239</v>
      </c>
      <c r="D20" s="2" t="s">
        <v>240</v>
      </c>
      <c r="E20" s="5">
        <v>613382.86</v>
      </c>
      <c r="F20" s="5">
        <v>624929.55000000005</v>
      </c>
      <c r="G20" s="5">
        <v>2459165.73</v>
      </c>
      <c r="H20" s="5">
        <f t="shared" si="0"/>
        <v>1834236.18</v>
      </c>
      <c r="I20" s="16">
        <f t="shared" si="1"/>
        <v>2.9351087334564347</v>
      </c>
      <c r="J20" s="5">
        <v>104.95</v>
      </c>
      <c r="K20" s="5">
        <v>4.18</v>
      </c>
      <c r="L20" s="5"/>
      <c r="M20" s="5"/>
    </row>
    <row r="21" spans="1:13" x14ac:dyDescent="0.35">
      <c r="A21" s="2" t="s">
        <v>28</v>
      </c>
      <c r="B21" s="2" t="s">
        <v>29</v>
      </c>
      <c r="C21" s="2" t="s">
        <v>241</v>
      </c>
      <c r="D21" s="2" t="s">
        <v>242</v>
      </c>
      <c r="E21" s="5">
        <v>585765.43999999994</v>
      </c>
      <c r="F21" s="5">
        <v>591127.23</v>
      </c>
      <c r="G21" s="5">
        <v>1580305.74</v>
      </c>
      <c r="H21" s="5">
        <f t="shared" si="0"/>
        <v>989178.51</v>
      </c>
      <c r="I21" s="16">
        <f t="shared" si="1"/>
        <v>1.6733766603849396</v>
      </c>
      <c r="J21" s="5">
        <v>108.29</v>
      </c>
      <c r="K21" s="5">
        <v>4.38</v>
      </c>
      <c r="L21" s="5"/>
      <c r="M21" s="5"/>
    </row>
  </sheetData>
  <conditionalFormatting sqref="I2:I21">
    <cfRule type="expression" dxfId="75" priority="1">
      <formula>$I2&gt;0.05</formula>
    </cfRule>
  </conditionalFormatting>
  <conditionalFormatting sqref="I2:I21">
    <cfRule type="expression" dxfId="74" priority="2">
      <formula>AND($I2&gt;=0.02,$I2&lt;=0.05)</formula>
    </cfRule>
  </conditionalFormatting>
  <conditionalFormatting sqref="I2:I21">
    <cfRule type="expression" dxfId="73" priority="3">
      <formula>$I2&lt;0.02</formula>
    </cfRule>
  </conditionalFormatting>
  <conditionalFormatting sqref="H2:H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{E06DAED8-B173-4E78-96CD-4DDF3FD093BB}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06DAED8-B173-4E78-96CD-4DDF3FD093BB}">
            <x14:dataBar minLength="0" maxLength="100" negativeBarColorSameAsPositive="1" axisPosition="middle">
              <x14:cfvo type="min"/>
              <x14:cfvo type="max"/>
              <x14:axisColor rgb="FF000000"/>
            </x14:dataBar>
          </x14:cfRule>
          <xm:sqref>H2:H21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4A4FD-F012-480E-8C42-ECA29FB1CD9A}">
  <dimension ref="A1:I41"/>
  <sheetViews>
    <sheetView workbookViewId="0">
      <selection sqref="A1:H1"/>
    </sheetView>
  </sheetViews>
  <sheetFormatPr defaultRowHeight="14.5" x14ac:dyDescent="0.35"/>
  <cols>
    <col min="1" max="1" width="8" bestFit="1" customWidth="1"/>
    <col min="2" max="2" width="34.453125" bestFit="1" customWidth="1"/>
    <col min="3" max="3" width="11.54296875" bestFit="1" customWidth="1"/>
    <col min="4" max="4" width="19.90625" bestFit="1" customWidth="1"/>
    <col min="5" max="5" width="12.453125" bestFit="1" customWidth="1"/>
    <col min="6" max="6" width="14.54296875" customWidth="1"/>
    <col min="7" max="7" width="15.90625" customWidth="1"/>
    <col min="8" max="8" width="14.54296875" bestFit="1" customWidth="1"/>
    <col min="9" max="9" width="17.36328125" customWidth="1"/>
  </cols>
  <sheetData>
    <row r="1" spans="1:9" x14ac:dyDescent="0.35">
      <c r="A1" s="4" t="s">
        <v>148</v>
      </c>
      <c r="B1" s="4" t="s">
        <v>323</v>
      </c>
      <c r="C1" s="4" t="s">
        <v>373</v>
      </c>
      <c r="D1" s="4" t="s">
        <v>374</v>
      </c>
      <c r="E1" s="4" t="s">
        <v>2</v>
      </c>
      <c r="F1" s="4" t="s">
        <v>3</v>
      </c>
      <c r="G1" s="4" t="s">
        <v>9</v>
      </c>
      <c r="H1" s="4" t="s">
        <v>10</v>
      </c>
      <c r="I1" s="4" t="s">
        <v>11</v>
      </c>
    </row>
    <row r="2" spans="1:9" x14ac:dyDescent="0.35">
      <c r="A2" s="30">
        <v>3230</v>
      </c>
      <c r="B2" s="2" t="s">
        <v>375</v>
      </c>
      <c r="C2" s="2" t="s">
        <v>376</v>
      </c>
      <c r="D2" s="2" t="s">
        <v>377</v>
      </c>
      <c r="E2" s="5">
        <v>-5345751.1399999997</v>
      </c>
      <c r="F2" s="5">
        <v>0</v>
      </c>
      <c r="G2" s="5">
        <v>0</v>
      </c>
      <c r="H2" s="5">
        <f>G2-F2</f>
        <v>0</v>
      </c>
      <c r="I2" s="16" t="str">
        <f>IFERROR(H2/F2,"")</f>
        <v/>
      </c>
    </row>
    <row r="3" spans="1:9" x14ac:dyDescent="0.35">
      <c r="A3" s="30">
        <v>3400</v>
      </c>
      <c r="B3" s="2" t="s">
        <v>378</v>
      </c>
      <c r="C3" s="2" t="s">
        <v>376</v>
      </c>
      <c r="D3" s="2" t="s">
        <v>379</v>
      </c>
      <c r="E3" s="5">
        <v>-12901569.82</v>
      </c>
      <c r="F3" s="5">
        <v>0</v>
      </c>
      <c r="G3" s="5">
        <v>0</v>
      </c>
      <c r="H3" s="5">
        <f t="shared" ref="H3:H41" si="0">G3-F3</f>
        <v>0</v>
      </c>
      <c r="I3" s="16" t="str">
        <f t="shared" ref="I3:I41" si="1">IFERROR(H3/F3,"")</f>
        <v/>
      </c>
    </row>
    <row r="4" spans="1:9" x14ac:dyDescent="0.35">
      <c r="A4" s="30">
        <v>3420</v>
      </c>
      <c r="B4" s="2" t="s">
        <v>380</v>
      </c>
      <c r="C4" s="2" t="s">
        <v>376</v>
      </c>
      <c r="D4" s="2" t="s">
        <v>379</v>
      </c>
      <c r="E4" s="5">
        <v>-7430967.2800000003</v>
      </c>
      <c r="F4" s="5">
        <v>0</v>
      </c>
      <c r="G4" s="5">
        <v>0</v>
      </c>
      <c r="H4" s="5">
        <f t="shared" si="0"/>
        <v>0</v>
      </c>
      <c r="I4" s="16" t="str">
        <f t="shared" si="1"/>
        <v/>
      </c>
    </row>
    <row r="5" spans="1:9" x14ac:dyDescent="0.35">
      <c r="A5" s="30">
        <v>3900</v>
      </c>
      <c r="B5" s="2" t="s">
        <v>381</v>
      </c>
      <c r="C5" s="2" t="s">
        <v>376</v>
      </c>
      <c r="D5" s="2" t="s">
        <v>381</v>
      </c>
      <c r="E5" s="5">
        <v>-2112808522.8499999</v>
      </c>
      <c r="F5" s="5">
        <v>-2138798809.53</v>
      </c>
      <c r="G5" s="5">
        <v>-2121838288.5599999</v>
      </c>
      <c r="H5" s="5">
        <f t="shared" si="0"/>
        <v>16960520.970000029</v>
      </c>
      <c r="I5" s="16">
        <f t="shared" si="1"/>
        <v>-7.9299281888636809E-3</v>
      </c>
    </row>
    <row r="6" spans="1:9" x14ac:dyDescent="0.35">
      <c r="A6" s="30">
        <v>5000</v>
      </c>
      <c r="B6" s="2" t="s">
        <v>333</v>
      </c>
      <c r="C6" s="2" t="s">
        <v>382</v>
      </c>
      <c r="D6" s="2" t="s">
        <v>383</v>
      </c>
      <c r="E6" s="5">
        <v>185046900.69</v>
      </c>
      <c r="F6" s="5">
        <v>185256098.65000001</v>
      </c>
      <c r="G6" s="5">
        <v>186347811.66999999</v>
      </c>
      <c r="H6" s="5">
        <f t="shared" si="0"/>
        <v>1091713.0199999809</v>
      </c>
      <c r="I6" s="16">
        <f t="shared" si="1"/>
        <v>5.8929936879569544E-3</v>
      </c>
    </row>
    <row r="7" spans="1:9" x14ac:dyDescent="0.35">
      <c r="A7" s="30">
        <v>5050</v>
      </c>
      <c r="B7" s="2" t="s">
        <v>384</v>
      </c>
      <c r="C7" s="2" t="s">
        <v>382</v>
      </c>
      <c r="D7" s="2" t="s">
        <v>383</v>
      </c>
      <c r="E7" s="5">
        <v>185344424.46000001</v>
      </c>
      <c r="F7" s="5">
        <v>185873932.75</v>
      </c>
      <c r="G7" s="5">
        <v>186506533.34</v>
      </c>
      <c r="H7" s="5">
        <f t="shared" si="0"/>
        <v>632600.59000000358</v>
      </c>
      <c r="I7" s="16">
        <f t="shared" si="1"/>
        <v>3.4033851903851942E-3</v>
      </c>
    </row>
    <row r="8" spans="1:9" x14ac:dyDescent="0.35">
      <c r="A8" s="30">
        <v>5080</v>
      </c>
      <c r="B8" s="2" t="s">
        <v>385</v>
      </c>
      <c r="C8" s="2" t="s">
        <v>382</v>
      </c>
      <c r="D8" s="2" t="s">
        <v>383</v>
      </c>
      <c r="E8" s="5">
        <v>185097321.03</v>
      </c>
      <c r="F8" s="5">
        <v>184988219.34</v>
      </c>
      <c r="G8" s="5">
        <v>186271046.74000001</v>
      </c>
      <c r="H8" s="5">
        <f t="shared" si="0"/>
        <v>1282827.400000006</v>
      </c>
      <c r="I8" s="16">
        <f t="shared" si="1"/>
        <v>6.9346437550286757E-3</v>
      </c>
    </row>
    <row r="9" spans="1:9" x14ac:dyDescent="0.35">
      <c r="A9" s="30">
        <v>5100</v>
      </c>
      <c r="B9" s="2" t="s">
        <v>386</v>
      </c>
      <c r="C9" s="2" t="s">
        <v>382</v>
      </c>
      <c r="D9" s="2" t="s">
        <v>383</v>
      </c>
      <c r="E9" s="5">
        <v>184476822.69999999</v>
      </c>
      <c r="F9" s="5">
        <v>184762198.84</v>
      </c>
      <c r="G9" s="5">
        <v>185352521.05000001</v>
      </c>
      <c r="H9" s="5">
        <f t="shared" si="0"/>
        <v>590322.21000000834</v>
      </c>
      <c r="I9" s="16">
        <f t="shared" si="1"/>
        <v>3.1950378037620907E-3</v>
      </c>
    </row>
    <row r="10" spans="1:9" x14ac:dyDescent="0.35">
      <c r="A10" s="30">
        <v>5400</v>
      </c>
      <c r="B10" s="2" t="s">
        <v>387</v>
      </c>
      <c r="C10" s="2" t="s">
        <v>382</v>
      </c>
      <c r="D10" s="2" t="s">
        <v>383</v>
      </c>
      <c r="E10" s="5">
        <v>185278661.15000001</v>
      </c>
      <c r="F10" s="5">
        <v>186122659.02000001</v>
      </c>
      <c r="G10" s="5">
        <v>186515437.96000001</v>
      </c>
      <c r="H10" s="5">
        <f t="shared" si="0"/>
        <v>392778.93999999762</v>
      </c>
      <c r="I10" s="16">
        <f t="shared" si="1"/>
        <v>2.1103230636619645E-3</v>
      </c>
    </row>
    <row r="11" spans="1:9" x14ac:dyDescent="0.35">
      <c r="A11" s="30">
        <v>5420</v>
      </c>
      <c r="B11" s="2" t="s">
        <v>388</v>
      </c>
      <c r="C11" s="2" t="s">
        <v>382</v>
      </c>
      <c r="D11" s="2" t="s">
        <v>383</v>
      </c>
      <c r="E11" s="5">
        <v>185534915.91</v>
      </c>
      <c r="F11" s="5">
        <v>185611707.56999999</v>
      </c>
      <c r="G11" s="5">
        <v>186191518.78</v>
      </c>
      <c r="H11" s="5">
        <f t="shared" si="0"/>
        <v>579811.21000000834</v>
      </c>
      <c r="I11" s="16">
        <f t="shared" si="1"/>
        <v>3.123785765406761E-3</v>
      </c>
    </row>
    <row r="12" spans="1:9" x14ac:dyDescent="0.35">
      <c r="A12" s="30">
        <v>5800</v>
      </c>
      <c r="B12" s="2" t="s">
        <v>389</v>
      </c>
      <c r="C12" s="2" t="s">
        <v>382</v>
      </c>
      <c r="D12" s="2" t="s">
        <v>383</v>
      </c>
      <c r="E12" s="5">
        <v>186617088.41999999</v>
      </c>
      <c r="F12" s="5">
        <v>186232981.44</v>
      </c>
      <c r="G12" s="5">
        <v>187633531.41</v>
      </c>
      <c r="H12" s="5">
        <f t="shared" si="0"/>
        <v>1400549.9699999988</v>
      </c>
      <c r="I12" s="16">
        <f t="shared" si="1"/>
        <v>7.5204185594334371E-3</v>
      </c>
    </row>
    <row r="13" spans="1:9" x14ac:dyDescent="0.35">
      <c r="A13" s="30">
        <v>5810</v>
      </c>
      <c r="B13" s="2" t="s">
        <v>390</v>
      </c>
      <c r="C13" s="2" t="s">
        <v>382</v>
      </c>
      <c r="D13" s="2" t="s">
        <v>383</v>
      </c>
      <c r="E13" s="5">
        <v>184872741.53999999</v>
      </c>
      <c r="F13" s="5">
        <v>184398917.41</v>
      </c>
      <c r="G13" s="5">
        <v>185605474.43000001</v>
      </c>
      <c r="H13" s="5">
        <f t="shared" si="0"/>
        <v>1206557.0200000107</v>
      </c>
      <c r="I13" s="16">
        <f t="shared" si="1"/>
        <v>6.5431892819484572E-3</v>
      </c>
    </row>
    <row r="14" spans="1:9" x14ac:dyDescent="0.35">
      <c r="A14" s="30">
        <v>6000</v>
      </c>
      <c r="B14" s="2" t="s">
        <v>391</v>
      </c>
      <c r="C14" s="2" t="s">
        <v>382</v>
      </c>
      <c r="D14" s="2" t="s">
        <v>392</v>
      </c>
      <c r="E14" s="5">
        <v>53850226.530000001</v>
      </c>
      <c r="F14" s="5">
        <v>53823851.780000001</v>
      </c>
      <c r="G14" s="5">
        <v>53972749.990000002</v>
      </c>
      <c r="H14" s="5">
        <f t="shared" si="0"/>
        <v>148898.21000000089</v>
      </c>
      <c r="I14" s="16">
        <f t="shared" si="1"/>
        <v>2.7663982616593199E-3</v>
      </c>
    </row>
    <row r="15" spans="1:9" x14ac:dyDescent="0.35">
      <c r="A15" s="30">
        <v>6050</v>
      </c>
      <c r="B15" s="2" t="s">
        <v>393</v>
      </c>
      <c r="C15" s="2" t="s">
        <v>382</v>
      </c>
      <c r="D15" s="2" t="s">
        <v>392</v>
      </c>
      <c r="E15" s="5">
        <v>53490978.640000001</v>
      </c>
      <c r="F15" s="5">
        <v>53318159.549999997</v>
      </c>
      <c r="G15" s="5">
        <v>53556209.229999997</v>
      </c>
      <c r="H15" s="5">
        <f t="shared" si="0"/>
        <v>238049.6799999997</v>
      </c>
      <c r="I15" s="16">
        <f t="shared" si="1"/>
        <v>4.4647017453174585E-3</v>
      </c>
    </row>
    <row r="16" spans="1:9" x14ac:dyDescent="0.35">
      <c r="A16" s="30">
        <v>6300</v>
      </c>
      <c r="B16" s="2" t="s">
        <v>394</v>
      </c>
      <c r="C16" s="2" t="s">
        <v>382</v>
      </c>
      <c r="D16" s="2" t="s">
        <v>395</v>
      </c>
      <c r="E16" s="5">
        <v>21467223.48</v>
      </c>
      <c r="F16" s="5">
        <v>21406634.079999998</v>
      </c>
      <c r="G16" s="5">
        <v>21506748.82</v>
      </c>
      <c r="H16" s="5">
        <f t="shared" si="0"/>
        <v>100114.74000000209</v>
      </c>
      <c r="I16" s="16">
        <f t="shared" si="1"/>
        <v>4.6768090502158051E-3</v>
      </c>
    </row>
    <row r="17" spans="1:9" x14ac:dyDescent="0.35">
      <c r="A17" s="30">
        <v>6310</v>
      </c>
      <c r="B17" s="2" t="s">
        <v>396</v>
      </c>
      <c r="C17" s="2" t="s">
        <v>382</v>
      </c>
      <c r="D17" s="2" t="s">
        <v>395</v>
      </c>
      <c r="E17" s="5">
        <v>21501246.190000001</v>
      </c>
      <c r="F17" s="5">
        <v>21427892.649999999</v>
      </c>
      <c r="G17" s="5">
        <v>21559083.289999999</v>
      </c>
      <c r="H17" s="5">
        <f t="shared" si="0"/>
        <v>131190.6400000006</v>
      </c>
      <c r="I17" s="16">
        <f t="shared" si="1"/>
        <v>6.1224238026038741E-3</v>
      </c>
    </row>
    <row r="18" spans="1:9" x14ac:dyDescent="0.35">
      <c r="A18" s="30">
        <v>6340</v>
      </c>
      <c r="B18" s="2" t="s">
        <v>397</v>
      </c>
      <c r="C18" s="2" t="s">
        <v>382</v>
      </c>
      <c r="D18" s="2" t="s">
        <v>395</v>
      </c>
      <c r="E18" s="5">
        <v>21600221.16</v>
      </c>
      <c r="F18" s="5">
        <v>21544342.32</v>
      </c>
      <c r="G18" s="5">
        <v>21694039.670000002</v>
      </c>
      <c r="H18" s="5">
        <f t="shared" si="0"/>
        <v>149697.35000000149</v>
      </c>
      <c r="I18" s="16">
        <f t="shared" si="1"/>
        <v>6.948336959027742E-3</v>
      </c>
    </row>
    <row r="19" spans="1:9" x14ac:dyDescent="0.35">
      <c r="A19" s="30">
        <v>6360</v>
      </c>
      <c r="B19" s="2" t="s">
        <v>398</v>
      </c>
      <c r="C19" s="2" t="s">
        <v>382</v>
      </c>
      <c r="D19" s="2" t="s">
        <v>395</v>
      </c>
      <c r="E19" s="5">
        <v>21691354.809999999</v>
      </c>
      <c r="F19" s="5">
        <v>21622269.219999999</v>
      </c>
      <c r="G19" s="5">
        <v>21737653.800000001</v>
      </c>
      <c r="H19" s="5">
        <f t="shared" si="0"/>
        <v>115384.58000000194</v>
      </c>
      <c r="I19" s="16">
        <f t="shared" si="1"/>
        <v>5.3363769929048151E-3</v>
      </c>
    </row>
    <row r="20" spans="1:9" x14ac:dyDescent="0.35">
      <c r="A20" s="30">
        <v>6420</v>
      </c>
      <c r="B20" s="2" t="s">
        <v>399</v>
      </c>
      <c r="C20" s="2" t="s">
        <v>382</v>
      </c>
      <c r="D20" s="2" t="s">
        <v>395</v>
      </c>
      <c r="E20" s="5">
        <v>21563120.57</v>
      </c>
      <c r="F20" s="5">
        <v>21616750.489999998</v>
      </c>
      <c r="G20" s="5">
        <v>21641050</v>
      </c>
      <c r="H20" s="5">
        <f t="shared" si="0"/>
        <v>24299.510000001639</v>
      </c>
      <c r="I20" s="16">
        <f t="shared" si="1"/>
        <v>1.1241055870651185E-3</v>
      </c>
    </row>
    <row r="21" spans="1:9" x14ac:dyDescent="0.35">
      <c r="A21" s="30">
        <v>6540</v>
      </c>
      <c r="B21" s="2" t="s">
        <v>400</v>
      </c>
      <c r="C21" s="2" t="s">
        <v>382</v>
      </c>
      <c r="D21" s="2" t="s">
        <v>395</v>
      </c>
      <c r="E21" s="5">
        <v>21382424.199999999</v>
      </c>
      <c r="F21" s="5">
        <v>21408631.289999999</v>
      </c>
      <c r="G21" s="5">
        <v>21416363.890000001</v>
      </c>
      <c r="H21" s="5">
        <f t="shared" si="0"/>
        <v>7732.6000000014901</v>
      </c>
      <c r="I21" s="16">
        <f t="shared" si="1"/>
        <v>3.6119076905273242E-4</v>
      </c>
    </row>
    <row r="22" spans="1:9" x14ac:dyDescent="0.35">
      <c r="A22" s="30">
        <v>6550</v>
      </c>
      <c r="B22" s="2" t="s">
        <v>401</v>
      </c>
      <c r="C22" s="2" t="s">
        <v>382</v>
      </c>
      <c r="D22" s="2" t="s">
        <v>395</v>
      </c>
      <c r="E22" s="5">
        <v>21538414.41</v>
      </c>
      <c r="F22" s="5">
        <v>21417986.940000001</v>
      </c>
      <c r="G22" s="5">
        <v>21585743.02</v>
      </c>
      <c r="H22" s="5">
        <f t="shared" si="0"/>
        <v>167756.07999999821</v>
      </c>
      <c r="I22" s="16">
        <f t="shared" si="1"/>
        <v>7.8324858666665251E-3</v>
      </c>
    </row>
    <row r="23" spans="1:9" x14ac:dyDescent="0.35">
      <c r="A23" s="30">
        <v>6630</v>
      </c>
      <c r="B23" s="2" t="s">
        <v>402</v>
      </c>
      <c r="C23" s="2" t="s">
        <v>382</v>
      </c>
      <c r="D23" s="2" t="s">
        <v>395</v>
      </c>
      <c r="E23" s="5">
        <v>21403345.489999998</v>
      </c>
      <c r="F23" s="5">
        <v>21442410.170000002</v>
      </c>
      <c r="G23" s="5">
        <v>21435507.550000001</v>
      </c>
      <c r="H23" s="5">
        <f t="shared" si="0"/>
        <v>-6902.6200000010431</v>
      </c>
      <c r="I23" s="16">
        <f t="shared" si="1"/>
        <v>-3.2191437181154539E-4</v>
      </c>
    </row>
    <row r="24" spans="1:9" x14ac:dyDescent="0.35">
      <c r="A24" s="30">
        <v>6700</v>
      </c>
      <c r="B24" s="2" t="s">
        <v>403</v>
      </c>
      <c r="C24" s="2" t="s">
        <v>382</v>
      </c>
      <c r="D24" s="2" t="s">
        <v>395</v>
      </c>
      <c r="E24" s="5">
        <v>21466045.010000002</v>
      </c>
      <c r="F24" s="5">
        <v>21441383.949999999</v>
      </c>
      <c r="G24" s="5">
        <v>21498797.890000001</v>
      </c>
      <c r="H24" s="5">
        <f t="shared" si="0"/>
        <v>57413.940000001341</v>
      </c>
      <c r="I24" s="16">
        <f t="shared" si="1"/>
        <v>2.6777161462099254E-3</v>
      </c>
    </row>
    <row r="25" spans="1:9" x14ac:dyDescent="0.35">
      <c r="A25" s="30">
        <v>6710</v>
      </c>
      <c r="B25" s="2" t="s">
        <v>404</v>
      </c>
      <c r="C25" s="2" t="s">
        <v>382</v>
      </c>
      <c r="D25" s="2" t="s">
        <v>395</v>
      </c>
      <c r="E25" s="5">
        <v>21448918.210000001</v>
      </c>
      <c r="F25" s="5">
        <v>21506076.73</v>
      </c>
      <c r="G25" s="5">
        <v>21509774.489999998</v>
      </c>
      <c r="H25" s="5">
        <f t="shared" si="0"/>
        <v>3697.7599999979138</v>
      </c>
      <c r="I25" s="16">
        <f t="shared" si="1"/>
        <v>1.7194024025961492E-4</v>
      </c>
    </row>
    <row r="26" spans="1:9" x14ac:dyDescent="0.35">
      <c r="A26" s="30">
        <v>6720</v>
      </c>
      <c r="B26" s="2" t="s">
        <v>405</v>
      </c>
      <c r="C26" s="2" t="s">
        <v>382</v>
      </c>
      <c r="D26" s="2" t="s">
        <v>395</v>
      </c>
      <c r="E26" s="5">
        <v>21580875.629999999</v>
      </c>
      <c r="F26" s="5">
        <v>21593398.969999999</v>
      </c>
      <c r="G26" s="5">
        <v>21607780.399999999</v>
      </c>
      <c r="H26" s="5">
        <f t="shared" si="0"/>
        <v>14381.429999999702</v>
      </c>
      <c r="I26" s="16">
        <f t="shared" si="1"/>
        <v>6.6601047940530427E-4</v>
      </c>
    </row>
    <row r="27" spans="1:9" x14ac:dyDescent="0.35">
      <c r="A27" s="30">
        <v>6730</v>
      </c>
      <c r="B27" s="2" t="s">
        <v>406</v>
      </c>
      <c r="C27" s="2" t="s">
        <v>382</v>
      </c>
      <c r="D27" s="2" t="s">
        <v>395</v>
      </c>
      <c r="E27" s="5">
        <v>21601323.77</v>
      </c>
      <c r="F27" s="5">
        <v>21602696.190000001</v>
      </c>
      <c r="G27" s="5">
        <v>21634414.469999999</v>
      </c>
      <c r="H27" s="5">
        <f t="shared" si="0"/>
        <v>31718.279999997467</v>
      </c>
      <c r="I27" s="16">
        <f t="shared" si="1"/>
        <v>1.4682556159207581E-3</v>
      </c>
    </row>
    <row r="28" spans="1:9" x14ac:dyDescent="0.35">
      <c r="A28" s="30">
        <v>6740</v>
      </c>
      <c r="B28" s="2" t="s">
        <v>407</v>
      </c>
      <c r="C28" s="2" t="s">
        <v>382</v>
      </c>
      <c r="D28" s="2" t="s">
        <v>395</v>
      </c>
      <c r="E28" s="5">
        <v>21544572</v>
      </c>
      <c r="F28" s="5">
        <v>21454121.109999999</v>
      </c>
      <c r="G28" s="5">
        <v>21545152.030000001</v>
      </c>
      <c r="H28" s="5">
        <f t="shared" si="0"/>
        <v>91030.920000001788</v>
      </c>
      <c r="I28" s="16">
        <f t="shared" si="1"/>
        <v>4.2430505324951894E-3</v>
      </c>
    </row>
    <row r="29" spans="1:9" x14ac:dyDescent="0.35">
      <c r="A29" s="30">
        <v>6750</v>
      </c>
      <c r="B29" s="2" t="s">
        <v>408</v>
      </c>
      <c r="C29" s="2" t="s">
        <v>382</v>
      </c>
      <c r="D29" s="2" t="s">
        <v>395</v>
      </c>
      <c r="E29" s="5">
        <v>21412913.780000001</v>
      </c>
      <c r="F29" s="5">
        <v>21469967.469999999</v>
      </c>
      <c r="G29" s="5">
        <v>21471281.09</v>
      </c>
      <c r="H29" s="5">
        <f t="shared" si="0"/>
        <v>1313.6200000010431</v>
      </c>
      <c r="I29" s="16">
        <f t="shared" si="1"/>
        <v>6.1184070345545011E-5</v>
      </c>
    </row>
    <row r="30" spans="1:9" x14ac:dyDescent="0.35">
      <c r="A30" s="30">
        <v>6800</v>
      </c>
      <c r="B30" s="2" t="s">
        <v>409</v>
      </c>
      <c r="C30" s="2" t="s">
        <v>382</v>
      </c>
      <c r="D30" s="2" t="s">
        <v>395</v>
      </c>
      <c r="E30" s="5">
        <v>21531624.73</v>
      </c>
      <c r="F30" s="5">
        <v>21507563.66</v>
      </c>
      <c r="G30" s="5">
        <v>21577777.059999999</v>
      </c>
      <c r="H30" s="5">
        <f t="shared" si="0"/>
        <v>70213.39999999851</v>
      </c>
      <c r="I30" s="16">
        <f t="shared" si="1"/>
        <v>3.2645910578231671E-3</v>
      </c>
    </row>
    <row r="31" spans="1:9" x14ac:dyDescent="0.35">
      <c r="A31" s="30">
        <v>6840</v>
      </c>
      <c r="B31" s="2" t="s">
        <v>410</v>
      </c>
      <c r="C31" s="2" t="s">
        <v>382</v>
      </c>
      <c r="D31" s="2" t="s">
        <v>395</v>
      </c>
      <c r="E31" s="5">
        <v>21437255.280000001</v>
      </c>
      <c r="F31" s="5">
        <v>21485434.100000001</v>
      </c>
      <c r="G31" s="5">
        <v>21521087.59</v>
      </c>
      <c r="H31" s="5">
        <f t="shared" si="0"/>
        <v>35653.489999998361</v>
      </c>
      <c r="I31" s="16">
        <f t="shared" si="1"/>
        <v>1.6594260946302388E-3</v>
      </c>
    </row>
    <row r="32" spans="1:9" x14ac:dyDescent="0.35">
      <c r="A32" s="30">
        <v>6860</v>
      </c>
      <c r="B32" s="2" t="s">
        <v>411</v>
      </c>
      <c r="C32" s="2" t="s">
        <v>382</v>
      </c>
      <c r="D32" s="2" t="s">
        <v>395</v>
      </c>
      <c r="E32" s="5">
        <v>21527177.309999999</v>
      </c>
      <c r="F32" s="5">
        <v>21525789.23</v>
      </c>
      <c r="G32" s="5">
        <v>21561116.219999999</v>
      </c>
      <c r="H32" s="5">
        <f t="shared" si="0"/>
        <v>35326.989999998361</v>
      </c>
      <c r="I32" s="16">
        <f t="shared" si="1"/>
        <v>1.6411472593424795E-3</v>
      </c>
    </row>
    <row r="33" spans="1:9" x14ac:dyDescent="0.35">
      <c r="A33" s="30">
        <v>6870</v>
      </c>
      <c r="B33" s="2" t="s">
        <v>412</v>
      </c>
      <c r="C33" s="2" t="s">
        <v>382</v>
      </c>
      <c r="D33" s="2" t="s">
        <v>395</v>
      </c>
      <c r="E33" s="5">
        <v>21459755.98</v>
      </c>
      <c r="F33" s="5">
        <v>21546419.140000001</v>
      </c>
      <c r="G33" s="5">
        <v>21517244.469999999</v>
      </c>
      <c r="H33" s="5">
        <f t="shared" si="0"/>
        <v>-29174.670000001788</v>
      </c>
      <c r="I33" s="16">
        <f t="shared" si="1"/>
        <v>-1.3540379870286784E-3</v>
      </c>
    </row>
    <row r="34" spans="1:9" x14ac:dyDescent="0.35">
      <c r="A34" s="30">
        <v>6900</v>
      </c>
      <c r="B34" s="2" t="s">
        <v>413</v>
      </c>
      <c r="C34" s="2" t="s">
        <v>382</v>
      </c>
      <c r="D34" s="2" t="s">
        <v>395</v>
      </c>
      <c r="E34" s="5">
        <v>21464621.120000001</v>
      </c>
      <c r="F34" s="5">
        <v>21502447.449999999</v>
      </c>
      <c r="G34" s="5">
        <v>21521745.649999999</v>
      </c>
      <c r="H34" s="5">
        <f t="shared" si="0"/>
        <v>19298.199999999255</v>
      </c>
      <c r="I34" s="16">
        <f t="shared" si="1"/>
        <v>8.9748853217168334E-4</v>
      </c>
    </row>
    <row r="35" spans="1:9" x14ac:dyDescent="0.35">
      <c r="A35" s="30">
        <v>7100</v>
      </c>
      <c r="B35" s="2" t="s">
        <v>414</v>
      </c>
      <c r="C35" s="2" t="s">
        <v>382</v>
      </c>
      <c r="D35" s="2" t="s">
        <v>395</v>
      </c>
      <c r="E35" s="5">
        <v>21542462.52</v>
      </c>
      <c r="F35" s="5">
        <v>21529431.350000001</v>
      </c>
      <c r="G35" s="5">
        <v>21601001.649999999</v>
      </c>
      <c r="H35" s="5">
        <f t="shared" si="0"/>
        <v>71570.29999999702</v>
      </c>
      <c r="I35" s="16">
        <f t="shared" si="1"/>
        <v>3.3243005277980562E-3</v>
      </c>
    </row>
    <row r="36" spans="1:9" x14ac:dyDescent="0.35">
      <c r="A36" s="30">
        <v>7130</v>
      </c>
      <c r="B36" s="2" t="s">
        <v>415</v>
      </c>
      <c r="C36" s="2" t="s">
        <v>382</v>
      </c>
      <c r="D36" s="2" t="s">
        <v>395</v>
      </c>
      <c r="E36" s="5">
        <v>21685075.260000002</v>
      </c>
      <c r="F36" s="5">
        <v>21611133.920000002</v>
      </c>
      <c r="G36" s="5">
        <v>21688508.559999999</v>
      </c>
      <c r="H36" s="5">
        <f t="shared" si="0"/>
        <v>77374.639999996871</v>
      </c>
      <c r="I36" s="16">
        <f t="shared" si="1"/>
        <v>3.5803137533838791E-3</v>
      </c>
    </row>
    <row r="37" spans="1:9" x14ac:dyDescent="0.35">
      <c r="A37" s="30">
        <v>7150</v>
      </c>
      <c r="B37" s="2" t="s">
        <v>416</v>
      </c>
      <c r="C37" s="2" t="s">
        <v>382</v>
      </c>
      <c r="D37" s="2" t="s">
        <v>395</v>
      </c>
      <c r="E37" s="5">
        <v>21550321</v>
      </c>
      <c r="F37" s="5">
        <v>21465890.52</v>
      </c>
      <c r="G37" s="5">
        <v>21554215.219999999</v>
      </c>
      <c r="H37" s="5">
        <f t="shared" si="0"/>
        <v>88324.699999999255</v>
      </c>
      <c r="I37" s="16">
        <f t="shared" si="1"/>
        <v>4.1146534273854693E-3</v>
      </c>
    </row>
    <row r="38" spans="1:9" x14ac:dyDescent="0.35">
      <c r="A38" s="30">
        <v>7320</v>
      </c>
      <c r="B38" s="2" t="s">
        <v>417</v>
      </c>
      <c r="C38" s="2" t="s">
        <v>382</v>
      </c>
      <c r="D38" s="2" t="s">
        <v>395</v>
      </c>
      <c r="E38" s="5">
        <v>21499454.600000001</v>
      </c>
      <c r="F38" s="5">
        <v>21407039.800000001</v>
      </c>
      <c r="G38" s="5">
        <v>21525946.879999999</v>
      </c>
      <c r="H38" s="5">
        <f t="shared" si="0"/>
        <v>118907.07999999821</v>
      </c>
      <c r="I38" s="16">
        <f t="shared" si="1"/>
        <v>5.5545783588442808E-3</v>
      </c>
    </row>
    <row r="39" spans="1:9" x14ac:dyDescent="0.35">
      <c r="A39" s="30">
        <v>7400</v>
      </c>
      <c r="B39" s="2" t="s">
        <v>418</v>
      </c>
      <c r="C39" s="2" t="s">
        <v>382</v>
      </c>
      <c r="D39" s="2" t="s">
        <v>395</v>
      </c>
      <c r="E39" s="5">
        <v>21490908.190000001</v>
      </c>
      <c r="F39" s="5">
        <v>21539853.390000001</v>
      </c>
      <c r="G39" s="5">
        <v>21576596.18</v>
      </c>
      <c r="H39" s="5">
        <f t="shared" si="0"/>
        <v>36742.789999999106</v>
      </c>
      <c r="I39" s="16">
        <f t="shared" si="1"/>
        <v>1.7058050180163787E-3</v>
      </c>
    </row>
    <row r="40" spans="1:9" x14ac:dyDescent="0.35">
      <c r="A40" s="30">
        <v>7600</v>
      </c>
      <c r="B40" s="2" t="s">
        <v>419</v>
      </c>
      <c r="C40" s="2" t="s">
        <v>382</v>
      </c>
      <c r="D40" s="2" t="s">
        <v>395</v>
      </c>
      <c r="E40" s="5">
        <v>21459553.530000001</v>
      </c>
      <c r="F40" s="5">
        <v>21431433.699999999</v>
      </c>
      <c r="G40" s="5">
        <v>21490644.59</v>
      </c>
      <c r="H40" s="5">
        <f t="shared" si="0"/>
        <v>59210.890000000596</v>
      </c>
      <c r="I40" s="16">
        <f t="shared" si="1"/>
        <v>2.7628058313243224E-3</v>
      </c>
    </row>
    <row r="41" spans="1:9" x14ac:dyDescent="0.35">
      <c r="A41" s="30">
        <v>7790</v>
      </c>
      <c r="B41" s="2" t="s">
        <v>420</v>
      </c>
      <c r="C41" s="2" t="s">
        <v>382</v>
      </c>
      <c r="D41" s="2" t="s">
        <v>395</v>
      </c>
      <c r="E41" s="5">
        <v>21643649.98</v>
      </c>
      <c r="F41" s="5">
        <v>21650818.16</v>
      </c>
      <c r="G41" s="5">
        <v>21699703.789999999</v>
      </c>
      <c r="H41" s="5">
        <f t="shared" si="0"/>
        <v>48885.629999998957</v>
      </c>
      <c r="I41" s="16">
        <f t="shared" si="1"/>
        <v>2.2579114395924037E-3</v>
      </c>
    </row>
  </sheetData>
  <conditionalFormatting sqref="I2:I41">
    <cfRule type="expression" dxfId="69" priority="2">
      <formula>$I2&gt;0.05</formula>
    </cfRule>
  </conditionalFormatting>
  <conditionalFormatting sqref="I2:I41">
    <cfRule type="expression" dxfId="68" priority="3">
      <formula>AND($I2&gt;=0.02,$I2&lt;=0.05)</formula>
    </cfRule>
  </conditionalFormatting>
  <conditionalFormatting sqref="I2:I41">
    <cfRule type="expression" dxfId="67" priority="4">
      <formula>$I2&lt;0.02</formula>
    </cfRule>
  </conditionalFormatting>
  <conditionalFormatting sqref="H2:H4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{77160C5A-03E9-4C5D-9D3B-B22F648AC2ED}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7160C5A-03E9-4C5D-9D3B-B22F648AC2ED}">
            <x14:dataBar minLength="0" maxLength="100" negativeBarColorSameAsPositive="1" axisPosition="middle">
              <x14:cfvo type="min"/>
              <x14:cfvo type="max"/>
              <x14:axisColor rgb="FF000000"/>
            </x14:dataBar>
          </x14:cfRule>
          <xm:sqref>H2:H41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B61C7-7F24-4265-8DD7-2BAB2A9E20F7}">
  <dimension ref="A1:J5"/>
  <sheetViews>
    <sheetView workbookViewId="0"/>
  </sheetViews>
  <sheetFormatPr defaultRowHeight="14.5" x14ac:dyDescent="0.35"/>
  <cols>
    <col min="1" max="1" width="9.90625" bestFit="1" customWidth="1"/>
    <col min="2" max="2" width="20.81640625" bestFit="1" customWidth="1"/>
    <col min="3" max="3" width="17.81640625" bestFit="1" customWidth="1"/>
    <col min="4" max="4" width="18.26953125" bestFit="1" customWidth="1"/>
    <col min="5" max="5" width="16.6328125" bestFit="1" customWidth="1"/>
    <col min="6" max="6" width="12.453125" bestFit="1" customWidth="1"/>
    <col min="7" max="8" width="11.81640625" bestFit="1" customWidth="1"/>
    <col min="9" max="9" width="14.54296875" bestFit="1" customWidth="1"/>
    <col min="10" max="10" width="17.36328125" customWidth="1"/>
  </cols>
  <sheetData>
    <row r="1" spans="1:10" x14ac:dyDescent="0.35">
      <c r="A1" s="4" t="s">
        <v>30</v>
      </c>
      <c r="B1" s="4" t="s">
        <v>31</v>
      </c>
      <c r="C1" s="4" t="s">
        <v>32</v>
      </c>
      <c r="D1" s="4" t="s">
        <v>33</v>
      </c>
      <c r="E1" s="4" t="s">
        <v>34</v>
      </c>
      <c r="F1" s="4" t="s">
        <v>2</v>
      </c>
      <c r="G1" s="4" t="s">
        <v>3</v>
      </c>
      <c r="H1" s="4" t="s">
        <v>9</v>
      </c>
      <c r="I1" s="4" t="s">
        <v>10</v>
      </c>
      <c r="J1" s="4" t="s">
        <v>11</v>
      </c>
    </row>
    <row r="2" spans="1:10" x14ac:dyDescent="0.35">
      <c r="A2" s="2" t="s">
        <v>35</v>
      </c>
      <c r="B2" s="2" t="s">
        <v>36</v>
      </c>
      <c r="C2" s="2" t="s">
        <v>37</v>
      </c>
      <c r="D2" s="2" t="s">
        <v>38</v>
      </c>
      <c r="E2" s="2" t="s">
        <v>39</v>
      </c>
      <c r="F2" s="5">
        <v>36295416.43</v>
      </c>
      <c r="G2" s="5">
        <v>10747732.82</v>
      </c>
      <c r="H2" s="5">
        <v>36793524.310000002</v>
      </c>
      <c r="I2" s="5">
        <f>H2-G2</f>
        <v>26045791.490000002</v>
      </c>
      <c r="J2" s="16">
        <f t="shared" ref="J2:J5" si="0">IFERROR(I2/G2,"")</f>
        <v>2.4233754156534757</v>
      </c>
    </row>
    <row r="3" spans="1:10" x14ac:dyDescent="0.35">
      <c r="A3" s="2" t="s">
        <v>40</v>
      </c>
      <c r="B3" s="2" t="s">
        <v>41</v>
      </c>
      <c r="C3" s="2" t="s">
        <v>42</v>
      </c>
      <c r="D3" s="2" t="s">
        <v>43</v>
      </c>
      <c r="E3" s="2" t="s">
        <v>44</v>
      </c>
      <c r="F3" s="5">
        <v>-7430967.2800000003</v>
      </c>
      <c r="G3" s="5">
        <v>0</v>
      </c>
      <c r="H3" s="5">
        <v>0</v>
      </c>
      <c r="I3" s="5">
        <f t="shared" ref="I3:I5" si="1">H3-G3</f>
        <v>0</v>
      </c>
      <c r="J3" s="16" t="str">
        <f t="shared" si="0"/>
        <v/>
      </c>
    </row>
    <row r="4" spans="1:10" x14ac:dyDescent="0.35">
      <c r="A4" s="2" t="s">
        <v>45</v>
      </c>
      <c r="B4" s="2" t="s">
        <v>46</v>
      </c>
      <c r="C4" s="2" t="s">
        <v>47</v>
      </c>
      <c r="D4" s="2" t="s">
        <v>48</v>
      </c>
      <c r="E4" s="2" t="s">
        <v>49</v>
      </c>
      <c r="F4" s="5">
        <v>-5345751.1399999997</v>
      </c>
      <c r="G4" s="5">
        <v>0</v>
      </c>
      <c r="H4" s="5">
        <v>0</v>
      </c>
      <c r="I4" s="5">
        <f t="shared" si="1"/>
        <v>0</v>
      </c>
      <c r="J4" s="16" t="str">
        <f t="shared" si="0"/>
        <v/>
      </c>
    </row>
    <row r="5" spans="1:10" x14ac:dyDescent="0.35">
      <c r="A5" s="2" t="s">
        <v>50</v>
      </c>
      <c r="B5" s="2" t="s">
        <v>51</v>
      </c>
      <c r="C5" s="2" t="s">
        <v>42</v>
      </c>
      <c r="D5" s="2" t="s">
        <v>52</v>
      </c>
      <c r="E5" s="2" t="s">
        <v>44</v>
      </c>
      <c r="F5" s="5">
        <v>-12901569.82</v>
      </c>
      <c r="G5" s="5">
        <v>0</v>
      </c>
      <c r="H5" s="5">
        <v>0</v>
      </c>
      <c r="I5" s="5">
        <f t="shared" si="1"/>
        <v>0</v>
      </c>
      <c r="J5" s="16" t="str">
        <f t="shared" si="0"/>
        <v/>
      </c>
    </row>
  </sheetData>
  <conditionalFormatting sqref="J2:J5">
    <cfRule type="expression" dxfId="72" priority="1">
      <formula>$J2&gt;0.05</formula>
    </cfRule>
  </conditionalFormatting>
  <conditionalFormatting sqref="J2:J5">
    <cfRule type="expression" dxfId="71" priority="2">
      <formula>AND($J2&gt;=0.02,$J2&lt;=0.05)</formula>
    </cfRule>
  </conditionalFormatting>
  <conditionalFormatting sqref="J2:J5">
    <cfRule type="expression" dxfId="70" priority="3">
      <formula>$J2&lt;0.02</formula>
    </cfRule>
  </conditionalFormatting>
  <conditionalFormatting sqref="I2:I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{2F3393D3-C7D2-49A2-A0F6-3ECC11443C6B}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F3393D3-C7D2-49A2-A0F6-3ECC11443C6B}">
            <x14:dataBar minLength="0" maxLength="100" negativeBarColorSameAsPositive="1" axisPosition="middle">
              <x14:cfvo type="min"/>
              <x14:cfvo type="max"/>
              <x14:axisColor rgb="FF000000"/>
            </x14:dataBar>
          </x14:cfRule>
          <xm:sqref>I2:I5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C34ED-0985-4DF7-BDDE-BFAFE5FEC72A}">
  <dimension ref="A1:E6"/>
  <sheetViews>
    <sheetView workbookViewId="0"/>
  </sheetViews>
  <sheetFormatPr defaultRowHeight="14.5" x14ac:dyDescent="0.35"/>
  <cols>
    <col min="1" max="1" width="15.90625" bestFit="1" customWidth="1"/>
    <col min="2" max="2" width="25.81640625" bestFit="1" customWidth="1"/>
    <col min="3" max="3" width="18.08984375" bestFit="1" customWidth="1"/>
    <col min="4" max="4" width="10.36328125" bestFit="1" customWidth="1"/>
    <col min="5" max="5" width="16.1796875" bestFit="1" customWidth="1"/>
  </cols>
  <sheetData>
    <row r="1" spans="1:5" x14ac:dyDescent="0.35">
      <c r="A1" s="4" t="s">
        <v>53</v>
      </c>
      <c r="B1" s="4" t="s">
        <v>54</v>
      </c>
      <c r="C1" s="4" t="s">
        <v>55</v>
      </c>
      <c r="D1" s="4" t="s">
        <v>12</v>
      </c>
      <c r="E1" s="4" t="s">
        <v>13</v>
      </c>
    </row>
    <row r="2" spans="1:5" x14ac:dyDescent="0.35">
      <c r="A2" s="2" t="s">
        <v>56</v>
      </c>
      <c r="B2" s="2" t="s">
        <v>57</v>
      </c>
      <c r="C2" s="2" t="s">
        <v>58</v>
      </c>
      <c r="D2" s="5">
        <v>493.39</v>
      </c>
      <c r="E2" s="5">
        <v>0</v>
      </c>
    </row>
    <row r="3" spans="1:5" x14ac:dyDescent="0.35">
      <c r="A3" s="2" t="s">
        <v>59</v>
      </c>
      <c r="B3" s="2" t="s">
        <v>60</v>
      </c>
      <c r="C3" s="2" t="s">
        <v>61</v>
      </c>
      <c r="D3" s="5">
        <v>326.51</v>
      </c>
      <c r="E3" s="5">
        <v>326.51</v>
      </c>
    </row>
    <row r="4" spans="1:5" x14ac:dyDescent="0.35">
      <c r="A4" s="2" t="s">
        <v>62</v>
      </c>
      <c r="B4" s="2" t="s">
        <v>63</v>
      </c>
      <c r="C4" s="2" t="s">
        <v>61</v>
      </c>
      <c r="D4" s="5">
        <v>207.29</v>
      </c>
      <c r="E4" s="5">
        <v>207.29</v>
      </c>
    </row>
    <row r="5" spans="1:5" x14ac:dyDescent="0.35">
      <c r="A5" s="2" t="s">
        <v>64</v>
      </c>
      <c r="B5" s="2" t="s">
        <v>65</v>
      </c>
      <c r="C5" s="2" t="s">
        <v>66</v>
      </c>
      <c r="D5" s="5">
        <v>127.97</v>
      </c>
      <c r="E5" s="5">
        <v>127.97</v>
      </c>
    </row>
    <row r="6" spans="1:5" x14ac:dyDescent="0.35">
      <c r="A6" s="2" t="s">
        <v>67</v>
      </c>
      <c r="B6" s="2" t="s">
        <v>68</v>
      </c>
      <c r="C6" s="2" t="s">
        <v>58</v>
      </c>
      <c r="D6" s="5">
        <v>130.77000000000001</v>
      </c>
      <c r="E6" s="5">
        <v>0</v>
      </c>
    </row>
  </sheetData>
  <conditionalFormatting sqref="D2:D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{F44985DC-3BA6-4DD1-BD47-98C5E3DF4C8F}</x14:id>
        </ext>
      </extLst>
    </cfRule>
  </conditionalFormatting>
  <conditionalFormatting sqref="E2:E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{F4884DF5-627B-473B-943D-1F7B92A3B1D9}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44985DC-3BA6-4DD1-BD47-98C5E3DF4C8F}">
            <x14:dataBar minLength="0" maxLength="100" negativeBarColorSameAsPositive="1" axisPosition="middle">
              <x14:cfvo type="min"/>
              <x14:cfvo type="max"/>
              <x14:axisColor rgb="FF000000"/>
            </x14:dataBar>
          </x14:cfRule>
          <xm:sqref>D2:D6</xm:sqref>
        </x14:conditionalFormatting>
        <x14:conditionalFormatting xmlns:xm="http://schemas.microsoft.com/office/excel/2006/main">
          <x14:cfRule type="dataBar" id="{F4884DF5-627B-473B-943D-1F7B92A3B1D9}">
            <x14:dataBar minLength="0" maxLength="100" negativeBarColorSameAsPositive="1" axisPosition="middle">
              <x14:cfvo type="min"/>
              <x14:cfvo type="max"/>
              <x14:axisColor rgb="FF000000"/>
            </x14:dataBar>
          </x14:cfRule>
          <xm:sqref>E2:E6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CA8D4-79E9-4B9B-9851-1DA2A7B5408C}">
  <dimension ref="A1:J37"/>
  <sheetViews>
    <sheetView workbookViewId="0">
      <selection sqref="A1:H1"/>
    </sheetView>
  </sheetViews>
  <sheetFormatPr defaultRowHeight="14.5" x14ac:dyDescent="0.35"/>
  <cols>
    <col min="1" max="1" width="15.6328125" bestFit="1" customWidth="1"/>
    <col min="2" max="2" width="50.453125" bestFit="1" customWidth="1"/>
    <col min="3" max="3" width="12.90625" bestFit="1" customWidth="1"/>
    <col min="4" max="5" width="10.08984375" bestFit="1" customWidth="1"/>
    <col min="6" max="6" width="21.6328125" bestFit="1" customWidth="1"/>
    <col min="7" max="7" width="19.90625" bestFit="1" customWidth="1"/>
    <col min="8" max="8" width="8.26953125" bestFit="1" customWidth="1"/>
    <col min="9" max="9" width="20.81640625" bestFit="1" customWidth="1"/>
    <col min="10" max="10" width="16.90625" bestFit="1" customWidth="1"/>
  </cols>
  <sheetData>
    <row r="1" spans="1:10" x14ac:dyDescent="0.35">
      <c r="A1" s="4" t="s">
        <v>158</v>
      </c>
      <c r="B1" s="4" t="s">
        <v>243</v>
      </c>
      <c r="C1" s="4" t="s">
        <v>244</v>
      </c>
      <c r="D1" s="4" t="s">
        <v>7</v>
      </c>
      <c r="E1" s="4" t="s">
        <v>201</v>
      </c>
      <c r="F1" s="4" t="s">
        <v>245</v>
      </c>
      <c r="G1" s="4" t="s">
        <v>246</v>
      </c>
      <c r="H1" s="4" t="s">
        <v>106</v>
      </c>
      <c r="I1" s="4" t="s">
        <v>14</v>
      </c>
      <c r="J1" s="4" t="s">
        <v>247</v>
      </c>
    </row>
    <row r="2" spans="1:10" x14ac:dyDescent="0.35">
      <c r="A2" s="2" t="s">
        <v>248</v>
      </c>
      <c r="B2" s="2" t="s">
        <v>249</v>
      </c>
      <c r="C2" s="2" t="s">
        <v>250</v>
      </c>
      <c r="D2" s="2" t="s">
        <v>16</v>
      </c>
      <c r="E2" s="2" t="s">
        <v>203</v>
      </c>
      <c r="F2" s="5">
        <v>22150</v>
      </c>
      <c r="G2" s="5">
        <v>18744</v>
      </c>
      <c r="H2" s="5">
        <v>312.39699999999999</v>
      </c>
      <c r="I2" s="5">
        <v>355</v>
      </c>
      <c r="J2" s="16">
        <f>IFERROR(G2/F2,"")</f>
        <v>0.84623024830699778</v>
      </c>
    </row>
    <row r="3" spans="1:10" x14ac:dyDescent="0.35">
      <c r="A3" s="2" t="s">
        <v>251</v>
      </c>
      <c r="B3" s="2" t="s">
        <v>252</v>
      </c>
      <c r="C3" s="2" t="s">
        <v>253</v>
      </c>
      <c r="D3" s="2" t="s">
        <v>16</v>
      </c>
      <c r="E3" s="2" t="s">
        <v>203</v>
      </c>
      <c r="F3" s="5">
        <v>8450</v>
      </c>
      <c r="G3" s="5">
        <v>7205.6</v>
      </c>
      <c r="H3" s="5">
        <v>120.096</v>
      </c>
      <c r="I3" s="5">
        <v>144</v>
      </c>
      <c r="J3" s="16">
        <f t="shared" ref="J3:J37" si="0">IFERROR(G3/F3,"")</f>
        <v>0.85273372781065093</v>
      </c>
    </row>
    <row r="4" spans="1:10" x14ac:dyDescent="0.35">
      <c r="A4" s="2" t="s">
        <v>254</v>
      </c>
      <c r="B4" s="2" t="s">
        <v>255</v>
      </c>
      <c r="C4" s="2" t="s">
        <v>250</v>
      </c>
      <c r="D4" s="2" t="s">
        <v>16</v>
      </c>
      <c r="E4" s="2" t="s">
        <v>205</v>
      </c>
      <c r="F4" s="5">
        <v>21830</v>
      </c>
      <c r="G4" s="5">
        <v>18891.599999999999</v>
      </c>
      <c r="H4" s="5">
        <v>314.85700000000003</v>
      </c>
      <c r="I4" s="5">
        <v>363</v>
      </c>
      <c r="J4" s="16">
        <f t="shared" si="0"/>
        <v>0.86539624370132839</v>
      </c>
    </row>
    <row r="5" spans="1:10" x14ac:dyDescent="0.35">
      <c r="A5" s="2" t="s">
        <v>256</v>
      </c>
      <c r="B5" s="2" t="s">
        <v>257</v>
      </c>
      <c r="C5" s="2" t="s">
        <v>253</v>
      </c>
      <c r="D5" s="2" t="s">
        <v>16</v>
      </c>
      <c r="E5" s="2" t="s">
        <v>205</v>
      </c>
      <c r="F5" s="5">
        <v>9160</v>
      </c>
      <c r="G5" s="5">
        <v>8066.9</v>
      </c>
      <c r="H5" s="5">
        <v>134.447</v>
      </c>
      <c r="I5" s="5">
        <v>153</v>
      </c>
      <c r="J5" s="16">
        <f t="shared" si="0"/>
        <v>0.88066593886462874</v>
      </c>
    </row>
    <row r="6" spans="1:10" x14ac:dyDescent="0.35">
      <c r="A6" s="2" t="s">
        <v>258</v>
      </c>
      <c r="B6" s="2" t="s">
        <v>259</v>
      </c>
      <c r="C6" s="2" t="s">
        <v>250</v>
      </c>
      <c r="D6" s="2" t="s">
        <v>16</v>
      </c>
      <c r="E6" s="2" t="s">
        <v>207</v>
      </c>
      <c r="F6" s="5">
        <v>21110</v>
      </c>
      <c r="G6" s="5">
        <v>18230.2</v>
      </c>
      <c r="H6" s="5">
        <v>303.834</v>
      </c>
      <c r="I6" s="5">
        <v>348</v>
      </c>
      <c r="J6" s="16">
        <f t="shared" si="0"/>
        <v>0.86358124111795365</v>
      </c>
    </row>
    <row r="7" spans="1:10" x14ac:dyDescent="0.35">
      <c r="A7" s="2" t="s">
        <v>260</v>
      </c>
      <c r="B7" s="2" t="s">
        <v>261</v>
      </c>
      <c r="C7" s="2" t="s">
        <v>253</v>
      </c>
      <c r="D7" s="2" t="s">
        <v>16</v>
      </c>
      <c r="E7" s="2" t="s">
        <v>207</v>
      </c>
      <c r="F7" s="5">
        <v>4710</v>
      </c>
      <c r="G7" s="5">
        <v>4062.3</v>
      </c>
      <c r="H7" s="5">
        <v>67.704999999999998</v>
      </c>
      <c r="I7" s="5">
        <v>78</v>
      </c>
      <c r="J7" s="16">
        <f t="shared" si="0"/>
        <v>0.86248407643312108</v>
      </c>
    </row>
    <row r="8" spans="1:10" x14ac:dyDescent="0.35">
      <c r="A8" s="2" t="s">
        <v>262</v>
      </c>
      <c r="B8" s="2" t="s">
        <v>263</v>
      </c>
      <c r="C8" s="2" t="s">
        <v>250</v>
      </c>
      <c r="D8" s="2" t="s">
        <v>18</v>
      </c>
      <c r="E8" s="2" t="s">
        <v>209</v>
      </c>
      <c r="F8" s="5">
        <v>8970</v>
      </c>
      <c r="G8" s="5">
        <v>7686.9</v>
      </c>
      <c r="H8" s="5">
        <v>128.11199999999999</v>
      </c>
      <c r="I8" s="5">
        <v>150</v>
      </c>
      <c r="J8" s="16">
        <f t="shared" si="0"/>
        <v>0.85695652173913039</v>
      </c>
    </row>
    <row r="9" spans="1:10" x14ac:dyDescent="0.35">
      <c r="A9" s="2" t="s">
        <v>264</v>
      </c>
      <c r="B9" s="2" t="s">
        <v>265</v>
      </c>
      <c r="C9" s="2" t="s">
        <v>253</v>
      </c>
      <c r="D9" s="2" t="s">
        <v>18</v>
      </c>
      <c r="E9" s="2" t="s">
        <v>209</v>
      </c>
      <c r="F9" s="5">
        <v>3350</v>
      </c>
      <c r="G9" s="5">
        <v>2905.3</v>
      </c>
      <c r="H9" s="5">
        <v>48.420999999999999</v>
      </c>
      <c r="I9" s="5">
        <v>57</v>
      </c>
      <c r="J9" s="16">
        <f t="shared" si="0"/>
        <v>0.86725373134328365</v>
      </c>
    </row>
    <row r="10" spans="1:10" x14ac:dyDescent="0.35">
      <c r="A10" s="2" t="s">
        <v>266</v>
      </c>
      <c r="B10" s="2" t="s">
        <v>267</v>
      </c>
      <c r="C10" s="2" t="s">
        <v>250</v>
      </c>
      <c r="D10" s="2" t="s">
        <v>18</v>
      </c>
      <c r="E10" s="2" t="s">
        <v>211</v>
      </c>
      <c r="F10" s="5">
        <v>11975</v>
      </c>
      <c r="G10" s="5">
        <v>10181.299999999999</v>
      </c>
      <c r="H10" s="5">
        <v>169.68899999999999</v>
      </c>
      <c r="I10" s="5">
        <v>209</v>
      </c>
      <c r="J10" s="16">
        <f t="shared" si="0"/>
        <v>0.85021294363256783</v>
      </c>
    </row>
    <row r="11" spans="1:10" x14ac:dyDescent="0.35">
      <c r="A11" s="2" t="s">
        <v>268</v>
      </c>
      <c r="B11" s="2" t="s">
        <v>269</v>
      </c>
      <c r="C11" s="2" t="s">
        <v>253</v>
      </c>
      <c r="D11" s="2" t="s">
        <v>18</v>
      </c>
      <c r="E11" s="2" t="s">
        <v>211</v>
      </c>
      <c r="F11" s="5">
        <v>3650</v>
      </c>
      <c r="G11" s="5">
        <v>3128</v>
      </c>
      <c r="H11" s="5">
        <v>52.133000000000003</v>
      </c>
      <c r="I11" s="5">
        <v>60</v>
      </c>
      <c r="J11" s="16">
        <f t="shared" si="0"/>
        <v>0.85698630136986298</v>
      </c>
    </row>
    <row r="12" spans="1:10" x14ac:dyDescent="0.35">
      <c r="A12" s="2" t="s">
        <v>270</v>
      </c>
      <c r="B12" s="2" t="s">
        <v>271</v>
      </c>
      <c r="C12" s="2" t="s">
        <v>250</v>
      </c>
      <c r="D12" s="2" t="s">
        <v>18</v>
      </c>
      <c r="E12" s="2" t="s">
        <v>213</v>
      </c>
      <c r="F12" s="5">
        <v>15700</v>
      </c>
      <c r="G12" s="5">
        <v>13444.4</v>
      </c>
      <c r="H12" s="5">
        <v>224.072</v>
      </c>
      <c r="I12" s="5">
        <v>257</v>
      </c>
      <c r="J12" s="16">
        <f t="shared" si="0"/>
        <v>0.85633121019108283</v>
      </c>
    </row>
    <row r="13" spans="1:10" x14ac:dyDescent="0.35">
      <c r="A13" s="2" t="s">
        <v>272</v>
      </c>
      <c r="B13" s="2" t="s">
        <v>273</v>
      </c>
      <c r="C13" s="2" t="s">
        <v>253</v>
      </c>
      <c r="D13" s="2" t="s">
        <v>18</v>
      </c>
      <c r="E13" s="2" t="s">
        <v>213</v>
      </c>
      <c r="F13" s="5">
        <v>5285</v>
      </c>
      <c r="G13" s="5">
        <v>4457.1000000000004</v>
      </c>
      <c r="H13" s="5">
        <v>74.281999999999996</v>
      </c>
      <c r="I13" s="5">
        <v>84</v>
      </c>
      <c r="J13" s="16">
        <f t="shared" si="0"/>
        <v>0.84334910122989604</v>
      </c>
    </row>
    <row r="14" spans="1:10" x14ac:dyDescent="0.35">
      <c r="A14" s="2" t="s">
        <v>274</v>
      </c>
      <c r="B14" s="2" t="s">
        <v>275</v>
      </c>
      <c r="C14" s="2" t="s">
        <v>250</v>
      </c>
      <c r="D14" s="2" t="s">
        <v>20</v>
      </c>
      <c r="E14" s="2" t="s">
        <v>215</v>
      </c>
      <c r="F14" s="5">
        <v>7045</v>
      </c>
      <c r="G14" s="5">
        <v>5985.9</v>
      </c>
      <c r="H14" s="5">
        <v>99.762</v>
      </c>
      <c r="I14" s="5">
        <v>113</v>
      </c>
      <c r="J14" s="16">
        <f t="shared" si="0"/>
        <v>0.84966643009226395</v>
      </c>
    </row>
    <row r="15" spans="1:10" x14ac:dyDescent="0.35">
      <c r="A15" s="2" t="s">
        <v>276</v>
      </c>
      <c r="B15" s="2" t="s">
        <v>277</v>
      </c>
      <c r="C15" s="2" t="s">
        <v>253</v>
      </c>
      <c r="D15" s="2" t="s">
        <v>20</v>
      </c>
      <c r="E15" s="2" t="s">
        <v>215</v>
      </c>
      <c r="F15" s="5">
        <v>6915</v>
      </c>
      <c r="G15" s="5">
        <v>5930.6</v>
      </c>
      <c r="H15" s="5">
        <v>98.843000000000004</v>
      </c>
      <c r="I15" s="5">
        <v>114</v>
      </c>
      <c r="J15" s="16">
        <f t="shared" si="0"/>
        <v>0.85764280549530014</v>
      </c>
    </row>
    <row r="16" spans="1:10" x14ac:dyDescent="0.35">
      <c r="A16" s="2" t="s">
        <v>278</v>
      </c>
      <c r="B16" s="2" t="s">
        <v>279</v>
      </c>
      <c r="C16" s="2" t="s">
        <v>250</v>
      </c>
      <c r="D16" s="2" t="s">
        <v>20</v>
      </c>
      <c r="E16" s="2" t="s">
        <v>217</v>
      </c>
      <c r="F16" s="5">
        <v>22860</v>
      </c>
      <c r="G16" s="5">
        <v>19787.900000000001</v>
      </c>
      <c r="H16" s="5">
        <v>329.79899999999998</v>
      </c>
      <c r="I16" s="5">
        <v>386</v>
      </c>
      <c r="J16" s="16">
        <f t="shared" si="0"/>
        <v>0.86561242344706923</v>
      </c>
    </row>
    <row r="17" spans="1:10" x14ac:dyDescent="0.35">
      <c r="A17" s="2" t="s">
        <v>280</v>
      </c>
      <c r="B17" s="2" t="s">
        <v>281</v>
      </c>
      <c r="C17" s="2" t="s">
        <v>253</v>
      </c>
      <c r="D17" s="2" t="s">
        <v>20</v>
      </c>
      <c r="E17" s="2" t="s">
        <v>217</v>
      </c>
      <c r="F17" s="5">
        <v>5070</v>
      </c>
      <c r="G17" s="5">
        <v>4400.3999999999996</v>
      </c>
      <c r="H17" s="5">
        <v>73.341999999999999</v>
      </c>
      <c r="I17" s="5">
        <v>83</v>
      </c>
      <c r="J17" s="16">
        <f t="shared" si="0"/>
        <v>0.86792899408284019</v>
      </c>
    </row>
    <row r="18" spans="1:10" x14ac:dyDescent="0.35">
      <c r="A18" s="2" t="s">
        <v>282</v>
      </c>
      <c r="B18" s="2" t="s">
        <v>283</v>
      </c>
      <c r="C18" s="2" t="s">
        <v>250</v>
      </c>
      <c r="D18" s="2" t="s">
        <v>20</v>
      </c>
      <c r="E18" s="2" t="s">
        <v>219</v>
      </c>
      <c r="F18" s="5">
        <v>15115</v>
      </c>
      <c r="G18" s="5">
        <v>13084.8</v>
      </c>
      <c r="H18" s="5">
        <v>218.08099999999999</v>
      </c>
      <c r="I18" s="5">
        <v>245</v>
      </c>
      <c r="J18" s="16">
        <f t="shared" si="0"/>
        <v>0.86568309626199136</v>
      </c>
    </row>
    <row r="19" spans="1:10" x14ac:dyDescent="0.35">
      <c r="A19" s="2" t="s">
        <v>284</v>
      </c>
      <c r="B19" s="2" t="s">
        <v>285</v>
      </c>
      <c r="C19" s="2" t="s">
        <v>253</v>
      </c>
      <c r="D19" s="2" t="s">
        <v>20</v>
      </c>
      <c r="E19" s="2" t="s">
        <v>219</v>
      </c>
      <c r="F19" s="5">
        <v>4005</v>
      </c>
      <c r="G19" s="5">
        <v>3509.2</v>
      </c>
      <c r="H19" s="5">
        <v>58.482999999999997</v>
      </c>
      <c r="I19" s="5">
        <v>66</v>
      </c>
      <c r="J19" s="16">
        <f t="shared" si="0"/>
        <v>0.87620474406991256</v>
      </c>
    </row>
    <row r="20" spans="1:10" x14ac:dyDescent="0.35">
      <c r="A20" s="2" t="s">
        <v>286</v>
      </c>
      <c r="B20" s="2" t="s">
        <v>287</v>
      </c>
      <c r="C20" s="2" t="s">
        <v>250</v>
      </c>
      <c r="D20" s="2" t="s">
        <v>22</v>
      </c>
      <c r="E20" s="2" t="s">
        <v>221</v>
      </c>
      <c r="F20" s="5">
        <v>15175</v>
      </c>
      <c r="G20" s="5">
        <v>13448.7</v>
      </c>
      <c r="H20" s="5">
        <v>224.148</v>
      </c>
      <c r="I20" s="5">
        <v>248</v>
      </c>
      <c r="J20" s="16">
        <f t="shared" si="0"/>
        <v>0.88624052718286661</v>
      </c>
    </row>
    <row r="21" spans="1:10" x14ac:dyDescent="0.35">
      <c r="A21" s="2" t="s">
        <v>288</v>
      </c>
      <c r="B21" s="2" t="s">
        <v>289</v>
      </c>
      <c r="C21" s="2" t="s">
        <v>253</v>
      </c>
      <c r="D21" s="2" t="s">
        <v>22</v>
      </c>
      <c r="E21" s="2" t="s">
        <v>221</v>
      </c>
      <c r="F21" s="5">
        <v>2865</v>
      </c>
      <c r="G21" s="5">
        <v>2458.5</v>
      </c>
      <c r="H21" s="5">
        <v>40.978000000000002</v>
      </c>
      <c r="I21" s="5">
        <v>49</v>
      </c>
      <c r="J21" s="16">
        <f t="shared" si="0"/>
        <v>0.85811518324607328</v>
      </c>
    </row>
    <row r="22" spans="1:10" x14ac:dyDescent="0.35">
      <c r="A22" s="2" t="s">
        <v>290</v>
      </c>
      <c r="B22" s="2" t="s">
        <v>291</v>
      </c>
      <c r="C22" s="2" t="s">
        <v>250</v>
      </c>
      <c r="D22" s="2" t="s">
        <v>22</v>
      </c>
      <c r="E22" s="2" t="s">
        <v>223</v>
      </c>
      <c r="F22" s="5">
        <v>6905</v>
      </c>
      <c r="G22" s="5">
        <v>5945.2</v>
      </c>
      <c r="H22" s="5">
        <v>99.082999999999998</v>
      </c>
      <c r="I22" s="5">
        <v>116</v>
      </c>
      <c r="J22" s="16">
        <f t="shared" si="0"/>
        <v>0.8609992758870384</v>
      </c>
    </row>
    <row r="23" spans="1:10" x14ac:dyDescent="0.35">
      <c r="A23" s="2" t="s">
        <v>292</v>
      </c>
      <c r="B23" s="2" t="s">
        <v>293</v>
      </c>
      <c r="C23" s="2" t="s">
        <v>253</v>
      </c>
      <c r="D23" s="2" t="s">
        <v>22</v>
      </c>
      <c r="E23" s="2" t="s">
        <v>223</v>
      </c>
      <c r="F23" s="5">
        <v>7435</v>
      </c>
      <c r="G23" s="5">
        <v>6290.5</v>
      </c>
      <c r="H23" s="5">
        <v>104.84099999999999</v>
      </c>
      <c r="I23" s="5">
        <v>128</v>
      </c>
      <c r="J23" s="16">
        <f t="shared" si="0"/>
        <v>0.84606590450571617</v>
      </c>
    </row>
    <row r="24" spans="1:10" x14ac:dyDescent="0.35">
      <c r="A24" s="2" t="s">
        <v>294</v>
      </c>
      <c r="B24" s="2" t="s">
        <v>295</v>
      </c>
      <c r="C24" s="2" t="s">
        <v>250</v>
      </c>
      <c r="D24" s="2" t="s">
        <v>22</v>
      </c>
      <c r="E24" s="2" t="s">
        <v>225</v>
      </c>
      <c r="F24" s="5">
        <v>10820</v>
      </c>
      <c r="G24" s="5">
        <v>9468.7000000000007</v>
      </c>
      <c r="H24" s="5">
        <v>157.815</v>
      </c>
      <c r="I24" s="5">
        <v>176</v>
      </c>
      <c r="J24" s="16">
        <f t="shared" si="0"/>
        <v>0.87511090573012951</v>
      </c>
    </row>
    <row r="25" spans="1:10" x14ac:dyDescent="0.35">
      <c r="A25" s="2" t="s">
        <v>296</v>
      </c>
      <c r="B25" s="2" t="s">
        <v>297</v>
      </c>
      <c r="C25" s="2" t="s">
        <v>253</v>
      </c>
      <c r="D25" s="2" t="s">
        <v>22</v>
      </c>
      <c r="E25" s="2" t="s">
        <v>225</v>
      </c>
      <c r="F25" s="5">
        <v>6825</v>
      </c>
      <c r="G25" s="5">
        <v>5933.4</v>
      </c>
      <c r="H25" s="5">
        <v>98.888000000000005</v>
      </c>
      <c r="I25" s="5">
        <v>114</v>
      </c>
      <c r="J25" s="16">
        <f t="shared" si="0"/>
        <v>0.8693626373626373</v>
      </c>
    </row>
    <row r="26" spans="1:10" x14ac:dyDescent="0.35">
      <c r="A26" s="2" t="s">
        <v>298</v>
      </c>
      <c r="B26" s="2" t="s">
        <v>299</v>
      </c>
      <c r="C26" s="2" t="s">
        <v>250</v>
      </c>
      <c r="D26" s="2" t="s">
        <v>24</v>
      </c>
      <c r="E26" s="2" t="s">
        <v>227</v>
      </c>
      <c r="F26" s="5">
        <v>18570</v>
      </c>
      <c r="G26" s="5">
        <v>15881.7</v>
      </c>
      <c r="H26" s="5">
        <v>264.69200000000001</v>
      </c>
      <c r="I26" s="5">
        <v>314</v>
      </c>
      <c r="J26" s="16">
        <f t="shared" si="0"/>
        <v>0.8552342487883684</v>
      </c>
    </row>
    <row r="27" spans="1:10" x14ac:dyDescent="0.35">
      <c r="A27" s="2" t="s">
        <v>300</v>
      </c>
      <c r="B27" s="2" t="s">
        <v>301</v>
      </c>
      <c r="C27" s="2" t="s">
        <v>253</v>
      </c>
      <c r="D27" s="2" t="s">
        <v>24</v>
      </c>
      <c r="E27" s="2" t="s">
        <v>227</v>
      </c>
      <c r="F27" s="5">
        <v>7055</v>
      </c>
      <c r="G27" s="5">
        <v>6044.6</v>
      </c>
      <c r="H27" s="5">
        <v>100.738</v>
      </c>
      <c r="I27" s="5">
        <v>116</v>
      </c>
      <c r="J27" s="16">
        <f t="shared" si="0"/>
        <v>0.85678242381289871</v>
      </c>
    </row>
    <row r="28" spans="1:10" x14ac:dyDescent="0.35">
      <c r="A28" s="2" t="s">
        <v>302</v>
      </c>
      <c r="B28" s="2" t="s">
        <v>303</v>
      </c>
      <c r="C28" s="2" t="s">
        <v>250</v>
      </c>
      <c r="D28" s="2" t="s">
        <v>24</v>
      </c>
      <c r="E28" s="2" t="s">
        <v>229</v>
      </c>
      <c r="F28" s="5">
        <v>12515</v>
      </c>
      <c r="G28" s="5">
        <v>10848.1</v>
      </c>
      <c r="H28" s="5">
        <v>180.80500000000001</v>
      </c>
      <c r="I28" s="5">
        <v>211</v>
      </c>
      <c r="J28" s="16">
        <f t="shared" si="0"/>
        <v>0.86680783060327615</v>
      </c>
    </row>
    <row r="29" spans="1:10" x14ac:dyDescent="0.35">
      <c r="A29" s="2" t="s">
        <v>304</v>
      </c>
      <c r="B29" s="2" t="s">
        <v>305</v>
      </c>
      <c r="C29" s="2" t="s">
        <v>253</v>
      </c>
      <c r="D29" s="2" t="s">
        <v>24</v>
      </c>
      <c r="E29" s="2" t="s">
        <v>229</v>
      </c>
      <c r="F29" s="5">
        <v>5535</v>
      </c>
      <c r="G29" s="5">
        <v>4777.3</v>
      </c>
      <c r="H29" s="5">
        <v>79.625</v>
      </c>
      <c r="I29" s="5">
        <v>88</v>
      </c>
      <c r="J29" s="16">
        <f t="shared" si="0"/>
        <v>0.86310749774164408</v>
      </c>
    </row>
    <row r="30" spans="1:10" x14ac:dyDescent="0.35">
      <c r="A30" s="2" t="s">
        <v>306</v>
      </c>
      <c r="B30" s="2" t="s">
        <v>307</v>
      </c>
      <c r="C30" s="2" t="s">
        <v>250</v>
      </c>
      <c r="D30" s="2" t="s">
        <v>24</v>
      </c>
      <c r="E30" s="2" t="s">
        <v>231</v>
      </c>
      <c r="F30" s="5">
        <v>7180</v>
      </c>
      <c r="G30" s="5">
        <v>6267.8</v>
      </c>
      <c r="H30" s="5">
        <v>104.462</v>
      </c>
      <c r="I30" s="5">
        <v>119</v>
      </c>
      <c r="J30" s="16">
        <f t="shared" si="0"/>
        <v>0.87295264623955438</v>
      </c>
    </row>
    <row r="31" spans="1:10" x14ac:dyDescent="0.35">
      <c r="A31" s="2" t="s">
        <v>308</v>
      </c>
      <c r="B31" s="2" t="s">
        <v>309</v>
      </c>
      <c r="C31" s="2" t="s">
        <v>253</v>
      </c>
      <c r="D31" s="2" t="s">
        <v>24</v>
      </c>
      <c r="E31" s="2" t="s">
        <v>231</v>
      </c>
      <c r="F31" s="5">
        <v>8280</v>
      </c>
      <c r="G31" s="5">
        <v>7073.1</v>
      </c>
      <c r="H31" s="5">
        <v>117.88200000000001</v>
      </c>
      <c r="I31" s="5">
        <v>136</v>
      </c>
      <c r="J31" s="16">
        <f t="shared" si="0"/>
        <v>0.85423913043478261</v>
      </c>
    </row>
    <row r="32" spans="1:10" x14ac:dyDescent="0.35">
      <c r="A32" s="2" t="s">
        <v>310</v>
      </c>
      <c r="B32" s="2" t="s">
        <v>311</v>
      </c>
      <c r="C32" s="2" t="s">
        <v>250</v>
      </c>
      <c r="D32" s="2" t="s">
        <v>26</v>
      </c>
      <c r="E32" s="2" t="s">
        <v>233</v>
      </c>
      <c r="F32" s="5">
        <v>26345</v>
      </c>
      <c r="G32" s="5">
        <v>23160.799999999999</v>
      </c>
      <c r="H32" s="5">
        <v>386.012</v>
      </c>
      <c r="I32" s="5">
        <v>447</v>
      </c>
      <c r="J32" s="16">
        <f t="shared" si="0"/>
        <v>0.87913456063769213</v>
      </c>
    </row>
    <row r="33" spans="1:10" x14ac:dyDescent="0.35">
      <c r="A33" s="2" t="s">
        <v>312</v>
      </c>
      <c r="B33" s="2" t="s">
        <v>313</v>
      </c>
      <c r="C33" s="2" t="s">
        <v>253</v>
      </c>
      <c r="D33" s="2" t="s">
        <v>26</v>
      </c>
      <c r="E33" s="2" t="s">
        <v>233</v>
      </c>
      <c r="F33" s="5">
        <v>8970</v>
      </c>
      <c r="G33" s="5">
        <v>7777</v>
      </c>
      <c r="H33" s="5">
        <v>129.61699999999999</v>
      </c>
      <c r="I33" s="5">
        <v>145</v>
      </c>
      <c r="J33" s="16">
        <f t="shared" si="0"/>
        <v>0.86700111482720177</v>
      </c>
    </row>
    <row r="34" spans="1:10" x14ac:dyDescent="0.35">
      <c r="A34" s="2" t="s">
        <v>314</v>
      </c>
      <c r="B34" s="2" t="s">
        <v>315</v>
      </c>
      <c r="C34" s="2" t="s">
        <v>250</v>
      </c>
      <c r="D34" s="2" t="s">
        <v>26</v>
      </c>
      <c r="E34" s="2" t="s">
        <v>235</v>
      </c>
      <c r="F34" s="5">
        <v>20240</v>
      </c>
      <c r="G34" s="5">
        <v>17521.3</v>
      </c>
      <c r="H34" s="5">
        <v>292.02100000000002</v>
      </c>
      <c r="I34" s="5">
        <v>346</v>
      </c>
      <c r="J34" s="16">
        <f t="shared" si="0"/>
        <v>0.86567687747035571</v>
      </c>
    </row>
    <row r="35" spans="1:10" x14ac:dyDescent="0.35">
      <c r="A35" s="2" t="s">
        <v>316</v>
      </c>
      <c r="B35" s="2" t="s">
        <v>317</v>
      </c>
      <c r="C35" s="2" t="s">
        <v>253</v>
      </c>
      <c r="D35" s="2" t="s">
        <v>26</v>
      </c>
      <c r="E35" s="2" t="s">
        <v>235</v>
      </c>
      <c r="F35" s="5">
        <v>8115</v>
      </c>
      <c r="G35" s="5">
        <v>6984</v>
      </c>
      <c r="H35" s="5">
        <v>116.4</v>
      </c>
      <c r="I35" s="5">
        <v>137</v>
      </c>
      <c r="J35" s="16">
        <f t="shared" si="0"/>
        <v>0.86062846580406649</v>
      </c>
    </row>
    <row r="36" spans="1:10" x14ac:dyDescent="0.35">
      <c r="A36" s="2" t="s">
        <v>318</v>
      </c>
      <c r="B36" s="2" t="s">
        <v>319</v>
      </c>
      <c r="C36" s="2" t="s">
        <v>250</v>
      </c>
      <c r="D36" s="2" t="s">
        <v>26</v>
      </c>
      <c r="E36" s="2" t="s">
        <v>237</v>
      </c>
      <c r="F36" s="5">
        <v>12550</v>
      </c>
      <c r="G36" s="5">
        <v>11009</v>
      </c>
      <c r="H36" s="5">
        <v>183.48500000000001</v>
      </c>
      <c r="I36" s="5">
        <v>213</v>
      </c>
      <c r="J36" s="16">
        <f t="shared" si="0"/>
        <v>0.87721115537848604</v>
      </c>
    </row>
    <row r="37" spans="1:10" x14ac:dyDescent="0.35">
      <c r="A37" s="2" t="s">
        <v>320</v>
      </c>
      <c r="B37" s="2" t="s">
        <v>321</v>
      </c>
      <c r="C37" s="2" t="s">
        <v>253</v>
      </c>
      <c r="D37" s="2" t="s">
        <v>26</v>
      </c>
      <c r="E37" s="2" t="s">
        <v>237</v>
      </c>
      <c r="F37" s="5">
        <v>7365</v>
      </c>
      <c r="G37" s="5">
        <v>6353.3</v>
      </c>
      <c r="H37" s="5">
        <v>105.89100000000001</v>
      </c>
      <c r="I37" s="5">
        <v>122</v>
      </c>
      <c r="J37" s="16">
        <f t="shared" si="0"/>
        <v>0.86263408010862186</v>
      </c>
    </row>
  </sheetData>
  <conditionalFormatting sqref="J2:J37">
    <cfRule type="expression" dxfId="66" priority="1">
      <formula>$J2&lt;0.8</formula>
    </cfRule>
  </conditionalFormatting>
  <conditionalFormatting sqref="J2:J37">
    <cfRule type="expression" dxfId="65" priority="2">
      <formula>AND($J2&gt;=0.8,$J2&lt;0.9)</formula>
    </cfRule>
  </conditionalFormatting>
  <conditionalFormatting sqref="J2:J37">
    <cfRule type="expression" dxfId="64" priority="3">
      <formula>$J2&gt;=0.9</formula>
    </cfRule>
  </conditionalFormatting>
  <conditionalFormatting sqref="H2:H37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{5C166526-6C05-4CCC-847F-DAA3D16BE2EF}</x14:id>
        </ext>
      </extLst>
    </cfRule>
  </conditionalFormatting>
  <conditionalFormatting sqref="I2:I37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{E81275A3-6417-4621-8E1F-36A306940EB6}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C166526-6C05-4CCC-847F-DAA3D16BE2EF}">
            <x14:dataBar minLength="0" maxLength="100" negativeBarColorSameAsPositive="1" axisPosition="middle">
              <x14:cfvo type="min"/>
              <x14:cfvo type="max"/>
              <x14:axisColor rgb="FF000000"/>
            </x14:dataBar>
          </x14:cfRule>
          <xm:sqref>H2:H37</xm:sqref>
        </x14:conditionalFormatting>
        <x14:conditionalFormatting xmlns:xm="http://schemas.microsoft.com/office/excel/2006/main">
          <x14:cfRule type="dataBar" id="{E81275A3-6417-4621-8E1F-36A306940EB6}">
            <x14:dataBar minLength="0" maxLength="100" negativeBarColorSameAsPositive="1" axisPosition="middle">
              <x14:cfvo type="min"/>
              <x14:cfvo type="max"/>
              <x14:axisColor rgb="FF000000"/>
            </x14:dataBar>
          </x14:cfRule>
          <xm:sqref>I2:I37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2531E-1120-430D-A430-3263F9A68B60}">
  <dimension ref="A1:R17"/>
  <sheetViews>
    <sheetView workbookViewId="0">
      <selection sqref="A1:H1"/>
    </sheetView>
  </sheetViews>
  <sheetFormatPr defaultRowHeight="14.5" x14ac:dyDescent="0.35"/>
  <cols>
    <col min="1" max="1" width="9.54296875" bestFit="1" customWidth="1"/>
    <col min="2" max="3" width="10.08984375" bestFit="1" customWidth="1"/>
    <col min="4" max="4" width="20.7265625" customWidth="1"/>
    <col min="5" max="5" width="9.90625" bestFit="1" customWidth="1"/>
    <col min="6" max="6" width="13.90625" bestFit="1" customWidth="1"/>
    <col min="7" max="7" width="8" bestFit="1" customWidth="1"/>
    <col min="8" max="8" width="14.54296875" bestFit="1" customWidth="1"/>
    <col min="9" max="10" width="27.26953125" style="22" customWidth="1"/>
    <col min="11" max="11" width="15" bestFit="1" customWidth="1"/>
    <col min="12" max="12" width="16.90625" bestFit="1" customWidth="1"/>
    <col min="13" max="13" width="16.54296875" bestFit="1" customWidth="1"/>
    <col min="14" max="14" width="16" bestFit="1" customWidth="1"/>
    <col min="15" max="15" width="15.453125" bestFit="1" customWidth="1"/>
    <col min="16" max="16" width="10.81640625" bestFit="1" customWidth="1"/>
    <col min="17" max="17" width="9.81640625" bestFit="1" customWidth="1"/>
    <col min="18" max="18" width="15.08984375" bestFit="1" customWidth="1"/>
  </cols>
  <sheetData>
    <row r="1" spans="1:18" x14ac:dyDescent="0.35">
      <c r="A1" s="4" t="s">
        <v>322</v>
      </c>
      <c r="B1" s="4" t="s">
        <v>7</v>
      </c>
      <c r="C1" s="4" t="s">
        <v>201</v>
      </c>
      <c r="D1" s="4" t="s">
        <v>146</v>
      </c>
      <c r="E1" s="4" t="s">
        <v>30</v>
      </c>
      <c r="F1" s="4" t="s">
        <v>31</v>
      </c>
      <c r="G1" s="4" t="s">
        <v>148</v>
      </c>
      <c r="H1" s="4" t="s">
        <v>323</v>
      </c>
      <c r="I1" s="20" t="s">
        <v>324</v>
      </c>
      <c r="J1" s="20" t="s">
        <v>325</v>
      </c>
      <c r="K1" s="4" t="s">
        <v>326</v>
      </c>
      <c r="L1" s="4" t="s">
        <v>327</v>
      </c>
      <c r="M1" s="4" t="s">
        <v>328</v>
      </c>
      <c r="N1" s="4" t="s">
        <v>70</v>
      </c>
      <c r="O1" s="4" t="s">
        <v>71</v>
      </c>
      <c r="P1" s="4" t="s">
        <v>69</v>
      </c>
      <c r="Q1" s="4" t="s">
        <v>329</v>
      </c>
      <c r="R1" s="4" t="s">
        <v>330</v>
      </c>
    </row>
    <row r="2" spans="1:18" x14ac:dyDescent="0.35">
      <c r="A2" s="2" t="s">
        <v>331</v>
      </c>
      <c r="B2" s="2" t="s">
        <v>16</v>
      </c>
      <c r="C2" s="2" t="s">
        <v>203</v>
      </c>
      <c r="D2" s="2" t="s">
        <v>332</v>
      </c>
      <c r="E2" s="2" t="s">
        <v>35</v>
      </c>
      <c r="F2" s="2" t="s">
        <v>36</v>
      </c>
      <c r="G2" s="30">
        <v>5000</v>
      </c>
      <c r="H2" s="2" t="s">
        <v>333</v>
      </c>
      <c r="I2" s="21" t="s">
        <v>334</v>
      </c>
      <c r="J2" s="21" t="s">
        <v>335</v>
      </c>
      <c r="K2" s="2" t="s">
        <v>336</v>
      </c>
      <c r="L2" s="30">
        <v>20260901</v>
      </c>
      <c r="M2" s="30">
        <v>20261215</v>
      </c>
      <c r="N2" s="5">
        <v>-855000</v>
      </c>
      <c r="O2" s="5">
        <v>-512578.02</v>
      </c>
      <c r="P2" s="2" t="s">
        <v>73</v>
      </c>
      <c r="Q2" s="2" t="s">
        <v>337</v>
      </c>
      <c r="R2" s="16">
        <v>0.76</v>
      </c>
    </row>
    <row r="3" spans="1:18" x14ac:dyDescent="0.35">
      <c r="A3" s="2" t="s">
        <v>338</v>
      </c>
      <c r="B3" s="2" t="s">
        <v>16</v>
      </c>
      <c r="C3" s="2" t="s">
        <v>205</v>
      </c>
      <c r="D3" s="2" t="s">
        <v>339</v>
      </c>
      <c r="E3" s="2" t="s">
        <v>35</v>
      </c>
      <c r="F3" s="2" t="s">
        <v>36</v>
      </c>
      <c r="G3" s="30">
        <v>5000</v>
      </c>
      <c r="H3" s="2" t="s">
        <v>333</v>
      </c>
      <c r="I3" s="21" t="s">
        <v>340</v>
      </c>
      <c r="J3" s="21" t="s">
        <v>335</v>
      </c>
      <c r="K3" s="2" t="s">
        <v>336</v>
      </c>
      <c r="L3" s="30">
        <v>20260901</v>
      </c>
      <c r="M3" s="30">
        <v>20261215</v>
      </c>
      <c r="N3" s="5">
        <v>-662000</v>
      </c>
      <c r="O3" s="5">
        <v>-371503.34</v>
      </c>
      <c r="P3" s="2" t="s">
        <v>76</v>
      </c>
      <c r="Q3" s="2" t="s">
        <v>337</v>
      </c>
      <c r="R3" s="16">
        <v>0.83</v>
      </c>
    </row>
    <row r="4" spans="1:18" x14ac:dyDescent="0.35">
      <c r="A4" s="2" t="s">
        <v>341</v>
      </c>
      <c r="B4" s="2" t="s">
        <v>16</v>
      </c>
      <c r="C4" s="2" t="s">
        <v>207</v>
      </c>
      <c r="D4" s="2" t="s">
        <v>342</v>
      </c>
      <c r="E4" s="2" t="s">
        <v>35</v>
      </c>
      <c r="F4" s="2" t="s">
        <v>36</v>
      </c>
      <c r="G4" s="30">
        <v>5000</v>
      </c>
      <c r="H4" s="2" t="s">
        <v>333</v>
      </c>
      <c r="I4" s="21" t="s">
        <v>343</v>
      </c>
      <c r="J4" s="21" t="s">
        <v>344</v>
      </c>
      <c r="K4" s="2" t="s">
        <v>336</v>
      </c>
      <c r="L4" s="30">
        <v>20260901</v>
      </c>
      <c r="M4" s="30">
        <v>20261215</v>
      </c>
      <c r="N4" s="5">
        <v>-774000</v>
      </c>
      <c r="O4" s="5">
        <v>-289014.81</v>
      </c>
      <c r="P4" s="2" t="s">
        <v>73</v>
      </c>
      <c r="Q4" s="2" t="s">
        <v>345</v>
      </c>
      <c r="R4" s="16">
        <v>0.74</v>
      </c>
    </row>
    <row r="5" spans="1:18" x14ac:dyDescent="0.35">
      <c r="A5" s="2" t="s">
        <v>346</v>
      </c>
      <c r="B5" s="2" t="s">
        <v>18</v>
      </c>
      <c r="C5" s="2" t="s">
        <v>209</v>
      </c>
      <c r="D5" s="2" t="s">
        <v>347</v>
      </c>
      <c r="E5" s="2" t="s">
        <v>35</v>
      </c>
      <c r="F5" s="2" t="s">
        <v>36</v>
      </c>
      <c r="G5" s="30">
        <v>5000</v>
      </c>
      <c r="H5" s="2" t="s">
        <v>333</v>
      </c>
      <c r="I5" s="21" t="s">
        <v>334</v>
      </c>
      <c r="J5" s="21" t="s">
        <v>335</v>
      </c>
      <c r="K5" s="2" t="s">
        <v>336</v>
      </c>
      <c r="L5" s="30">
        <v>20260901</v>
      </c>
      <c r="M5" s="30">
        <v>20261215</v>
      </c>
      <c r="N5" s="5">
        <v>-244000</v>
      </c>
      <c r="O5" s="5">
        <v>-155453.53</v>
      </c>
      <c r="P5" s="2" t="s">
        <v>74</v>
      </c>
      <c r="Q5" s="2" t="s">
        <v>345</v>
      </c>
      <c r="R5" s="16">
        <v>0.9</v>
      </c>
    </row>
    <row r="6" spans="1:18" x14ac:dyDescent="0.35">
      <c r="A6" s="2" t="s">
        <v>348</v>
      </c>
      <c r="B6" s="2" t="s">
        <v>18</v>
      </c>
      <c r="C6" s="2" t="s">
        <v>211</v>
      </c>
      <c r="D6" s="2" t="s">
        <v>349</v>
      </c>
      <c r="E6" s="2" t="s">
        <v>35</v>
      </c>
      <c r="F6" s="2" t="s">
        <v>36</v>
      </c>
      <c r="G6" s="30">
        <v>5000</v>
      </c>
      <c r="H6" s="2" t="s">
        <v>333</v>
      </c>
      <c r="I6" s="21" t="s">
        <v>343</v>
      </c>
      <c r="J6" s="21" t="s">
        <v>344</v>
      </c>
      <c r="K6" s="2" t="s">
        <v>336</v>
      </c>
      <c r="L6" s="30">
        <v>20260901</v>
      </c>
      <c r="M6" s="30">
        <v>20261215</v>
      </c>
      <c r="N6" s="5">
        <v>-647000</v>
      </c>
      <c r="O6" s="5">
        <v>-198703.79</v>
      </c>
      <c r="P6" s="2" t="s">
        <v>73</v>
      </c>
      <c r="Q6" s="2" t="s">
        <v>337</v>
      </c>
      <c r="R6" s="16">
        <v>0.91</v>
      </c>
    </row>
    <row r="7" spans="1:18" x14ac:dyDescent="0.35">
      <c r="A7" s="2" t="s">
        <v>350</v>
      </c>
      <c r="B7" s="2" t="s">
        <v>18</v>
      </c>
      <c r="C7" s="2" t="s">
        <v>213</v>
      </c>
      <c r="D7" s="2" t="s">
        <v>351</v>
      </c>
      <c r="E7" s="2" t="s">
        <v>35</v>
      </c>
      <c r="F7" s="2" t="s">
        <v>36</v>
      </c>
      <c r="G7" s="30">
        <v>5000</v>
      </c>
      <c r="H7" s="2" t="s">
        <v>333</v>
      </c>
      <c r="I7" s="21" t="s">
        <v>334</v>
      </c>
      <c r="J7" s="21" t="s">
        <v>352</v>
      </c>
      <c r="K7" s="2" t="s">
        <v>336</v>
      </c>
      <c r="L7" s="30">
        <v>20260901</v>
      </c>
      <c r="M7" s="30">
        <v>20261215</v>
      </c>
      <c r="N7" s="5">
        <v>-675000</v>
      </c>
      <c r="O7" s="5">
        <v>-383727.31</v>
      </c>
      <c r="P7" s="2" t="s">
        <v>75</v>
      </c>
      <c r="Q7" s="2" t="s">
        <v>337</v>
      </c>
      <c r="R7" s="16">
        <v>0.76</v>
      </c>
    </row>
    <row r="8" spans="1:18" x14ac:dyDescent="0.35">
      <c r="A8" s="2" t="s">
        <v>353</v>
      </c>
      <c r="B8" s="2" t="s">
        <v>20</v>
      </c>
      <c r="C8" s="2" t="s">
        <v>215</v>
      </c>
      <c r="D8" s="2" t="s">
        <v>354</v>
      </c>
      <c r="E8" s="2" t="s">
        <v>35</v>
      </c>
      <c r="F8" s="2" t="s">
        <v>36</v>
      </c>
      <c r="G8" s="30">
        <v>5000</v>
      </c>
      <c r="H8" s="2" t="s">
        <v>333</v>
      </c>
      <c r="I8" s="21" t="s">
        <v>340</v>
      </c>
      <c r="J8" s="21" t="s">
        <v>335</v>
      </c>
      <c r="K8" s="2" t="s">
        <v>336</v>
      </c>
      <c r="L8" s="30">
        <v>20260901</v>
      </c>
      <c r="M8" s="30">
        <v>20261215</v>
      </c>
      <c r="N8" s="5">
        <v>-723000</v>
      </c>
      <c r="O8" s="5">
        <v>-565012.46</v>
      </c>
      <c r="P8" s="2" t="s">
        <v>76</v>
      </c>
      <c r="Q8" s="2" t="s">
        <v>337</v>
      </c>
      <c r="R8" s="16">
        <v>0.72</v>
      </c>
    </row>
    <row r="9" spans="1:18" x14ac:dyDescent="0.35">
      <c r="A9" s="2" t="s">
        <v>355</v>
      </c>
      <c r="B9" s="2" t="s">
        <v>20</v>
      </c>
      <c r="C9" s="2" t="s">
        <v>217</v>
      </c>
      <c r="D9" s="2" t="s">
        <v>356</v>
      </c>
      <c r="E9" s="2" t="s">
        <v>35</v>
      </c>
      <c r="F9" s="2" t="s">
        <v>36</v>
      </c>
      <c r="G9" s="30">
        <v>5000</v>
      </c>
      <c r="H9" s="2" t="s">
        <v>333</v>
      </c>
      <c r="I9" s="21" t="s">
        <v>343</v>
      </c>
      <c r="J9" s="21" t="s">
        <v>344</v>
      </c>
      <c r="K9" s="2" t="s">
        <v>336</v>
      </c>
      <c r="L9" s="30">
        <v>20260901</v>
      </c>
      <c r="M9" s="30">
        <v>20261215</v>
      </c>
      <c r="N9" s="5">
        <v>-294000</v>
      </c>
      <c r="O9" s="5">
        <v>-194983.37</v>
      </c>
      <c r="P9" s="2" t="s">
        <v>74</v>
      </c>
      <c r="Q9" s="2" t="s">
        <v>345</v>
      </c>
      <c r="R9" s="16">
        <v>0.89</v>
      </c>
    </row>
    <row r="10" spans="1:18" x14ac:dyDescent="0.35">
      <c r="A10" s="2" t="s">
        <v>357</v>
      </c>
      <c r="B10" s="2" t="s">
        <v>20</v>
      </c>
      <c r="C10" s="2" t="s">
        <v>219</v>
      </c>
      <c r="D10" s="2" t="s">
        <v>358</v>
      </c>
      <c r="E10" s="2" t="s">
        <v>35</v>
      </c>
      <c r="F10" s="2" t="s">
        <v>36</v>
      </c>
      <c r="G10" s="30">
        <v>5000</v>
      </c>
      <c r="H10" s="2" t="s">
        <v>333</v>
      </c>
      <c r="I10" s="21" t="s">
        <v>343</v>
      </c>
      <c r="J10" s="21" t="s">
        <v>335</v>
      </c>
      <c r="K10" s="2" t="s">
        <v>336</v>
      </c>
      <c r="L10" s="30">
        <v>20260901</v>
      </c>
      <c r="M10" s="30">
        <v>20261215</v>
      </c>
      <c r="N10" s="5">
        <v>-289000</v>
      </c>
      <c r="O10" s="5">
        <v>-128220.68</v>
      </c>
      <c r="P10" s="2" t="s">
        <v>73</v>
      </c>
      <c r="Q10" s="2" t="s">
        <v>337</v>
      </c>
      <c r="R10" s="16">
        <v>0.94</v>
      </c>
    </row>
    <row r="11" spans="1:18" x14ac:dyDescent="0.35">
      <c r="A11" s="2" t="s">
        <v>359</v>
      </c>
      <c r="B11" s="2" t="s">
        <v>22</v>
      </c>
      <c r="C11" s="2" t="s">
        <v>221</v>
      </c>
      <c r="D11" s="2" t="s">
        <v>360</v>
      </c>
      <c r="E11" s="2" t="s">
        <v>35</v>
      </c>
      <c r="F11" s="2" t="s">
        <v>36</v>
      </c>
      <c r="G11" s="30">
        <v>5000</v>
      </c>
      <c r="H11" s="2" t="s">
        <v>333</v>
      </c>
      <c r="I11" s="21" t="s">
        <v>343</v>
      </c>
      <c r="J11" s="21" t="s">
        <v>352</v>
      </c>
      <c r="K11" s="2" t="s">
        <v>336</v>
      </c>
      <c r="L11" s="30">
        <v>20260901</v>
      </c>
      <c r="M11" s="30">
        <v>20261215</v>
      </c>
      <c r="N11" s="5">
        <v>-752000</v>
      </c>
      <c r="O11" s="5">
        <v>-425904.69</v>
      </c>
      <c r="P11" s="2" t="s">
        <v>75</v>
      </c>
      <c r="Q11" s="2" t="s">
        <v>345</v>
      </c>
      <c r="R11" s="16">
        <v>0.9</v>
      </c>
    </row>
    <row r="12" spans="1:18" x14ac:dyDescent="0.35">
      <c r="A12" s="2" t="s">
        <v>361</v>
      </c>
      <c r="B12" s="2" t="s">
        <v>22</v>
      </c>
      <c r="C12" s="2" t="s">
        <v>223</v>
      </c>
      <c r="D12" s="2" t="s">
        <v>362</v>
      </c>
      <c r="E12" s="2" t="s">
        <v>35</v>
      </c>
      <c r="F12" s="2" t="s">
        <v>36</v>
      </c>
      <c r="G12" s="30">
        <v>5000</v>
      </c>
      <c r="H12" s="2" t="s">
        <v>333</v>
      </c>
      <c r="I12" s="21" t="s">
        <v>334</v>
      </c>
      <c r="J12" s="21" t="s">
        <v>344</v>
      </c>
      <c r="K12" s="2" t="s">
        <v>336</v>
      </c>
      <c r="L12" s="30">
        <v>20260901</v>
      </c>
      <c r="M12" s="30">
        <v>20261215</v>
      </c>
      <c r="N12" s="5">
        <v>-873000</v>
      </c>
      <c r="O12" s="5">
        <v>-696226.86</v>
      </c>
      <c r="P12" s="2" t="s">
        <v>75</v>
      </c>
      <c r="Q12" s="2" t="s">
        <v>345</v>
      </c>
      <c r="R12" s="16">
        <v>0.9</v>
      </c>
    </row>
    <row r="13" spans="1:18" x14ac:dyDescent="0.35">
      <c r="A13" s="2" t="s">
        <v>363</v>
      </c>
      <c r="B13" s="2" t="s">
        <v>22</v>
      </c>
      <c r="C13" s="2" t="s">
        <v>225</v>
      </c>
      <c r="D13" s="2" t="s">
        <v>364</v>
      </c>
      <c r="E13" s="2" t="s">
        <v>35</v>
      </c>
      <c r="F13" s="2" t="s">
        <v>36</v>
      </c>
      <c r="G13" s="30">
        <v>5000</v>
      </c>
      <c r="H13" s="2" t="s">
        <v>333</v>
      </c>
      <c r="I13" s="21" t="s">
        <v>343</v>
      </c>
      <c r="J13" s="21" t="s">
        <v>344</v>
      </c>
      <c r="K13" s="2" t="s">
        <v>336</v>
      </c>
      <c r="L13" s="30">
        <v>20260901</v>
      </c>
      <c r="M13" s="30">
        <v>20261215</v>
      </c>
      <c r="N13" s="5">
        <v>-569000</v>
      </c>
      <c r="O13" s="5">
        <v>-367296.51</v>
      </c>
      <c r="P13" s="2" t="s">
        <v>76</v>
      </c>
      <c r="Q13" s="2" t="s">
        <v>345</v>
      </c>
      <c r="R13" s="16">
        <v>0.93</v>
      </c>
    </row>
    <row r="14" spans="1:18" x14ac:dyDescent="0.35">
      <c r="A14" s="2" t="s">
        <v>365</v>
      </c>
      <c r="B14" s="2" t="s">
        <v>24</v>
      </c>
      <c r="C14" s="2" t="s">
        <v>227</v>
      </c>
      <c r="D14" s="2" t="s">
        <v>366</v>
      </c>
      <c r="E14" s="2" t="s">
        <v>35</v>
      </c>
      <c r="F14" s="2" t="s">
        <v>36</v>
      </c>
      <c r="G14" s="30">
        <v>5000</v>
      </c>
      <c r="H14" s="2" t="s">
        <v>333</v>
      </c>
      <c r="I14" s="21" t="s">
        <v>334</v>
      </c>
      <c r="J14" s="21" t="s">
        <v>335</v>
      </c>
      <c r="K14" s="2" t="s">
        <v>336</v>
      </c>
      <c r="L14" s="30">
        <v>20260901</v>
      </c>
      <c r="M14" s="30">
        <v>20261215</v>
      </c>
      <c r="N14" s="5">
        <v>-379000</v>
      </c>
      <c r="O14" s="5">
        <v>-156395.37</v>
      </c>
      <c r="P14" s="2" t="s">
        <v>75</v>
      </c>
      <c r="Q14" s="2" t="s">
        <v>337</v>
      </c>
      <c r="R14" s="16">
        <v>0.87</v>
      </c>
    </row>
    <row r="15" spans="1:18" x14ac:dyDescent="0.35">
      <c r="A15" s="2" t="s">
        <v>367</v>
      </c>
      <c r="B15" s="2" t="s">
        <v>24</v>
      </c>
      <c r="C15" s="2" t="s">
        <v>229</v>
      </c>
      <c r="D15" s="2" t="s">
        <v>368</v>
      </c>
      <c r="E15" s="2" t="s">
        <v>35</v>
      </c>
      <c r="F15" s="2" t="s">
        <v>36</v>
      </c>
      <c r="G15" s="30">
        <v>5000</v>
      </c>
      <c r="H15" s="2" t="s">
        <v>333</v>
      </c>
      <c r="I15" s="21" t="s">
        <v>340</v>
      </c>
      <c r="J15" s="21" t="s">
        <v>352</v>
      </c>
      <c r="K15" s="2" t="s">
        <v>336</v>
      </c>
      <c r="L15" s="30">
        <v>20260901</v>
      </c>
      <c r="M15" s="30">
        <v>20261215</v>
      </c>
      <c r="N15" s="5">
        <v>-900000</v>
      </c>
      <c r="O15" s="5">
        <v>-322008.17</v>
      </c>
      <c r="P15" s="2" t="s">
        <v>75</v>
      </c>
      <c r="Q15" s="2" t="s">
        <v>345</v>
      </c>
      <c r="R15" s="16">
        <v>0.93</v>
      </c>
    </row>
    <row r="16" spans="1:18" x14ac:dyDescent="0.35">
      <c r="A16" s="2" t="s">
        <v>369</v>
      </c>
      <c r="B16" s="2" t="s">
        <v>24</v>
      </c>
      <c r="C16" s="2" t="s">
        <v>231</v>
      </c>
      <c r="D16" s="2" t="s">
        <v>370</v>
      </c>
      <c r="E16" s="2" t="s">
        <v>35</v>
      </c>
      <c r="F16" s="2" t="s">
        <v>36</v>
      </c>
      <c r="G16" s="30">
        <v>5000</v>
      </c>
      <c r="H16" s="2" t="s">
        <v>333</v>
      </c>
      <c r="I16" s="21" t="s">
        <v>340</v>
      </c>
      <c r="J16" s="21" t="s">
        <v>352</v>
      </c>
      <c r="K16" s="2" t="s">
        <v>336</v>
      </c>
      <c r="L16" s="30">
        <v>20260901</v>
      </c>
      <c r="M16" s="30">
        <v>20261215</v>
      </c>
      <c r="N16" s="5">
        <v>-417000</v>
      </c>
      <c r="O16" s="5">
        <v>-267816.11</v>
      </c>
      <c r="P16" s="2" t="s">
        <v>74</v>
      </c>
      <c r="Q16" s="2" t="s">
        <v>345</v>
      </c>
      <c r="R16" s="16">
        <v>0.71</v>
      </c>
    </row>
    <row r="17" spans="1:18" x14ac:dyDescent="0.35">
      <c r="A17" s="2" t="s">
        <v>371</v>
      </c>
      <c r="B17" s="2" t="s">
        <v>26</v>
      </c>
      <c r="C17" s="2" t="s">
        <v>233</v>
      </c>
      <c r="D17" s="2" t="s">
        <v>372</v>
      </c>
      <c r="E17" s="2" t="s">
        <v>35</v>
      </c>
      <c r="F17" s="2" t="s">
        <v>36</v>
      </c>
      <c r="G17" s="30">
        <v>5000</v>
      </c>
      <c r="H17" s="2" t="s">
        <v>333</v>
      </c>
      <c r="I17" s="21" t="s">
        <v>334</v>
      </c>
      <c r="J17" s="21" t="s">
        <v>344</v>
      </c>
      <c r="K17" s="2" t="s">
        <v>336</v>
      </c>
      <c r="L17" s="30">
        <v>20260901</v>
      </c>
      <c r="M17" s="30">
        <v>20261215</v>
      </c>
      <c r="N17" s="5">
        <v>-952000</v>
      </c>
      <c r="O17" s="5">
        <v>-527236.64</v>
      </c>
      <c r="P17" s="2" t="s">
        <v>74</v>
      </c>
      <c r="Q17" s="2" t="s">
        <v>337</v>
      </c>
      <c r="R17" s="16">
        <v>0.81</v>
      </c>
    </row>
  </sheetData>
  <conditionalFormatting sqref="P2:P17">
    <cfRule type="expression" dxfId="63" priority="1">
      <formula>$P2="Forsinket"</formula>
    </cfRule>
  </conditionalFormatting>
  <conditionalFormatting sqref="P2:P17">
    <cfRule type="expression" dxfId="62" priority="2">
      <formula>$P2="Pagar"</formula>
    </cfRule>
  </conditionalFormatting>
  <conditionalFormatting sqref="P2:P17">
    <cfRule type="expression" dxfId="61" priority="3">
      <formula>$P2="Gjennomfort"</formula>
    </cfRule>
  </conditionalFormatting>
  <conditionalFormatting sqref="P2:P17">
    <cfRule type="expression" dxfId="60" priority="4">
      <formula>$P2="Planlagt"</formula>
    </cfRule>
  </conditionalFormatting>
  <conditionalFormatting sqref="N2:N17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{727A5F67-19CA-4D12-902E-32EFAF0386B5}</x14:id>
        </ext>
      </extLst>
    </cfRule>
  </conditionalFormatting>
  <conditionalFormatting sqref="O2:O17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{05E7590F-0792-4580-B90B-3F4199E99825}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27A5F67-19CA-4D12-902E-32EFAF0386B5}">
            <x14:dataBar minLength="0" maxLength="100" negativeBarColorSameAsPositive="1" axisPosition="middle">
              <x14:cfvo type="min"/>
              <x14:cfvo type="max"/>
              <x14:axisColor rgb="FF000000"/>
            </x14:dataBar>
          </x14:cfRule>
          <xm:sqref>N2:N17</xm:sqref>
        </x14:conditionalFormatting>
        <x14:conditionalFormatting xmlns:xm="http://schemas.microsoft.com/office/excel/2006/main">
          <x14:cfRule type="dataBar" id="{05E7590F-0792-4580-B90B-3F4199E99825}">
            <x14:dataBar minLength="0" maxLength="100" negativeBarColorSameAsPositive="1" axisPosition="middle">
              <x14:cfvo type="min"/>
              <x14:cfvo type="max"/>
              <x14:axisColor rgb="FF000000"/>
            </x14:dataBar>
          </x14:cfRule>
          <xm:sqref>O2:O17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3CDD0-4125-403D-8E63-ED9BA2AE2C53}">
  <dimension ref="A1:D5"/>
  <sheetViews>
    <sheetView workbookViewId="0"/>
  </sheetViews>
  <sheetFormatPr defaultRowHeight="14.5" x14ac:dyDescent="0.35"/>
  <cols>
    <col min="1" max="1" width="10.81640625" bestFit="1" customWidth="1"/>
    <col min="2" max="2" width="16" bestFit="1" customWidth="1"/>
    <col min="3" max="3" width="15.453125" bestFit="1" customWidth="1"/>
    <col min="4" max="4" width="8.1796875" bestFit="1" customWidth="1"/>
  </cols>
  <sheetData>
    <row r="1" spans="1:4" x14ac:dyDescent="0.35">
      <c r="A1" s="4" t="s">
        <v>69</v>
      </c>
      <c r="B1" s="4" t="s">
        <v>70</v>
      </c>
      <c r="C1" s="4" t="s">
        <v>71</v>
      </c>
      <c r="D1" s="4" t="s">
        <v>72</v>
      </c>
    </row>
    <row r="2" spans="1:4" x14ac:dyDescent="0.35">
      <c r="A2" s="2" t="s">
        <v>73</v>
      </c>
      <c r="B2" s="5">
        <v>-2565000</v>
      </c>
      <c r="C2" s="5">
        <v>-1128517.3</v>
      </c>
      <c r="D2" s="5">
        <v>4</v>
      </c>
    </row>
    <row r="3" spans="1:4" x14ac:dyDescent="0.35">
      <c r="A3" s="2" t="s">
        <v>74</v>
      </c>
      <c r="B3" s="5">
        <v>-1907000</v>
      </c>
      <c r="C3" s="5">
        <v>-1145489.6499999999</v>
      </c>
      <c r="D3" s="5">
        <v>4</v>
      </c>
    </row>
    <row r="4" spans="1:4" x14ac:dyDescent="0.35">
      <c r="A4" s="2" t="s">
        <v>75</v>
      </c>
      <c r="B4" s="5">
        <v>-3579000</v>
      </c>
      <c r="C4" s="5">
        <v>-1984262.4</v>
      </c>
      <c r="D4" s="5">
        <v>5</v>
      </c>
    </row>
    <row r="5" spans="1:4" x14ac:dyDescent="0.35">
      <c r="A5" s="2" t="s">
        <v>76</v>
      </c>
      <c r="B5" s="5">
        <v>-1954000</v>
      </c>
      <c r="C5" s="5">
        <v>-1303812.31</v>
      </c>
      <c r="D5" s="5">
        <v>3</v>
      </c>
    </row>
  </sheetData>
  <conditionalFormatting sqref="A2:A5">
    <cfRule type="expression" dxfId="59" priority="1">
      <formula>$A2="Forsinket"</formula>
    </cfRule>
  </conditionalFormatting>
  <conditionalFormatting sqref="A2:A5">
    <cfRule type="expression" dxfId="58" priority="2">
      <formula>$A2="Pagar"</formula>
    </cfRule>
  </conditionalFormatting>
  <conditionalFormatting sqref="A2:A5">
    <cfRule type="expression" dxfId="57" priority="3">
      <formula>$A2="Gjennomfort"</formula>
    </cfRule>
  </conditionalFormatting>
  <conditionalFormatting sqref="A2:A5">
    <cfRule type="expression" dxfId="56" priority="4">
      <formula>$A2="Planlagt"</formula>
    </cfRule>
  </conditionalFormatting>
  <conditionalFormatting sqref="B2:B5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{E13F32CE-DE38-468F-9084-BC1F305EFDB2}</x14:id>
        </ext>
      </extLst>
    </cfRule>
  </conditionalFormatting>
  <conditionalFormatting sqref="C2:C5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{28082C6E-DA76-4F08-A5B1-3044DBD94F74}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13F32CE-DE38-468F-9084-BC1F305EFDB2}">
            <x14:dataBar minLength="0" maxLength="100" negativeBarColorSameAsPositive="1" axisPosition="middle">
              <x14:cfvo type="min"/>
              <x14:cfvo type="max"/>
              <x14:axisColor rgb="FF000000"/>
            </x14:dataBar>
          </x14:cfRule>
          <xm:sqref>B2:B5</xm:sqref>
        </x14:conditionalFormatting>
        <x14:conditionalFormatting xmlns:xm="http://schemas.microsoft.com/office/excel/2006/main">
          <x14:cfRule type="dataBar" id="{28082C6E-DA76-4F08-A5B1-3044DBD94F74}">
            <x14:dataBar minLength="0" maxLength="100" negativeBarColorSameAsPositive="1" axisPosition="middle">
              <x14:cfvo type="min"/>
              <x14:cfvo type="max"/>
              <x14:axisColor rgb="FF000000"/>
            </x14:dataBar>
          </x14:cfRule>
          <xm:sqref>C2:C5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6BA82-45AD-4B6C-BF88-0E80DB4C5706}">
  <dimension ref="A1:H23"/>
  <sheetViews>
    <sheetView workbookViewId="0"/>
  </sheetViews>
  <sheetFormatPr defaultRowHeight="14.5" x14ac:dyDescent="0.35"/>
  <cols>
    <col min="1" max="1" width="65.7265625" bestFit="1" customWidth="1"/>
    <col min="2" max="2" width="12.08984375" bestFit="1" customWidth="1"/>
    <col min="3" max="3" width="10.453125" bestFit="1" customWidth="1"/>
  </cols>
  <sheetData>
    <row r="1" spans="1:8" x14ac:dyDescent="0.35">
      <c r="A1" s="4" t="s">
        <v>107</v>
      </c>
      <c r="B1" s="4" t="s">
        <v>108</v>
      </c>
      <c r="C1" s="4" t="s">
        <v>109</v>
      </c>
      <c r="D1" s="4" t="s">
        <v>69</v>
      </c>
      <c r="F1" s="8" t="s">
        <v>877</v>
      </c>
      <c r="G1" s="8" t="s">
        <v>878</v>
      </c>
      <c r="H1" s="8" t="s">
        <v>109</v>
      </c>
    </row>
    <row r="2" spans="1:8" x14ac:dyDescent="0.35">
      <c r="A2" s="2" t="s">
        <v>110</v>
      </c>
      <c r="B2" s="2">
        <v>35760</v>
      </c>
      <c r="C2" s="2">
        <v>0</v>
      </c>
      <c r="D2" s="2" t="s">
        <v>111</v>
      </c>
      <c r="F2" s="25" t="str">
        <f>IF(SUM(C2:C23)=0,"PASS","FAIL")</f>
        <v>PASS</v>
      </c>
      <c r="G2">
        <f>ROWS(A2:A23)</f>
        <v>22</v>
      </c>
      <c r="H2">
        <f>SUM(C2:C23)</f>
        <v>0</v>
      </c>
    </row>
    <row r="3" spans="1:8" x14ac:dyDescent="0.35">
      <c r="A3" s="2" t="s">
        <v>112</v>
      </c>
      <c r="B3" s="2">
        <v>35760</v>
      </c>
      <c r="C3" s="2">
        <v>0</v>
      </c>
      <c r="D3" s="2" t="s">
        <v>111</v>
      </c>
    </row>
    <row r="4" spans="1:8" x14ac:dyDescent="0.35">
      <c r="A4" s="2" t="s">
        <v>113</v>
      </c>
      <c r="B4" s="2">
        <v>35760</v>
      </c>
      <c r="C4" s="2">
        <v>0</v>
      </c>
      <c r="D4" s="2" t="s">
        <v>111</v>
      </c>
    </row>
    <row r="5" spans="1:8" x14ac:dyDescent="0.35">
      <c r="A5" s="2" t="s">
        <v>114</v>
      </c>
      <c r="B5" s="2">
        <v>35760</v>
      </c>
      <c r="C5" s="2">
        <v>0</v>
      </c>
      <c r="D5" s="2" t="s">
        <v>111</v>
      </c>
    </row>
    <row r="6" spans="1:8" x14ac:dyDescent="0.35">
      <c r="A6" s="2" t="s">
        <v>115</v>
      </c>
      <c r="B6" s="2">
        <v>17760</v>
      </c>
      <c r="C6" s="2">
        <v>0</v>
      </c>
      <c r="D6" s="2" t="s">
        <v>111</v>
      </c>
    </row>
    <row r="7" spans="1:8" x14ac:dyDescent="0.35">
      <c r="A7" s="2" t="s">
        <v>116</v>
      </c>
      <c r="B7" s="2">
        <v>17760</v>
      </c>
      <c r="C7" s="2">
        <v>0</v>
      </c>
      <c r="D7" s="2" t="s">
        <v>111</v>
      </c>
    </row>
    <row r="8" spans="1:8" x14ac:dyDescent="0.35">
      <c r="A8" s="2" t="s">
        <v>117</v>
      </c>
      <c r="B8" s="2">
        <v>17760</v>
      </c>
      <c r="C8" s="2">
        <v>0</v>
      </c>
      <c r="D8" s="2" t="s">
        <v>111</v>
      </c>
    </row>
    <row r="9" spans="1:8" x14ac:dyDescent="0.35">
      <c r="A9" s="2" t="s">
        <v>118</v>
      </c>
      <c r="B9" s="2">
        <v>17760</v>
      </c>
      <c r="C9" s="2">
        <v>0</v>
      </c>
      <c r="D9" s="2" t="s">
        <v>111</v>
      </c>
    </row>
    <row r="10" spans="1:8" x14ac:dyDescent="0.35">
      <c r="A10" s="2" t="s">
        <v>119</v>
      </c>
      <c r="B10" s="2">
        <v>53280</v>
      </c>
      <c r="C10" s="2">
        <v>0</v>
      </c>
      <c r="D10" s="2" t="s">
        <v>111</v>
      </c>
    </row>
    <row r="11" spans="1:8" x14ac:dyDescent="0.35">
      <c r="A11" s="2" t="s">
        <v>120</v>
      </c>
      <c r="B11" s="2">
        <v>53280</v>
      </c>
      <c r="C11" s="2">
        <v>0</v>
      </c>
      <c r="D11" s="2" t="s">
        <v>111</v>
      </c>
    </row>
    <row r="12" spans="1:8" x14ac:dyDescent="0.35">
      <c r="A12" s="2" t="s">
        <v>121</v>
      </c>
      <c r="B12" s="2">
        <v>53280</v>
      </c>
      <c r="C12" s="2">
        <v>0</v>
      </c>
      <c r="D12" s="2" t="s">
        <v>111</v>
      </c>
    </row>
    <row r="13" spans="1:8" x14ac:dyDescent="0.35">
      <c r="A13" s="2" t="s">
        <v>122</v>
      </c>
      <c r="B13" s="2">
        <v>53280</v>
      </c>
      <c r="C13" s="2">
        <v>0</v>
      </c>
      <c r="D13" s="2" t="s">
        <v>111</v>
      </c>
    </row>
    <row r="14" spans="1:8" x14ac:dyDescent="0.35">
      <c r="A14" s="2" t="s">
        <v>123</v>
      </c>
      <c r="B14" s="2">
        <v>53280</v>
      </c>
      <c r="C14" s="2">
        <v>0</v>
      </c>
      <c r="D14" s="2" t="s">
        <v>111</v>
      </c>
    </row>
    <row r="15" spans="1:8" x14ac:dyDescent="0.35">
      <c r="A15" s="2" t="s">
        <v>124</v>
      </c>
      <c r="B15" s="2">
        <v>1200</v>
      </c>
      <c r="C15" s="2">
        <v>0</v>
      </c>
      <c r="D15" s="2" t="s">
        <v>111</v>
      </c>
    </row>
    <row r="16" spans="1:8" x14ac:dyDescent="0.35">
      <c r="A16" s="2" t="s">
        <v>125</v>
      </c>
      <c r="B16" s="2">
        <v>1200</v>
      </c>
      <c r="C16" s="2">
        <v>0</v>
      </c>
      <c r="D16" s="2" t="s">
        <v>111</v>
      </c>
    </row>
    <row r="17" spans="1:4" x14ac:dyDescent="0.35">
      <c r="A17" s="2" t="s">
        <v>126</v>
      </c>
      <c r="B17" s="2">
        <v>432</v>
      </c>
      <c r="C17" s="2">
        <v>0</v>
      </c>
      <c r="D17" s="2" t="s">
        <v>111</v>
      </c>
    </row>
    <row r="18" spans="1:4" x14ac:dyDescent="0.35">
      <c r="A18" s="2" t="s">
        <v>127</v>
      </c>
      <c r="B18" s="2">
        <v>432</v>
      </c>
      <c r="C18" s="2">
        <v>0</v>
      </c>
      <c r="D18" s="2" t="s">
        <v>111</v>
      </c>
    </row>
    <row r="19" spans="1:4" x14ac:dyDescent="0.35">
      <c r="A19" s="2" t="s">
        <v>128</v>
      </c>
      <c r="B19" s="2">
        <v>1200</v>
      </c>
      <c r="C19" s="2">
        <v>0</v>
      </c>
      <c r="D19" s="2" t="s">
        <v>111</v>
      </c>
    </row>
    <row r="20" spans="1:4" x14ac:dyDescent="0.35">
      <c r="A20" s="2" t="s">
        <v>129</v>
      </c>
      <c r="B20" s="2">
        <v>432</v>
      </c>
      <c r="C20" s="2">
        <v>0</v>
      </c>
      <c r="D20" s="2" t="s">
        <v>111</v>
      </c>
    </row>
    <row r="21" spans="1:4" x14ac:dyDescent="0.35">
      <c r="A21" s="2" t="s">
        <v>130</v>
      </c>
      <c r="B21" s="2">
        <v>16</v>
      </c>
      <c r="C21" s="2">
        <v>0</v>
      </c>
      <c r="D21" s="2" t="s">
        <v>111</v>
      </c>
    </row>
    <row r="22" spans="1:4" x14ac:dyDescent="0.35">
      <c r="A22" s="2" t="s">
        <v>131</v>
      </c>
      <c r="B22" s="2">
        <v>16</v>
      </c>
      <c r="C22" s="2">
        <v>0</v>
      </c>
      <c r="D22" s="2" t="s">
        <v>111</v>
      </c>
    </row>
    <row r="23" spans="1:4" x14ac:dyDescent="0.35">
      <c r="A23" s="2" t="s">
        <v>132</v>
      </c>
      <c r="B23" s="2">
        <v>16</v>
      </c>
      <c r="C23" s="2">
        <v>0</v>
      </c>
      <c r="D23" s="2" t="s">
        <v>111</v>
      </c>
    </row>
  </sheetData>
  <conditionalFormatting sqref="F2">
    <cfRule type="expression" dxfId="55" priority="1">
      <formula>$F$2="PASS"</formula>
    </cfRule>
  </conditionalFormatting>
  <conditionalFormatting sqref="F2">
    <cfRule type="expression" dxfId="54" priority="2">
      <formula>$F$2="FAIL"</formula>
    </cfRule>
  </conditionalFormatting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2F708-73C4-4E78-8F13-671A08B90C3A}">
  <dimension ref="A1:G23"/>
  <sheetViews>
    <sheetView workbookViewId="0"/>
  </sheetViews>
  <sheetFormatPr defaultRowHeight="14.5" x14ac:dyDescent="0.35"/>
  <cols>
    <col min="1" max="1" width="17.26953125" bestFit="1" customWidth="1"/>
    <col min="2" max="2" width="17.81640625" bestFit="1" customWidth="1"/>
    <col min="3" max="3" width="13.6328125" bestFit="1" customWidth="1"/>
    <col min="4" max="4" width="17.81640625" bestFit="1" customWidth="1"/>
    <col min="5" max="5" width="12.81640625" customWidth="1"/>
    <col min="6" max="6" width="14.81640625" bestFit="1" customWidth="1"/>
  </cols>
  <sheetData>
    <row r="1" spans="1:7" x14ac:dyDescent="0.35">
      <c r="A1" s="4" t="s">
        <v>133</v>
      </c>
      <c r="B1" s="4" t="s">
        <v>134</v>
      </c>
      <c r="C1" s="4" t="s">
        <v>135</v>
      </c>
      <c r="D1" s="4" t="s">
        <v>136</v>
      </c>
      <c r="E1" s="4" t="s">
        <v>137</v>
      </c>
      <c r="F1" s="4" t="s">
        <v>138</v>
      </c>
      <c r="G1" s="4" t="s">
        <v>69</v>
      </c>
    </row>
    <row r="2" spans="1:7" x14ac:dyDescent="0.35">
      <c r="A2" s="2" t="s">
        <v>139</v>
      </c>
      <c r="B2" s="2" t="s">
        <v>140</v>
      </c>
      <c r="C2" s="2" t="s">
        <v>141</v>
      </c>
      <c r="D2" s="2" t="s">
        <v>140</v>
      </c>
      <c r="E2" s="2" t="s">
        <v>142</v>
      </c>
      <c r="F2" s="2" t="s">
        <v>143</v>
      </c>
      <c r="G2" s="2" t="s">
        <v>144</v>
      </c>
    </row>
    <row r="3" spans="1:7" x14ac:dyDescent="0.35">
      <c r="A3" s="2" t="s">
        <v>145</v>
      </c>
      <c r="B3" s="2" t="s">
        <v>146</v>
      </c>
      <c r="C3" s="2" t="s">
        <v>141</v>
      </c>
      <c r="D3" s="2" t="s">
        <v>146</v>
      </c>
      <c r="E3" s="2" t="s">
        <v>142</v>
      </c>
      <c r="F3" s="2" t="s">
        <v>143</v>
      </c>
      <c r="G3" s="2" t="s">
        <v>144</v>
      </c>
    </row>
    <row r="4" spans="1:7" x14ac:dyDescent="0.35">
      <c r="A4" s="2" t="s">
        <v>147</v>
      </c>
      <c r="B4" s="2" t="s">
        <v>148</v>
      </c>
      <c r="C4" s="2" t="s">
        <v>141</v>
      </c>
      <c r="D4" s="2" t="s">
        <v>148</v>
      </c>
      <c r="E4" s="2" t="s">
        <v>142</v>
      </c>
      <c r="F4" s="2" t="s">
        <v>143</v>
      </c>
      <c r="G4" s="2" t="s">
        <v>144</v>
      </c>
    </row>
    <row r="5" spans="1:7" x14ac:dyDescent="0.35">
      <c r="A5" s="2" t="s">
        <v>149</v>
      </c>
      <c r="B5" s="2" t="s">
        <v>30</v>
      </c>
      <c r="C5" s="2" t="s">
        <v>141</v>
      </c>
      <c r="D5" s="2" t="s">
        <v>30</v>
      </c>
      <c r="E5" s="2" t="s">
        <v>142</v>
      </c>
      <c r="F5" s="2" t="s">
        <v>143</v>
      </c>
      <c r="G5" s="2" t="s">
        <v>144</v>
      </c>
    </row>
    <row r="6" spans="1:7" x14ac:dyDescent="0.35">
      <c r="A6" s="2" t="s">
        <v>139</v>
      </c>
      <c r="B6" s="2" t="s">
        <v>140</v>
      </c>
      <c r="C6" s="2" t="s">
        <v>150</v>
      </c>
      <c r="D6" s="2" t="s">
        <v>140</v>
      </c>
      <c r="E6" s="2" t="s">
        <v>142</v>
      </c>
      <c r="F6" s="2" t="s">
        <v>143</v>
      </c>
      <c r="G6" s="2" t="s">
        <v>144</v>
      </c>
    </row>
    <row r="7" spans="1:7" x14ac:dyDescent="0.35">
      <c r="A7" s="2" t="s">
        <v>145</v>
      </c>
      <c r="B7" s="2" t="s">
        <v>146</v>
      </c>
      <c r="C7" s="2" t="s">
        <v>150</v>
      </c>
      <c r="D7" s="2" t="s">
        <v>146</v>
      </c>
      <c r="E7" s="2" t="s">
        <v>142</v>
      </c>
      <c r="F7" s="2" t="s">
        <v>143</v>
      </c>
      <c r="G7" s="2" t="s">
        <v>144</v>
      </c>
    </row>
    <row r="8" spans="1:7" x14ac:dyDescent="0.35">
      <c r="A8" s="2" t="s">
        <v>147</v>
      </c>
      <c r="B8" s="2" t="s">
        <v>148</v>
      </c>
      <c r="C8" s="2" t="s">
        <v>150</v>
      </c>
      <c r="D8" s="2" t="s">
        <v>148</v>
      </c>
      <c r="E8" s="2" t="s">
        <v>142</v>
      </c>
      <c r="F8" s="2" t="s">
        <v>143</v>
      </c>
      <c r="G8" s="2" t="s">
        <v>144</v>
      </c>
    </row>
    <row r="9" spans="1:7" x14ac:dyDescent="0.35">
      <c r="A9" s="2" t="s">
        <v>149</v>
      </c>
      <c r="B9" s="2" t="s">
        <v>30</v>
      </c>
      <c r="C9" s="2" t="s">
        <v>150</v>
      </c>
      <c r="D9" s="2" t="s">
        <v>30</v>
      </c>
      <c r="E9" s="2" t="s">
        <v>142</v>
      </c>
      <c r="F9" s="2" t="s">
        <v>143</v>
      </c>
      <c r="G9" s="2" t="s">
        <v>144</v>
      </c>
    </row>
    <row r="10" spans="1:7" x14ac:dyDescent="0.35">
      <c r="A10" s="2" t="s">
        <v>139</v>
      </c>
      <c r="B10" s="2" t="s">
        <v>140</v>
      </c>
      <c r="C10" s="2" t="s">
        <v>151</v>
      </c>
      <c r="D10" s="2" t="s">
        <v>140</v>
      </c>
      <c r="E10" s="2" t="s">
        <v>142</v>
      </c>
      <c r="F10" s="2" t="s">
        <v>143</v>
      </c>
      <c r="G10" s="2" t="s">
        <v>144</v>
      </c>
    </row>
    <row r="11" spans="1:7" x14ac:dyDescent="0.35">
      <c r="A11" s="2" t="s">
        <v>145</v>
      </c>
      <c r="B11" s="2" t="s">
        <v>146</v>
      </c>
      <c r="C11" s="2" t="s">
        <v>151</v>
      </c>
      <c r="D11" s="2" t="s">
        <v>146</v>
      </c>
      <c r="E11" s="2" t="s">
        <v>142</v>
      </c>
      <c r="F11" s="2" t="s">
        <v>143</v>
      </c>
      <c r="G11" s="2" t="s">
        <v>144</v>
      </c>
    </row>
    <row r="12" spans="1:7" x14ac:dyDescent="0.35">
      <c r="A12" s="2" t="s">
        <v>147</v>
      </c>
      <c r="B12" s="2" t="s">
        <v>148</v>
      </c>
      <c r="C12" s="2" t="s">
        <v>151</v>
      </c>
      <c r="D12" s="2" t="s">
        <v>148</v>
      </c>
      <c r="E12" s="2" t="s">
        <v>142</v>
      </c>
      <c r="F12" s="2" t="s">
        <v>143</v>
      </c>
      <c r="G12" s="2" t="s">
        <v>144</v>
      </c>
    </row>
    <row r="13" spans="1:7" x14ac:dyDescent="0.35">
      <c r="A13" s="2" t="s">
        <v>149</v>
      </c>
      <c r="B13" s="2" t="s">
        <v>30</v>
      </c>
      <c r="C13" s="2" t="s">
        <v>151</v>
      </c>
      <c r="D13" s="2" t="s">
        <v>30</v>
      </c>
      <c r="E13" s="2" t="s">
        <v>142</v>
      </c>
      <c r="F13" s="2" t="s">
        <v>143</v>
      </c>
      <c r="G13" s="2" t="s">
        <v>144</v>
      </c>
    </row>
    <row r="14" spans="1:7" x14ac:dyDescent="0.35">
      <c r="A14" s="2" t="s">
        <v>152</v>
      </c>
      <c r="B14" s="2" t="s">
        <v>153</v>
      </c>
      <c r="C14" s="2" t="s">
        <v>151</v>
      </c>
      <c r="D14" s="2" t="s">
        <v>153</v>
      </c>
      <c r="E14" s="2" t="s">
        <v>142</v>
      </c>
      <c r="F14" s="2" t="s">
        <v>143</v>
      </c>
      <c r="G14" s="2" t="s">
        <v>144</v>
      </c>
    </row>
    <row r="15" spans="1:7" x14ac:dyDescent="0.35">
      <c r="A15" s="2" t="s">
        <v>139</v>
      </c>
      <c r="B15" s="2" t="s">
        <v>140</v>
      </c>
      <c r="C15" s="2" t="s">
        <v>154</v>
      </c>
      <c r="D15" s="2" t="s">
        <v>140</v>
      </c>
      <c r="E15" s="2" t="s">
        <v>142</v>
      </c>
      <c r="F15" s="2" t="s">
        <v>143</v>
      </c>
      <c r="G15" s="2" t="s">
        <v>144</v>
      </c>
    </row>
    <row r="16" spans="1:7" x14ac:dyDescent="0.35">
      <c r="A16" s="2" t="s">
        <v>145</v>
      </c>
      <c r="B16" s="2" t="s">
        <v>146</v>
      </c>
      <c r="C16" s="2" t="s">
        <v>154</v>
      </c>
      <c r="D16" s="2" t="s">
        <v>146</v>
      </c>
      <c r="E16" s="2" t="s">
        <v>142</v>
      </c>
      <c r="F16" s="2" t="s">
        <v>143</v>
      </c>
      <c r="G16" s="2" t="s">
        <v>144</v>
      </c>
    </row>
    <row r="17" spans="1:7" x14ac:dyDescent="0.35">
      <c r="A17" s="2" t="s">
        <v>139</v>
      </c>
      <c r="B17" s="2" t="s">
        <v>140</v>
      </c>
      <c r="C17" s="2" t="s">
        <v>155</v>
      </c>
      <c r="D17" s="2" t="s">
        <v>140</v>
      </c>
      <c r="E17" s="2" t="s">
        <v>142</v>
      </c>
      <c r="F17" s="2" t="s">
        <v>143</v>
      </c>
      <c r="G17" s="2" t="s">
        <v>144</v>
      </c>
    </row>
    <row r="18" spans="1:7" x14ac:dyDescent="0.35">
      <c r="A18" s="2" t="s">
        <v>145</v>
      </c>
      <c r="B18" s="2" t="s">
        <v>146</v>
      </c>
      <c r="C18" s="2" t="s">
        <v>155</v>
      </c>
      <c r="D18" s="2" t="s">
        <v>146</v>
      </c>
      <c r="E18" s="2" t="s">
        <v>142</v>
      </c>
      <c r="F18" s="2" t="s">
        <v>143</v>
      </c>
      <c r="G18" s="2" t="s">
        <v>144</v>
      </c>
    </row>
    <row r="19" spans="1:7" x14ac:dyDescent="0.35">
      <c r="A19" s="2" t="s">
        <v>156</v>
      </c>
      <c r="B19" s="2" t="s">
        <v>53</v>
      </c>
      <c r="C19" s="2" t="s">
        <v>154</v>
      </c>
      <c r="D19" s="2" t="s">
        <v>53</v>
      </c>
      <c r="E19" s="2" t="s">
        <v>142</v>
      </c>
      <c r="F19" s="2" t="s">
        <v>143</v>
      </c>
      <c r="G19" s="2" t="s">
        <v>144</v>
      </c>
    </row>
    <row r="20" spans="1:7" x14ac:dyDescent="0.35">
      <c r="A20" s="2" t="s">
        <v>157</v>
      </c>
      <c r="B20" s="2" t="s">
        <v>158</v>
      </c>
      <c r="C20" s="2" t="s">
        <v>155</v>
      </c>
      <c r="D20" s="2" t="s">
        <v>158</v>
      </c>
      <c r="E20" s="2" t="s">
        <v>142</v>
      </c>
      <c r="F20" s="2" t="s">
        <v>143</v>
      </c>
      <c r="G20" s="2" t="s">
        <v>144</v>
      </c>
    </row>
    <row r="21" spans="1:7" x14ac:dyDescent="0.35">
      <c r="A21" s="2" t="s">
        <v>145</v>
      </c>
      <c r="B21" s="2" t="s">
        <v>146</v>
      </c>
      <c r="C21" s="2" t="s">
        <v>159</v>
      </c>
      <c r="D21" s="2" t="s">
        <v>146</v>
      </c>
      <c r="E21" s="2" t="s">
        <v>142</v>
      </c>
      <c r="F21" s="2" t="s">
        <v>143</v>
      </c>
      <c r="G21" s="2" t="s">
        <v>144</v>
      </c>
    </row>
    <row r="22" spans="1:7" x14ac:dyDescent="0.35">
      <c r="A22" s="2" t="s">
        <v>147</v>
      </c>
      <c r="B22" s="2" t="s">
        <v>148</v>
      </c>
      <c r="C22" s="2" t="s">
        <v>159</v>
      </c>
      <c r="D22" s="2" t="s">
        <v>148</v>
      </c>
      <c r="E22" s="2" t="s">
        <v>142</v>
      </c>
      <c r="F22" s="2" t="s">
        <v>143</v>
      </c>
      <c r="G22" s="2" t="s">
        <v>144</v>
      </c>
    </row>
    <row r="23" spans="1:7" x14ac:dyDescent="0.35">
      <c r="A23" s="2" t="s">
        <v>149</v>
      </c>
      <c r="B23" s="2" t="s">
        <v>30</v>
      </c>
      <c r="C23" s="2" t="s">
        <v>159</v>
      </c>
      <c r="D23" s="2" t="s">
        <v>30</v>
      </c>
      <c r="E23" s="2" t="s">
        <v>142</v>
      </c>
      <c r="F23" s="2" t="s">
        <v>143</v>
      </c>
      <c r="G23" s="2" t="s">
        <v>144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6E024-EEDF-476B-A36F-A8983F658B34}">
  <dimension ref="A1:J16"/>
  <sheetViews>
    <sheetView workbookViewId="0">
      <selection sqref="A1:J1"/>
    </sheetView>
  </sheetViews>
  <sheetFormatPr defaultRowHeight="14.5" x14ac:dyDescent="0.35"/>
  <cols>
    <col min="1" max="1" width="17.26953125" bestFit="1" customWidth="1"/>
    <col min="2" max="2" width="9.453125" bestFit="1" customWidth="1"/>
    <col min="3" max="3" width="8" bestFit="1" customWidth="1"/>
    <col min="4" max="4" width="10.6328125" customWidth="1"/>
    <col min="5" max="5" width="43.6328125" style="22" customWidth="1"/>
    <col min="7" max="10" width="15.453125" customWidth="1"/>
  </cols>
  <sheetData>
    <row r="1" spans="1:10" x14ac:dyDescent="0.35">
      <c r="A1" s="4" t="s">
        <v>160</v>
      </c>
      <c r="B1" s="4" t="s">
        <v>161</v>
      </c>
      <c r="C1" s="4" t="s">
        <v>162</v>
      </c>
      <c r="D1" s="4" t="s">
        <v>163</v>
      </c>
      <c r="E1" s="20" t="s">
        <v>164</v>
      </c>
      <c r="G1" s="7" t="s">
        <v>875</v>
      </c>
      <c r="H1" s="6"/>
      <c r="I1" s="6"/>
      <c r="J1" s="6"/>
    </row>
    <row r="2" spans="1:10" x14ac:dyDescent="0.35">
      <c r="A2" s="2" t="s">
        <v>165</v>
      </c>
      <c r="B2" s="2" t="s">
        <v>166</v>
      </c>
      <c r="C2" s="2">
        <v>22</v>
      </c>
      <c r="D2" s="2">
        <v>7</v>
      </c>
      <c r="E2" s="21" t="s">
        <v>167</v>
      </c>
      <c r="G2" s="23" t="s">
        <v>876</v>
      </c>
      <c r="H2" s="24"/>
      <c r="I2" s="24"/>
      <c r="J2" s="24"/>
    </row>
    <row r="3" spans="1:10" x14ac:dyDescent="0.35">
      <c r="A3" s="2" t="s">
        <v>157</v>
      </c>
      <c r="B3" s="2" t="s">
        <v>168</v>
      </c>
      <c r="C3" s="2">
        <v>36</v>
      </c>
      <c r="D3" s="2">
        <v>6</v>
      </c>
      <c r="E3" s="21" t="s">
        <v>169</v>
      </c>
      <c r="G3" s="24"/>
      <c r="H3" s="24"/>
      <c r="I3" s="24"/>
      <c r="J3" s="24"/>
    </row>
    <row r="4" spans="1:10" x14ac:dyDescent="0.35">
      <c r="A4" s="2" t="s">
        <v>145</v>
      </c>
      <c r="B4" s="2" t="s">
        <v>168</v>
      </c>
      <c r="C4" s="2">
        <v>40</v>
      </c>
      <c r="D4" s="2">
        <v>8</v>
      </c>
      <c r="E4" s="21" t="s">
        <v>170</v>
      </c>
      <c r="G4" s="24"/>
      <c r="H4" s="24"/>
      <c r="I4" s="24"/>
      <c r="J4" s="24"/>
    </row>
    <row r="5" spans="1:10" x14ac:dyDescent="0.35">
      <c r="A5" s="2" t="s">
        <v>150</v>
      </c>
      <c r="B5" s="2" t="s">
        <v>171</v>
      </c>
      <c r="C5" s="2">
        <v>17760</v>
      </c>
      <c r="D5" s="2">
        <v>6</v>
      </c>
      <c r="E5" s="21" t="s">
        <v>172</v>
      </c>
      <c r="G5" s="24"/>
      <c r="H5" s="24"/>
      <c r="I5" s="24"/>
      <c r="J5" s="24"/>
    </row>
    <row r="6" spans="1:10" x14ac:dyDescent="0.35">
      <c r="A6" s="2" t="s">
        <v>141</v>
      </c>
      <c r="B6" s="2" t="s">
        <v>171</v>
      </c>
      <c r="C6" s="2">
        <v>35760</v>
      </c>
      <c r="D6" s="2">
        <v>8</v>
      </c>
      <c r="E6" s="21" t="s">
        <v>173</v>
      </c>
    </row>
    <row r="7" spans="1:10" x14ac:dyDescent="0.35">
      <c r="A7" s="2" t="s">
        <v>151</v>
      </c>
      <c r="B7" s="2" t="s">
        <v>171</v>
      </c>
      <c r="C7" s="2">
        <v>53280</v>
      </c>
      <c r="D7" s="2">
        <v>9</v>
      </c>
      <c r="E7" s="21" t="s">
        <v>174</v>
      </c>
    </row>
    <row r="8" spans="1:10" x14ac:dyDescent="0.35">
      <c r="A8" s="2" t="s">
        <v>175</v>
      </c>
      <c r="B8" s="2" t="s">
        <v>168</v>
      </c>
      <c r="C8" s="2">
        <v>60</v>
      </c>
      <c r="D8" s="2">
        <v>9</v>
      </c>
      <c r="E8" s="21" t="s">
        <v>176</v>
      </c>
    </row>
    <row r="9" spans="1:10" x14ac:dyDescent="0.35">
      <c r="A9" s="2" t="s">
        <v>152</v>
      </c>
      <c r="B9" s="2" t="s">
        <v>168</v>
      </c>
      <c r="C9" s="2">
        <v>3</v>
      </c>
      <c r="D9" s="2">
        <v>3</v>
      </c>
      <c r="E9" s="21" t="s">
        <v>177</v>
      </c>
    </row>
    <row r="10" spans="1:10" x14ac:dyDescent="0.35">
      <c r="A10" s="2" t="s">
        <v>139</v>
      </c>
      <c r="B10" s="2" t="s">
        <v>168</v>
      </c>
      <c r="C10" s="2">
        <v>730</v>
      </c>
      <c r="D10" s="2">
        <v>7</v>
      </c>
      <c r="E10" s="21" t="s">
        <v>178</v>
      </c>
    </row>
    <row r="11" spans="1:10" x14ac:dyDescent="0.35">
      <c r="A11" s="2" t="s">
        <v>147</v>
      </c>
      <c r="B11" s="2" t="s">
        <v>168</v>
      </c>
      <c r="C11" s="2">
        <v>46</v>
      </c>
      <c r="D11" s="2">
        <v>8</v>
      </c>
      <c r="E11" s="21" t="s">
        <v>179</v>
      </c>
    </row>
    <row r="12" spans="1:10" x14ac:dyDescent="0.35">
      <c r="A12" s="2" t="s">
        <v>149</v>
      </c>
      <c r="B12" s="2" t="s">
        <v>168</v>
      </c>
      <c r="C12" s="2">
        <v>6</v>
      </c>
      <c r="D12" s="2">
        <v>5</v>
      </c>
      <c r="E12" s="21" t="s">
        <v>180</v>
      </c>
    </row>
    <row r="13" spans="1:10" x14ac:dyDescent="0.35">
      <c r="A13" s="2" t="s">
        <v>156</v>
      </c>
      <c r="B13" s="2" t="s">
        <v>168</v>
      </c>
      <c r="C13" s="2">
        <v>5</v>
      </c>
      <c r="D13" s="2">
        <v>3</v>
      </c>
      <c r="E13" s="21" t="s">
        <v>181</v>
      </c>
    </row>
    <row r="14" spans="1:10" x14ac:dyDescent="0.35">
      <c r="A14" s="2" t="s">
        <v>155</v>
      </c>
      <c r="B14" s="2" t="s">
        <v>171</v>
      </c>
      <c r="C14" s="2">
        <v>432</v>
      </c>
      <c r="D14" s="2">
        <v>8</v>
      </c>
      <c r="E14" s="21" t="s">
        <v>182</v>
      </c>
    </row>
    <row r="15" spans="1:10" x14ac:dyDescent="0.35">
      <c r="A15" s="2" t="s">
        <v>159</v>
      </c>
      <c r="B15" s="2" t="s">
        <v>171</v>
      </c>
      <c r="C15" s="2">
        <v>16</v>
      </c>
      <c r="D15" s="2">
        <v>14</v>
      </c>
      <c r="E15" s="21" t="s">
        <v>183</v>
      </c>
    </row>
    <row r="16" spans="1:10" x14ac:dyDescent="0.35">
      <c r="A16" s="2" t="s">
        <v>154</v>
      </c>
      <c r="B16" s="2" t="s">
        <v>171</v>
      </c>
      <c r="C16" s="2">
        <v>1200</v>
      </c>
      <c r="D16" s="2">
        <v>6</v>
      </c>
      <c r="E16" s="21" t="s">
        <v>184</v>
      </c>
    </row>
  </sheetData>
  <mergeCells count="2">
    <mergeCell ref="G1:J1"/>
    <mergeCell ref="G2:J5"/>
  </mergeCell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6E006-06AA-47D0-AF58-40E14F67E7DF}">
  <dimension ref="A1:I61"/>
  <sheetViews>
    <sheetView workbookViewId="0">
      <selection sqref="A1:H1"/>
    </sheetView>
  </sheetViews>
  <sheetFormatPr defaultRowHeight="14.5" x14ac:dyDescent="0.35"/>
  <cols>
    <col min="1" max="1" width="10.7265625" bestFit="1" customWidth="1"/>
    <col min="2" max="2" width="24.6328125" bestFit="1" customWidth="1"/>
    <col min="3" max="3" width="37" bestFit="1" customWidth="1"/>
    <col min="4" max="4" width="23.36328125" bestFit="1" customWidth="1"/>
    <col min="5" max="6" width="43.6328125" style="22" customWidth="1"/>
    <col min="7" max="7" width="38.1796875" style="22" customWidth="1"/>
    <col min="8" max="8" width="22.54296875" bestFit="1" customWidth="1"/>
    <col min="9" max="9" width="17.81640625" bestFit="1" customWidth="1"/>
  </cols>
  <sheetData>
    <row r="1" spans="1:9" x14ac:dyDescent="0.35">
      <c r="A1" s="4" t="s">
        <v>544</v>
      </c>
      <c r="B1" s="4" t="s">
        <v>545</v>
      </c>
      <c r="C1" s="4" t="s">
        <v>546</v>
      </c>
      <c r="D1" s="4" t="s">
        <v>547</v>
      </c>
      <c r="E1" s="20" t="s">
        <v>548</v>
      </c>
      <c r="F1" s="20" t="s">
        <v>549</v>
      </c>
      <c r="G1" s="20" t="s">
        <v>550</v>
      </c>
      <c r="H1" s="4" t="s">
        <v>551</v>
      </c>
      <c r="I1" s="4" t="s">
        <v>552</v>
      </c>
    </row>
    <row r="2" spans="1:9" ht="26.5" x14ac:dyDescent="0.35">
      <c r="A2" s="2">
        <v>1</v>
      </c>
      <c r="B2" s="2" t="s">
        <v>553</v>
      </c>
      <c r="C2" s="2" t="s">
        <v>554</v>
      </c>
      <c r="D2" s="2" t="s">
        <v>555</v>
      </c>
      <c r="E2" s="21" t="s">
        <v>556</v>
      </c>
      <c r="F2" s="21" t="s">
        <v>557</v>
      </c>
      <c r="G2" s="21" t="s">
        <v>558</v>
      </c>
      <c r="H2" s="2" t="s">
        <v>559</v>
      </c>
      <c r="I2" s="2" t="s">
        <v>560</v>
      </c>
    </row>
    <row r="3" spans="1:9" ht="26.5" x14ac:dyDescent="0.35">
      <c r="A3" s="2">
        <v>2</v>
      </c>
      <c r="B3" s="2" t="s">
        <v>561</v>
      </c>
      <c r="C3" s="2" t="s">
        <v>562</v>
      </c>
      <c r="D3" s="2" t="s">
        <v>555</v>
      </c>
      <c r="E3" s="21" t="s">
        <v>563</v>
      </c>
      <c r="F3" s="21" t="s">
        <v>564</v>
      </c>
      <c r="G3" s="21" t="s">
        <v>565</v>
      </c>
      <c r="H3" s="2" t="s">
        <v>566</v>
      </c>
      <c r="I3" s="2" t="s">
        <v>560</v>
      </c>
    </row>
    <row r="4" spans="1:9" ht="39.5" x14ac:dyDescent="0.35">
      <c r="A4" s="2">
        <v>3</v>
      </c>
      <c r="B4" s="2" t="s">
        <v>567</v>
      </c>
      <c r="C4" s="2" t="s">
        <v>568</v>
      </c>
      <c r="D4" s="2" t="s">
        <v>555</v>
      </c>
      <c r="E4" s="21" t="s">
        <v>569</v>
      </c>
      <c r="F4" s="21" t="s">
        <v>570</v>
      </c>
      <c r="G4" s="21" t="s">
        <v>571</v>
      </c>
      <c r="H4" s="2" t="s">
        <v>572</v>
      </c>
      <c r="I4" s="2" t="s">
        <v>573</v>
      </c>
    </row>
    <row r="5" spans="1:9" ht="26.5" x14ac:dyDescent="0.35">
      <c r="A5" s="2">
        <v>4</v>
      </c>
      <c r="B5" s="2" t="s">
        <v>574</v>
      </c>
      <c r="C5" s="2" t="s">
        <v>575</v>
      </c>
      <c r="D5" s="2" t="s">
        <v>576</v>
      </c>
      <c r="E5" s="21" t="s">
        <v>577</v>
      </c>
      <c r="F5" s="21" t="s">
        <v>578</v>
      </c>
      <c r="G5" s="21" t="s">
        <v>579</v>
      </c>
      <c r="H5" s="2" t="s">
        <v>559</v>
      </c>
      <c r="I5" s="2" t="s">
        <v>560</v>
      </c>
    </row>
    <row r="6" spans="1:9" ht="26.5" x14ac:dyDescent="0.35">
      <c r="A6" s="2">
        <v>5</v>
      </c>
      <c r="B6" s="2" t="s">
        <v>580</v>
      </c>
      <c r="C6" s="2" t="s">
        <v>581</v>
      </c>
      <c r="D6" s="2" t="s">
        <v>582</v>
      </c>
      <c r="E6" s="21" t="s">
        <v>583</v>
      </c>
      <c r="F6" s="21" t="s">
        <v>584</v>
      </c>
      <c r="G6" s="21" t="s">
        <v>585</v>
      </c>
      <c r="H6" s="2" t="s">
        <v>586</v>
      </c>
      <c r="I6" s="2" t="s">
        <v>560</v>
      </c>
    </row>
    <row r="7" spans="1:9" x14ac:dyDescent="0.35">
      <c r="A7" s="2">
        <v>6</v>
      </c>
      <c r="B7" s="2" t="s">
        <v>587</v>
      </c>
      <c r="C7" s="2" t="s">
        <v>588</v>
      </c>
      <c r="D7" s="2" t="s">
        <v>589</v>
      </c>
      <c r="E7" s="21" t="s">
        <v>590</v>
      </c>
      <c r="F7" s="21" t="s">
        <v>591</v>
      </c>
      <c r="G7" s="21" t="s">
        <v>592</v>
      </c>
      <c r="H7" s="2" t="s">
        <v>593</v>
      </c>
      <c r="I7" s="2" t="s">
        <v>594</v>
      </c>
    </row>
    <row r="8" spans="1:9" x14ac:dyDescent="0.35">
      <c r="A8" s="2">
        <v>7</v>
      </c>
      <c r="B8" s="2" t="s">
        <v>595</v>
      </c>
      <c r="C8" s="2" t="s">
        <v>596</v>
      </c>
      <c r="D8" s="2" t="s">
        <v>555</v>
      </c>
      <c r="E8" s="21" t="s">
        <v>597</v>
      </c>
      <c r="F8" s="21" t="s">
        <v>598</v>
      </c>
      <c r="G8" s="21" t="s">
        <v>599</v>
      </c>
      <c r="H8" s="2" t="s">
        <v>600</v>
      </c>
      <c r="I8" s="2" t="s">
        <v>601</v>
      </c>
    </row>
    <row r="9" spans="1:9" x14ac:dyDescent="0.35">
      <c r="A9" s="2">
        <v>8</v>
      </c>
      <c r="B9" s="2" t="s">
        <v>602</v>
      </c>
      <c r="C9" s="2" t="s">
        <v>603</v>
      </c>
      <c r="D9" s="2" t="s">
        <v>555</v>
      </c>
      <c r="E9" s="21" t="s">
        <v>604</v>
      </c>
      <c r="F9" s="21" t="s">
        <v>605</v>
      </c>
      <c r="G9" s="21" t="s">
        <v>606</v>
      </c>
      <c r="H9" s="2" t="s">
        <v>559</v>
      </c>
      <c r="I9" s="2" t="s">
        <v>573</v>
      </c>
    </row>
    <row r="10" spans="1:9" ht="26.5" x14ac:dyDescent="0.35">
      <c r="A10" s="2">
        <v>9</v>
      </c>
      <c r="B10" s="2" t="s">
        <v>42</v>
      </c>
      <c r="C10" s="2" t="s">
        <v>607</v>
      </c>
      <c r="D10" s="2" t="s">
        <v>555</v>
      </c>
      <c r="E10" s="21" t="s">
        <v>608</v>
      </c>
      <c r="F10" s="21" t="s">
        <v>609</v>
      </c>
      <c r="G10" s="21" t="s">
        <v>610</v>
      </c>
      <c r="H10" s="2" t="s">
        <v>611</v>
      </c>
      <c r="I10" s="2" t="s">
        <v>612</v>
      </c>
    </row>
    <row r="11" spans="1:9" ht="26.5" x14ac:dyDescent="0.35">
      <c r="A11" s="2">
        <v>10</v>
      </c>
      <c r="B11" s="2" t="s">
        <v>613</v>
      </c>
      <c r="C11" s="2" t="s">
        <v>614</v>
      </c>
      <c r="D11" s="2" t="s">
        <v>555</v>
      </c>
      <c r="E11" s="21" t="s">
        <v>615</v>
      </c>
      <c r="F11" s="21" t="s">
        <v>616</v>
      </c>
      <c r="G11" s="21" t="s">
        <v>617</v>
      </c>
      <c r="H11" s="2" t="s">
        <v>611</v>
      </c>
      <c r="I11" s="2" t="s">
        <v>612</v>
      </c>
    </row>
    <row r="12" spans="1:9" ht="26.5" x14ac:dyDescent="0.35">
      <c r="A12" s="2">
        <v>11</v>
      </c>
      <c r="B12" s="2" t="s">
        <v>618</v>
      </c>
      <c r="C12" s="2" t="s">
        <v>619</v>
      </c>
      <c r="D12" s="2" t="s">
        <v>555</v>
      </c>
      <c r="E12" s="21" t="s">
        <v>620</v>
      </c>
      <c r="F12" s="21" t="s">
        <v>621</v>
      </c>
      <c r="G12" s="21" t="s">
        <v>622</v>
      </c>
      <c r="H12" s="2" t="s">
        <v>600</v>
      </c>
      <c r="I12" s="2" t="s">
        <v>601</v>
      </c>
    </row>
    <row r="13" spans="1:9" x14ac:dyDescent="0.35">
      <c r="A13" s="2">
        <v>12</v>
      </c>
      <c r="B13" s="2" t="s">
        <v>623</v>
      </c>
      <c r="C13" s="2" t="s">
        <v>624</v>
      </c>
      <c r="D13" s="2" t="s">
        <v>555</v>
      </c>
      <c r="E13" s="21" t="s">
        <v>625</v>
      </c>
      <c r="F13" s="21" t="s">
        <v>626</v>
      </c>
      <c r="G13" s="21" t="s">
        <v>627</v>
      </c>
      <c r="H13" s="2" t="s">
        <v>559</v>
      </c>
      <c r="I13" s="2" t="s">
        <v>573</v>
      </c>
    </row>
    <row r="14" spans="1:9" x14ac:dyDescent="0.35">
      <c r="A14" s="2">
        <v>13</v>
      </c>
      <c r="B14" s="2" t="s">
        <v>628</v>
      </c>
      <c r="C14" s="2" t="s">
        <v>629</v>
      </c>
      <c r="D14" s="2" t="s">
        <v>630</v>
      </c>
      <c r="E14" s="21" t="s">
        <v>631</v>
      </c>
      <c r="F14" s="21" t="s">
        <v>632</v>
      </c>
      <c r="G14" s="21" t="s">
        <v>633</v>
      </c>
      <c r="H14" s="2" t="s">
        <v>566</v>
      </c>
      <c r="I14" s="2" t="s">
        <v>560</v>
      </c>
    </row>
    <row r="15" spans="1:9" x14ac:dyDescent="0.35">
      <c r="A15" s="2">
        <v>14</v>
      </c>
      <c r="B15" s="2" t="s">
        <v>634</v>
      </c>
      <c r="C15" s="2" t="s">
        <v>635</v>
      </c>
      <c r="D15" s="2" t="s">
        <v>582</v>
      </c>
      <c r="E15" s="21" t="s">
        <v>636</v>
      </c>
      <c r="F15" s="21" t="s">
        <v>637</v>
      </c>
      <c r="G15" s="21" t="s">
        <v>638</v>
      </c>
      <c r="H15" s="2" t="s">
        <v>559</v>
      </c>
      <c r="I15" s="2" t="s">
        <v>639</v>
      </c>
    </row>
    <row r="16" spans="1:9" ht="26.5" x14ac:dyDescent="0.35">
      <c r="A16" s="2">
        <v>15</v>
      </c>
      <c r="B16" s="2" t="s">
        <v>640</v>
      </c>
      <c r="C16" s="2" t="s">
        <v>641</v>
      </c>
      <c r="D16" s="2" t="s">
        <v>630</v>
      </c>
      <c r="E16" s="21" t="s">
        <v>642</v>
      </c>
      <c r="F16" s="21" t="s">
        <v>643</v>
      </c>
      <c r="G16" s="21" t="s">
        <v>644</v>
      </c>
      <c r="H16" s="2" t="s">
        <v>645</v>
      </c>
      <c r="I16" s="2" t="s">
        <v>646</v>
      </c>
    </row>
    <row r="17" spans="1:9" x14ac:dyDescent="0.35">
      <c r="A17" s="2">
        <v>16</v>
      </c>
      <c r="B17" s="2" t="s">
        <v>647</v>
      </c>
      <c r="C17" s="2" t="s">
        <v>648</v>
      </c>
      <c r="D17" s="2" t="s">
        <v>630</v>
      </c>
      <c r="E17" s="21" t="s">
        <v>649</v>
      </c>
      <c r="F17" s="21" t="s">
        <v>650</v>
      </c>
      <c r="G17" s="21" t="s">
        <v>651</v>
      </c>
      <c r="H17" s="2" t="s">
        <v>647</v>
      </c>
      <c r="I17" s="2" t="s">
        <v>652</v>
      </c>
    </row>
    <row r="18" spans="1:9" x14ac:dyDescent="0.35">
      <c r="A18" s="2">
        <v>17</v>
      </c>
      <c r="B18" s="2" t="s">
        <v>653</v>
      </c>
      <c r="C18" s="2" t="s">
        <v>654</v>
      </c>
      <c r="D18" s="2" t="s">
        <v>555</v>
      </c>
      <c r="E18" s="21" t="s">
        <v>655</v>
      </c>
      <c r="F18" s="21" t="s">
        <v>656</v>
      </c>
      <c r="G18" s="21" t="s">
        <v>657</v>
      </c>
      <c r="H18" s="2" t="s">
        <v>566</v>
      </c>
      <c r="I18" s="2" t="s">
        <v>560</v>
      </c>
    </row>
    <row r="19" spans="1:9" x14ac:dyDescent="0.35">
      <c r="A19" s="2">
        <v>18</v>
      </c>
      <c r="B19" s="2" t="s">
        <v>147</v>
      </c>
      <c r="C19" s="2" t="s">
        <v>658</v>
      </c>
      <c r="D19" s="2" t="s">
        <v>630</v>
      </c>
      <c r="E19" s="21" t="s">
        <v>659</v>
      </c>
      <c r="F19" s="21" t="s">
        <v>660</v>
      </c>
      <c r="G19" s="21" t="s">
        <v>661</v>
      </c>
      <c r="H19" s="2" t="s">
        <v>566</v>
      </c>
      <c r="I19" s="2" t="s">
        <v>560</v>
      </c>
    </row>
    <row r="20" spans="1:9" x14ac:dyDescent="0.35">
      <c r="A20" s="2">
        <v>19</v>
      </c>
      <c r="B20" s="2" t="s">
        <v>145</v>
      </c>
      <c r="C20" s="2" t="s">
        <v>662</v>
      </c>
      <c r="D20" s="2" t="s">
        <v>630</v>
      </c>
      <c r="E20" s="21" t="s">
        <v>663</v>
      </c>
      <c r="F20" s="21" t="s">
        <v>664</v>
      </c>
      <c r="G20" s="21" t="s">
        <v>665</v>
      </c>
      <c r="H20" s="2" t="s">
        <v>559</v>
      </c>
      <c r="I20" s="2" t="s">
        <v>666</v>
      </c>
    </row>
    <row r="21" spans="1:9" x14ac:dyDescent="0.35">
      <c r="A21" s="2">
        <v>20</v>
      </c>
      <c r="B21" s="2" t="s">
        <v>667</v>
      </c>
      <c r="C21" s="2" t="s">
        <v>668</v>
      </c>
      <c r="D21" s="2" t="s">
        <v>630</v>
      </c>
      <c r="E21" s="21" t="s">
        <v>669</v>
      </c>
      <c r="F21" s="21" t="s">
        <v>670</v>
      </c>
      <c r="G21" s="21" t="s">
        <v>671</v>
      </c>
      <c r="H21" s="2" t="s">
        <v>559</v>
      </c>
      <c r="I21" s="2" t="s">
        <v>573</v>
      </c>
    </row>
    <row r="22" spans="1:9" x14ac:dyDescent="0.35">
      <c r="A22" s="2">
        <v>21</v>
      </c>
      <c r="B22" s="2" t="s">
        <v>672</v>
      </c>
      <c r="C22" s="2" t="s">
        <v>673</v>
      </c>
      <c r="D22" s="2" t="s">
        <v>630</v>
      </c>
      <c r="E22" s="21" t="s">
        <v>674</v>
      </c>
      <c r="F22" s="21" t="s">
        <v>675</v>
      </c>
      <c r="G22" s="21" t="s">
        <v>676</v>
      </c>
      <c r="H22" s="2" t="s">
        <v>559</v>
      </c>
      <c r="I22" s="2" t="s">
        <v>677</v>
      </c>
    </row>
    <row r="23" spans="1:9" x14ac:dyDescent="0.35">
      <c r="A23" s="2">
        <v>22</v>
      </c>
      <c r="B23" s="2" t="s">
        <v>678</v>
      </c>
      <c r="C23" s="2" t="s">
        <v>679</v>
      </c>
      <c r="D23" s="2" t="s">
        <v>589</v>
      </c>
      <c r="E23" s="21" t="s">
        <v>680</v>
      </c>
      <c r="F23" s="21" t="s">
        <v>681</v>
      </c>
      <c r="G23" s="21" t="s">
        <v>682</v>
      </c>
      <c r="H23" s="2" t="s">
        <v>559</v>
      </c>
      <c r="I23" s="2" t="s">
        <v>573</v>
      </c>
    </row>
    <row r="24" spans="1:9" x14ac:dyDescent="0.35">
      <c r="A24" s="2">
        <v>23</v>
      </c>
      <c r="B24" s="2" t="s">
        <v>683</v>
      </c>
      <c r="C24" s="2" t="s">
        <v>684</v>
      </c>
      <c r="D24" s="2" t="s">
        <v>589</v>
      </c>
      <c r="E24" s="21" t="s">
        <v>685</v>
      </c>
      <c r="F24" s="21" t="s">
        <v>686</v>
      </c>
      <c r="G24" s="21" t="s">
        <v>687</v>
      </c>
      <c r="H24" s="2" t="s">
        <v>688</v>
      </c>
      <c r="I24" s="2" t="s">
        <v>594</v>
      </c>
    </row>
    <row r="25" spans="1:9" x14ac:dyDescent="0.35">
      <c r="A25" s="2">
        <v>24</v>
      </c>
      <c r="B25" s="2" t="s">
        <v>689</v>
      </c>
      <c r="C25" s="2" t="s">
        <v>46</v>
      </c>
      <c r="D25" s="2" t="s">
        <v>555</v>
      </c>
      <c r="E25" s="21" t="s">
        <v>690</v>
      </c>
      <c r="F25" s="21" t="s">
        <v>691</v>
      </c>
      <c r="G25" s="21" t="s">
        <v>692</v>
      </c>
      <c r="H25" s="2" t="s">
        <v>693</v>
      </c>
      <c r="I25" s="2" t="s">
        <v>612</v>
      </c>
    </row>
    <row r="26" spans="1:9" x14ac:dyDescent="0.35">
      <c r="A26" s="2">
        <v>25</v>
      </c>
      <c r="B26" s="2" t="s">
        <v>694</v>
      </c>
      <c r="C26" s="2" t="s">
        <v>695</v>
      </c>
      <c r="D26" s="2" t="s">
        <v>589</v>
      </c>
      <c r="E26" s="21" t="s">
        <v>696</v>
      </c>
      <c r="F26" s="21" t="s">
        <v>697</v>
      </c>
      <c r="G26" s="21" t="s">
        <v>698</v>
      </c>
      <c r="H26" s="2" t="s">
        <v>688</v>
      </c>
      <c r="I26" s="2" t="s">
        <v>594</v>
      </c>
    </row>
    <row r="27" spans="1:9" ht="26.5" x14ac:dyDescent="0.35">
      <c r="A27" s="2">
        <v>26</v>
      </c>
      <c r="B27" s="2" t="s">
        <v>699</v>
      </c>
      <c r="C27" s="2" t="s">
        <v>700</v>
      </c>
      <c r="D27" s="2" t="s">
        <v>582</v>
      </c>
      <c r="E27" s="21" t="s">
        <v>701</v>
      </c>
      <c r="F27" s="21" t="s">
        <v>702</v>
      </c>
      <c r="G27" s="21" t="s">
        <v>703</v>
      </c>
      <c r="H27" s="2" t="s">
        <v>688</v>
      </c>
      <c r="I27" s="2" t="s">
        <v>594</v>
      </c>
    </row>
    <row r="28" spans="1:9" x14ac:dyDescent="0.35">
      <c r="A28" s="2">
        <v>27</v>
      </c>
      <c r="B28" s="2" t="s">
        <v>159</v>
      </c>
      <c r="C28" s="2" t="s">
        <v>704</v>
      </c>
      <c r="D28" s="2" t="s">
        <v>705</v>
      </c>
      <c r="E28" s="21" t="s">
        <v>706</v>
      </c>
      <c r="F28" s="21" t="s">
        <v>707</v>
      </c>
      <c r="G28" s="21" t="s">
        <v>708</v>
      </c>
      <c r="H28" s="2" t="s">
        <v>709</v>
      </c>
      <c r="I28" s="2" t="s">
        <v>710</v>
      </c>
    </row>
    <row r="29" spans="1:9" x14ac:dyDescent="0.35">
      <c r="A29" s="2">
        <v>28</v>
      </c>
      <c r="B29" s="2" t="s">
        <v>150</v>
      </c>
      <c r="C29" s="2" t="s">
        <v>711</v>
      </c>
      <c r="D29" s="2" t="s">
        <v>555</v>
      </c>
      <c r="E29" s="21" t="s">
        <v>712</v>
      </c>
      <c r="F29" s="21" t="s">
        <v>713</v>
      </c>
      <c r="G29" s="21" t="s">
        <v>714</v>
      </c>
      <c r="H29" s="2" t="s">
        <v>566</v>
      </c>
      <c r="I29" s="2" t="s">
        <v>560</v>
      </c>
    </row>
    <row r="30" spans="1:9" x14ac:dyDescent="0.35">
      <c r="A30" s="2">
        <v>29</v>
      </c>
      <c r="B30" s="2" t="s">
        <v>151</v>
      </c>
      <c r="C30" s="2" t="s">
        <v>715</v>
      </c>
      <c r="D30" s="2" t="s">
        <v>576</v>
      </c>
      <c r="E30" s="21" t="s">
        <v>716</v>
      </c>
      <c r="F30" s="21" t="s">
        <v>717</v>
      </c>
      <c r="G30" s="21" t="s">
        <v>718</v>
      </c>
      <c r="H30" s="2" t="s">
        <v>719</v>
      </c>
      <c r="I30" s="2" t="s">
        <v>573</v>
      </c>
    </row>
    <row r="31" spans="1:9" x14ac:dyDescent="0.35">
      <c r="A31" s="2">
        <v>30</v>
      </c>
      <c r="B31" s="2" t="s">
        <v>154</v>
      </c>
      <c r="C31" s="2" t="s">
        <v>720</v>
      </c>
      <c r="D31" s="2" t="s">
        <v>721</v>
      </c>
      <c r="E31" s="21" t="s">
        <v>722</v>
      </c>
      <c r="F31" s="21" t="s">
        <v>723</v>
      </c>
      <c r="G31" s="21" t="s">
        <v>724</v>
      </c>
      <c r="H31" s="2" t="s">
        <v>725</v>
      </c>
      <c r="I31" s="2" t="s">
        <v>726</v>
      </c>
    </row>
    <row r="32" spans="1:9" x14ac:dyDescent="0.35">
      <c r="A32" s="2">
        <v>31</v>
      </c>
      <c r="B32" s="2" t="s">
        <v>141</v>
      </c>
      <c r="C32" s="2" t="s">
        <v>727</v>
      </c>
      <c r="D32" s="2" t="s">
        <v>555</v>
      </c>
      <c r="E32" s="21" t="s">
        <v>728</v>
      </c>
      <c r="F32" s="21" t="s">
        <v>729</v>
      </c>
      <c r="G32" s="21" t="s">
        <v>730</v>
      </c>
      <c r="H32" s="2" t="s">
        <v>566</v>
      </c>
      <c r="I32" s="2" t="s">
        <v>731</v>
      </c>
    </row>
    <row r="33" spans="1:9" x14ac:dyDescent="0.35">
      <c r="A33" s="2">
        <v>32</v>
      </c>
      <c r="B33" s="2" t="s">
        <v>155</v>
      </c>
      <c r="C33" s="2" t="s">
        <v>732</v>
      </c>
      <c r="D33" s="2" t="s">
        <v>733</v>
      </c>
      <c r="E33" s="21" t="s">
        <v>734</v>
      </c>
      <c r="F33" s="21" t="s">
        <v>735</v>
      </c>
      <c r="G33" s="21" t="s">
        <v>736</v>
      </c>
      <c r="H33" s="2" t="s">
        <v>737</v>
      </c>
      <c r="I33" s="2" t="s">
        <v>738</v>
      </c>
    </row>
    <row r="34" spans="1:9" x14ac:dyDescent="0.35">
      <c r="A34" s="2">
        <v>33</v>
      </c>
      <c r="B34" s="2" t="s">
        <v>739</v>
      </c>
      <c r="C34" s="2" t="s">
        <v>740</v>
      </c>
      <c r="D34" s="2" t="s">
        <v>721</v>
      </c>
      <c r="E34" s="21" t="s">
        <v>741</v>
      </c>
      <c r="F34" s="21" t="s">
        <v>742</v>
      </c>
      <c r="G34" s="21" t="s">
        <v>743</v>
      </c>
      <c r="H34" s="2" t="s">
        <v>744</v>
      </c>
      <c r="I34" s="2" t="s">
        <v>652</v>
      </c>
    </row>
    <row r="35" spans="1:9" x14ac:dyDescent="0.35">
      <c r="A35" s="2">
        <v>34</v>
      </c>
      <c r="B35" s="2" t="s">
        <v>745</v>
      </c>
      <c r="C35" s="2" t="s">
        <v>746</v>
      </c>
      <c r="D35" s="2" t="s">
        <v>576</v>
      </c>
      <c r="E35" s="21" t="s">
        <v>747</v>
      </c>
      <c r="F35" s="21" t="s">
        <v>748</v>
      </c>
      <c r="G35" s="21" t="s">
        <v>749</v>
      </c>
      <c r="H35" s="2" t="s">
        <v>719</v>
      </c>
      <c r="I35" s="2" t="s">
        <v>573</v>
      </c>
    </row>
    <row r="36" spans="1:9" x14ac:dyDescent="0.35">
      <c r="A36" s="2">
        <v>35</v>
      </c>
      <c r="B36" s="2" t="s">
        <v>10</v>
      </c>
      <c r="C36" s="2" t="s">
        <v>750</v>
      </c>
      <c r="D36" s="2" t="s">
        <v>576</v>
      </c>
      <c r="E36" s="21" t="s">
        <v>751</v>
      </c>
      <c r="F36" s="21" t="s">
        <v>752</v>
      </c>
      <c r="G36" s="21" t="s">
        <v>753</v>
      </c>
      <c r="H36" s="2" t="s">
        <v>559</v>
      </c>
      <c r="I36" s="2" t="s">
        <v>573</v>
      </c>
    </row>
    <row r="37" spans="1:9" ht="26.5" x14ac:dyDescent="0.35">
      <c r="A37" s="2">
        <v>36</v>
      </c>
      <c r="B37" s="2" t="s">
        <v>754</v>
      </c>
      <c r="C37" s="2" t="s">
        <v>755</v>
      </c>
      <c r="D37" s="2" t="s">
        <v>582</v>
      </c>
      <c r="E37" s="21" t="s">
        <v>756</v>
      </c>
      <c r="F37" s="21" t="s">
        <v>584</v>
      </c>
      <c r="G37" s="21" t="s">
        <v>757</v>
      </c>
      <c r="H37" s="2" t="s">
        <v>600</v>
      </c>
      <c r="I37" s="2" t="s">
        <v>573</v>
      </c>
    </row>
    <row r="38" spans="1:9" x14ac:dyDescent="0.35">
      <c r="A38" s="2">
        <v>37</v>
      </c>
      <c r="B38" s="2" t="s">
        <v>99</v>
      </c>
      <c r="C38" s="2" t="s">
        <v>758</v>
      </c>
      <c r="D38" s="2" t="s">
        <v>721</v>
      </c>
      <c r="E38" s="21" t="s">
        <v>759</v>
      </c>
      <c r="F38" s="21" t="s">
        <v>760</v>
      </c>
      <c r="G38" s="21" t="s">
        <v>761</v>
      </c>
      <c r="H38" s="2" t="s">
        <v>762</v>
      </c>
      <c r="I38" s="2" t="s">
        <v>726</v>
      </c>
    </row>
    <row r="39" spans="1:9" x14ac:dyDescent="0.35">
      <c r="A39" s="2">
        <v>38</v>
      </c>
      <c r="B39" s="2" t="s">
        <v>336</v>
      </c>
      <c r="C39" s="2" t="s">
        <v>763</v>
      </c>
      <c r="D39" s="2" t="s">
        <v>630</v>
      </c>
      <c r="E39" s="21" t="s">
        <v>764</v>
      </c>
      <c r="F39" s="21" t="s">
        <v>765</v>
      </c>
      <c r="G39" s="21" t="s">
        <v>766</v>
      </c>
      <c r="H39" s="2" t="s">
        <v>336</v>
      </c>
      <c r="I39" s="2" t="s">
        <v>666</v>
      </c>
    </row>
    <row r="40" spans="1:9" ht="26.5" x14ac:dyDescent="0.35">
      <c r="A40" s="2">
        <v>39</v>
      </c>
      <c r="B40" s="2" t="s">
        <v>38</v>
      </c>
      <c r="C40" s="2" t="s">
        <v>767</v>
      </c>
      <c r="D40" s="2" t="s">
        <v>555</v>
      </c>
      <c r="E40" s="21" t="s">
        <v>768</v>
      </c>
      <c r="F40" s="21" t="s">
        <v>769</v>
      </c>
      <c r="G40" s="21" t="s">
        <v>770</v>
      </c>
      <c r="H40" s="2" t="s">
        <v>600</v>
      </c>
      <c r="I40" s="2" t="s">
        <v>601</v>
      </c>
    </row>
    <row r="41" spans="1:9" x14ac:dyDescent="0.35">
      <c r="A41" s="2">
        <v>40</v>
      </c>
      <c r="B41" s="2" t="s">
        <v>771</v>
      </c>
      <c r="C41" s="2" t="s">
        <v>772</v>
      </c>
      <c r="D41" s="2" t="s">
        <v>733</v>
      </c>
      <c r="E41" s="21" t="s">
        <v>773</v>
      </c>
      <c r="F41" s="21" t="s">
        <v>774</v>
      </c>
      <c r="G41" s="21" t="s">
        <v>775</v>
      </c>
      <c r="H41" s="2" t="s">
        <v>776</v>
      </c>
      <c r="I41" s="2" t="s">
        <v>738</v>
      </c>
    </row>
    <row r="42" spans="1:9" ht="26.5" x14ac:dyDescent="0.35">
      <c r="A42" s="2">
        <v>41</v>
      </c>
      <c r="B42" s="2" t="s">
        <v>9</v>
      </c>
      <c r="C42" s="2" t="s">
        <v>90</v>
      </c>
      <c r="D42" s="2" t="s">
        <v>576</v>
      </c>
      <c r="E42" s="21" t="s">
        <v>777</v>
      </c>
      <c r="F42" s="21" t="s">
        <v>778</v>
      </c>
      <c r="G42" s="21" t="s">
        <v>779</v>
      </c>
      <c r="H42" s="2" t="s">
        <v>559</v>
      </c>
      <c r="I42" s="2" t="s">
        <v>573</v>
      </c>
    </row>
    <row r="43" spans="1:9" ht="26.5" x14ac:dyDescent="0.35">
      <c r="A43" s="2">
        <v>42</v>
      </c>
      <c r="B43" s="2" t="s">
        <v>780</v>
      </c>
      <c r="C43" s="2" t="s">
        <v>781</v>
      </c>
      <c r="D43" s="2" t="s">
        <v>721</v>
      </c>
      <c r="E43" s="21" t="s">
        <v>782</v>
      </c>
      <c r="F43" s="21" t="s">
        <v>783</v>
      </c>
      <c r="G43" s="21" t="s">
        <v>784</v>
      </c>
      <c r="H43" s="2" t="s">
        <v>785</v>
      </c>
      <c r="I43" s="2" t="s">
        <v>652</v>
      </c>
    </row>
    <row r="44" spans="1:9" x14ac:dyDescent="0.35">
      <c r="A44" s="2">
        <v>43</v>
      </c>
      <c r="B44" s="2" t="s">
        <v>52</v>
      </c>
      <c r="C44" s="2" t="s">
        <v>786</v>
      </c>
      <c r="D44" s="2" t="s">
        <v>555</v>
      </c>
      <c r="E44" s="21" t="s">
        <v>787</v>
      </c>
      <c r="F44" s="21" t="s">
        <v>788</v>
      </c>
      <c r="G44" s="21" t="s">
        <v>789</v>
      </c>
      <c r="H44" s="2" t="s">
        <v>611</v>
      </c>
      <c r="I44" s="2" t="s">
        <v>612</v>
      </c>
    </row>
    <row r="45" spans="1:9" x14ac:dyDescent="0.35">
      <c r="A45" s="2">
        <v>44</v>
      </c>
      <c r="B45" s="2" t="s">
        <v>47</v>
      </c>
      <c r="C45" s="2" t="s">
        <v>790</v>
      </c>
      <c r="D45" s="2" t="s">
        <v>555</v>
      </c>
      <c r="E45" s="21" t="s">
        <v>791</v>
      </c>
      <c r="F45" s="21" t="s">
        <v>792</v>
      </c>
      <c r="G45" s="21" t="s">
        <v>793</v>
      </c>
      <c r="H45" s="2" t="s">
        <v>611</v>
      </c>
      <c r="I45" s="2" t="s">
        <v>612</v>
      </c>
    </row>
    <row r="46" spans="1:9" x14ac:dyDescent="0.35">
      <c r="A46" s="2">
        <v>45</v>
      </c>
      <c r="B46" s="2" t="s">
        <v>794</v>
      </c>
      <c r="C46" s="2" t="s">
        <v>795</v>
      </c>
      <c r="D46" s="2" t="s">
        <v>630</v>
      </c>
      <c r="E46" s="21" t="s">
        <v>796</v>
      </c>
      <c r="F46" s="21" t="s">
        <v>797</v>
      </c>
      <c r="G46" s="21" t="s">
        <v>798</v>
      </c>
      <c r="H46" s="2" t="s">
        <v>799</v>
      </c>
      <c r="I46" s="2" t="s">
        <v>800</v>
      </c>
    </row>
    <row r="47" spans="1:9" x14ac:dyDescent="0.35">
      <c r="A47" s="2">
        <v>46</v>
      </c>
      <c r="B47" s="2" t="s">
        <v>801</v>
      </c>
      <c r="C47" s="2" t="s">
        <v>802</v>
      </c>
      <c r="D47" s="2" t="s">
        <v>630</v>
      </c>
      <c r="E47" s="21" t="s">
        <v>803</v>
      </c>
      <c r="F47" s="21" t="s">
        <v>804</v>
      </c>
      <c r="G47" s="21" t="s">
        <v>805</v>
      </c>
      <c r="H47" s="2" t="s">
        <v>799</v>
      </c>
      <c r="I47" s="2" t="s">
        <v>806</v>
      </c>
    </row>
    <row r="48" spans="1:9" x14ac:dyDescent="0.35">
      <c r="A48" s="2">
        <v>47</v>
      </c>
      <c r="B48" s="2" t="s">
        <v>807</v>
      </c>
      <c r="C48" s="2" t="s">
        <v>808</v>
      </c>
      <c r="D48" s="2" t="s">
        <v>582</v>
      </c>
      <c r="E48" s="21" t="s">
        <v>809</v>
      </c>
      <c r="F48" s="21" t="s">
        <v>810</v>
      </c>
      <c r="G48" s="21" t="s">
        <v>811</v>
      </c>
      <c r="H48" s="2" t="s">
        <v>559</v>
      </c>
      <c r="I48" s="2" t="s">
        <v>639</v>
      </c>
    </row>
    <row r="49" spans="1:9" ht="26.5" x14ac:dyDescent="0.35">
      <c r="A49" s="2">
        <v>48</v>
      </c>
      <c r="B49" s="2" t="s">
        <v>812</v>
      </c>
      <c r="C49" s="2" t="s">
        <v>813</v>
      </c>
      <c r="D49" s="2" t="s">
        <v>705</v>
      </c>
      <c r="E49" s="21" t="s">
        <v>814</v>
      </c>
      <c r="F49" s="21" t="s">
        <v>815</v>
      </c>
      <c r="G49" s="21" t="s">
        <v>816</v>
      </c>
      <c r="H49" s="2" t="s">
        <v>572</v>
      </c>
      <c r="I49" s="2" t="s">
        <v>710</v>
      </c>
    </row>
    <row r="50" spans="1:9" x14ac:dyDescent="0.35">
      <c r="A50" s="2">
        <v>49</v>
      </c>
      <c r="B50" s="2" t="s">
        <v>817</v>
      </c>
      <c r="C50" s="2" t="s">
        <v>818</v>
      </c>
      <c r="D50" s="2" t="s">
        <v>705</v>
      </c>
      <c r="E50" s="21" t="s">
        <v>819</v>
      </c>
      <c r="F50" s="21" t="s">
        <v>820</v>
      </c>
      <c r="G50" s="21" t="s">
        <v>821</v>
      </c>
      <c r="H50" s="2" t="s">
        <v>600</v>
      </c>
      <c r="I50" s="2" t="s">
        <v>573</v>
      </c>
    </row>
    <row r="51" spans="1:9" x14ac:dyDescent="0.35">
      <c r="A51" s="2">
        <v>50</v>
      </c>
      <c r="B51" s="2" t="s">
        <v>106</v>
      </c>
      <c r="C51" s="2" t="s">
        <v>822</v>
      </c>
      <c r="D51" s="2" t="s">
        <v>733</v>
      </c>
      <c r="E51" s="21" t="s">
        <v>823</v>
      </c>
      <c r="F51" s="21" t="s">
        <v>824</v>
      </c>
      <c r="G51" s="21" t="s">
        <v>825</v>
      </c>
      <c r="H51" s="2" t="s">
        <v>826</v>
      </c>
      <c r="I51" s="2" t="s">
        <v>738</v>
      </c>
    </row>
    <row r="52" spans="1:9" x14ac:dyDescent="0.35">
      <c r="A52" s="2">
        <v>51</v>
      </c>
      <c r="B52" s="2" t="s">
        <v>827</v>
      </c>
      <c r="C52" s="2" t="s">
        <v>828</v>
      </c>
      <c r="D52" s="2" t="s">
        <v>555</v>
      </c>
      <c r="E52" s="21" t="s">
        <v>829</v>
      </c>
      <c r="F52" s="21" t="s">
        <v>830</v>
      </c>
      <c r="G52" s="21" t="s">
        <v>657</v>
      </c>
      <c r="H52" s="2" t="s">
        <v>566</v>
      </c>
      <c r="I52" s="2" t="s">
        <v>560</v>
      </c>
    </row>
    <row r="53" spans="1:9" ht="26.5" x14ac:dyDescent="0.35">
      <c r="A53" s="2">
        <v>52</v>
      </c>
      <c r="B53" s="2" t="s">
        <v>831</v>
      </c>
      <c r="C53" s="2" t="s">
        <v>832</v>
      </c>
      <c r="D53" s="2" t="s">
        <v>733</v>
      </c>
      <c r="E53" s="21" t="s">
        <v>833</v>
      </c>
      <c r="F53" s="21" t="s">
        <v>834</v>
      </c>
      <c r="G53" s="21" t="s">
        <v>835</v>
      </c>
      <c r="H53" s="2" t="s">
        <v>737</v>
      </c>
      <c r="I53" s="2" t="s">
        <v>738</v>
      </c>
    </row>
    <row r="54" spans="1:9" ht="26.5" x14ac:dyDescent="0.35">
      <c r="A54" s="2">
        <v>53</v>
      </c>
      <c r="B54" s="2" t="s">
        <v>836</v>
      </c>
      <c r="C54" s="2" t="s">
        <v>837</v>
      </c>
      <c r="D54" s="2" t="s">
        <v>721</v>
      </c>
      <c r="E54" s="21" t="s">
        <v>838</v>
      </c>
      <c r="F54" s="21" t="s">
        <v>839</v>
      </c>
      <c r="G54" s="21" t="s">
        <v>840</v>
      </c>
      <c r="H54" s="2" t="s">
        <v>762</v>
      </c>
      <c r="I54" s="2" t="s">
        <v>726</v>
      </c>
    </row>
    <row r="55" spans="1:9" x14ac:dyDescent="0.35">
      <c r="A55" s="2">
        <v>54</v>
      </c>
      <c r="B55" s="2" t="s">
        <v>841</v>
      </c>
      <c r="C55" s="2" t="s">
        <v>842</v>
      </c>
      <c r="D55" s="2" t="s">
        <v>555</v>
      </c>
      <c r="E55" s="21" t="s">
        <v>843</v>
      </c>
      <c r="F55" s="21" t="s">
        <v>844</v>
      </c>
      <c r="G55" s="21" t="s">
        <v>657</v>
      </c>
      <c r="H55" s="2" t="s">
        <v>611</v>
      </c>
      <c r="I55" s="2" t="s">
        <v>612</v>
      </c>
    </row>
    <row r="56" spans="1:9" ht="26.5" x14ac:dyDescent="0.35">
      <c r="A56" s="2">
        <v>55</v>
      </c>
      <c r="B56" s="2" t="s">
        <v>845</v>
      </c>
      <c r="C56" s="2" t="s">
        <v>846</v>
      </c>
      <c r="D56" s="2" t="s">
        <v>582</v>
      </c>
      <c r="E56" s="21" t="s">
        <v>847</v>
      </c>
      <c r="F56" s="21" t="s">
        <v>848</v>
      </c>
      <c r="G56" s="21" t="s">
        <v>849</v>
      </c>
      <c r="H56" s="2" t="s">
        <v>572</v>
      </c>
      <c r="I56" s="2" t="s">
        <v>710</v>
      </c>
    </row>
    <row r="57" spans="1:9" x14ac:dyDescent="0.35">
      <c r="A57" s="2">
        <v>56</v>
      </c>
      <c r="B57" s="2" t="s">
        <v>850</v>
      </c>
      <c r="C57" s="2" t="s">
        <v>851</v>
      </c>
      <c r="D57" s="2" t="s">
        <v>630</v>
      </c>
      <c r="E57" s="21" t="s">
        <v>852</v>
      </c>
      <c r="F57" s="21" t="s">
        <v>853</v>
      </c>
      <c r="G57" s="21" t="s">
        <v>854</v>
      </c>
      <c r="H57" s="2" t="s">
        <v>799</v>
      </c>
      <c r="I57" s="2" t="s">
        <v>646</v>
      </c>
    </row>
    <row r="58" spans="1:9" x14ac:dyDescent="0.35">
      <c r="A58" s="2">
        <v>57</v>
      </c>
      <c r="B58" s="2" t="s">
        <v>855</v>
      </c>
      <c r="C58" s="2" t="s">
        <v>856</v>
      </c>
      <c r="D58" s="2" t="s">
        <v>721</v>
      </c>
      <c r="E58" s="21" t="s">
        <v>857</v>
      </c>
      <c r="F58" s="21" t="s">
        <v>858</v>
      </c>
      <c r="G58" s="21" t="s">
        <v>859</v>
      </c>
      <c r="H58" s="2" t="s">
        <v>693</v>
      </c>
      <c r="I58" s="2" t="s">
        <v>666</v>
      </c>
    </row>
    <row r="59" spans="1:9" x14ac:dyDescent="0.35">
      <c r="A59" s="2">
        <v>58</v>
      </c>
      <c r="B59" s="2" t="s">
        <v>860</v>
      </c>
      <c r="C59" s="2" t="s">
        <v>861</v>
      </c>
      <c r="D59" s="2" t="s">
        <v>589</v>
      </c>
      <c r="E59" s="21" t="s">
        <v>862</v>
      </c>
      <c r="F59" s="21" t="s">
        <v>863</v>
      </c>
      <c r="G59" s="21" t="s">
        <v>864</v>
      </c>
      <c r="H59" s="2" t="s">
        <v>688</v>
      </c>
      <c r="I59" s="2" t="s">
        <v>594</v>
      </c>
    </row>
    <row r="60" spans="1:9" x14ac:dyDescent="0.35">
      <c r="A60" s="2">
        <v>59</v>
      </c>
      <c r="B60" s="2" t="s">
        <v>865</v>
      </c>
      <c r="C60" s="2" t="s">
        <v>866</v>
      </c>
      <c r="D60" s="2" t="s">
        <v>589</v>
      </c>
      <c r="E60" s="21" t="s">
        <v>867</v>
      </c>
      <c r="F60" s="21" t="s">
        <v>868</v>
      </c>
      <c r="G60" s="21" t="s">
        <v>869</v>
      </c>
      <c r="H60" s="2" t="s">
        <v>688</v>
      </c>
      <c r="I60" s="2" t="s">
        <v>594</v>
      </c>
    </row>
    <row r="61" spans="1:9" x14ac:dyDescent="0.35">
      <c r="A61" s="2">
        <v>60</v>
      </c>
      <c r="B61" s="2" t="s">
        <v>870</v>
      </c>
      <c r="C61" s="2" t="s">
        <v>871</v>
      </c>
      <c r="D61" s="2" t="s">
        <v>555</v>
      </c>
      <c r="E61" s="21" t="s">
        <v>872</v>
      </c>
      <c r="F61" s="21" t="s">
        <v>873</v>
      </c>
      <c r="G61" s="21" t="s">
        <v>874</v>
      </c>
      <c r="H61" s="2" t="s">
        <v>559</v>
      </c>
      <c r="I61" s="2" t="s">
        <v>560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672C0-5BF9-4836-9FEA-D9477695A6D5}">
  <dimension ref="A1:G731"/>
  <sheetViews>
    <sheetView workbookViewId="0">
      <selection sqref="A1:H1"/>
    </sheetView>
  </sheetViews>
  <sheetFormatPr defaultRowHeight="14.5" x14ac:dyDescent="0.35"/>
  <cols>
    <col min="1" max="1" width="10.08984375" bestFit="1" customWidth="1"/>
    <col min="2" max="2" width="13.36328125" bestFit="1" customWidth="1"/>
    <col min="3" max="3" width="6" bestFit="1" customWidth="1"/>
    <col min="4" max="4" width="9.08984375" bestFit="1" customWidth="1"/>
    <col min="5" max="5" width="12" bestFit="1" customWidth="1"/>
    <col min="6" max="6" width="12.6328125" bestFit="1" customWidth="1"/>
    <col min="7" max="7" width="14" bestFit="1" customWidth="1"/>
  </cols>
  <sheetData>
    <row r="1" spans="1:7" s="17" customFormat="1" x14ac:dyDescent="0.35">
      <c r="A1" s="18" t="s">
        <v>1</v>
      </c>
      <c r="B1" s="18" t="s">
        <v>140</v>
      </c>
      <c r="C1" s="18" t="s">
        <v>443</v>
      </c>
      <c r="D1" s="18" t="s">
        <v>444</v>
      </c>
      <c r="E1" s="18" t="s">
        <v>445</v>
      </c>
      <c r="F1" s="18" t="s">
        <v>446</v>
      </c>
      <c r="G1" s="18" t="s">
        <v>447</v>
      </c>
    </row>
    <row r="2" spans="1:7" x14ac:dyDescent="0.35">
      <c r="A2" s="19">
        <v>46023</v>
      </c>
      <c r="B2" s="31">
        <v>20260101</v>
      </c>
      <c r="C2" s="31">
        <v>2026</v>
      </c>
      <c r="D2" s="31" t="s">
        <v>448</v>
      </c>
      <c r="E2" s="31">
        <v>1</v>
      </c>
      <c r="F2" s="31" t="s">
        <v>449</v>
      </c>
      <c r="G2" s="19">
        <v>46023</v>
      </c>
    </row>
    <row r="3" spans="1:7" x14ac:dyDescent="0.35">
      <c r="A3" s="19">
        <v>46024</v>
      </c>
      <c r="B3" s="31">
        <v>20260102</v>
      </c>
      <c r="C3" s="31">
        <v>2026</v>
      </c>
      <c r="D3" s="31" t="s">
        <v>448</v>
      </c>
      <c r="E3" s="31">
        <v>1</v>
      </c>
      <c r="F3" s="31" t="s">
        <v>449</v>
      </c>
      <c r="G3" s="19">
        <v>46023</v>
      </c>
    </row>
    <row r="4" spans="1:7" x14ac:dyDescent="0.35">
      <c r="A4" s="19">
        <v>46025</v>
      </c>
      <c r="B4" s="31">
        <v>20260103</v>
      </c>
      <c r="C4" s="31">
        <v>2026</v>
      </c>
      <c r="D4" s="31" t="s">
        <v>448</v>
      </c>
      <c r="E4" s="31">
        <v>1</v>
      </c>
      <c r="F4" s="31" t="s">
        <v>449</v>
      </c>
      <c r="G4" s="19">
        <v>46023</v>
      </c>
    </row>
    <row r="5" spans="1:7" x14ac:dyDescent="0.35">
      <c r="A5" s="19">
        <v>46026</v>
      </c>
      <c r="B5" s="31">
        <v>20260104</v>
      </c>
      <c r="C5" s="31">
        <v>2026</v>
      </c>
      <c r="D5" s="31" t="s">
        <v>448</v>
      </c>
      <c r="E5" s="31">
        <v>1</v>
      </c>
      <c r="F5" s="31" t="s">
        <v>449</v>
      </c>
      <c r="G5" s="19">
        <v>46023</v>
      </c>
    </row>
    <row r="6" spans="1:7" x14ac:dyDescent="0.35">
      <c r="A6" s="19">
        <v>46027</v>
      </c>
      <c r="B6" s="31">
        <v>20260105</v>
      </c>
      <c r="C6" s="31">
        <v>2026</v>
      </c>
      <c r="D6" s="31" t="s">
        <v>448</v>
      </c>
      <c r="E6" s="31">
        <v>1</v>
      </c>
      <c r="F6" s="31" t="s">
        <v>449</v>
      </c>
      <c r="G6" s="19">
        <v>46023</v>
      </c>
    </row>
    <row r="7" spans="1:7" x14ac:dyDescent="0.35">
      <c r="A7" s="19">
        <v>46028</v>
      </c>
      <c r="B7" s="31">
        <v>20260106</v>
      </c>
      <c r="C7" s="31">
        <v>2026</v>
      </c>
      <c r="D7" s="31" t="s">
        <v>448</v>
      </c>
      <c r="E7" s="31">
        <v>1</v>
      </c>
      <c r="F7" s="31" t="s">
        <v>449</v>
      </c>
      <c r="G7" s="19">
        <v>46023</v>
      </c>
    </row>
    <row r="8" spans="1:7" x14ac:dyDescent="0.35">
      <c r="A8" s="19">
        <v>46029</v>
      </c>
      <c r="B8" s="31">
        <v>20260107</v>
      </c>
      <c r="C8" s="31">
        <v>2026</v>
      </c>
      <c r="D8" s="31" t="s">
        <v>448</v>
      </c>
      <c r="E8" s="31">
        <v>1</v>
      </c>
      <c r="F8" s="31" t="s">
        <v>449</v>
      </c>
      <c r="G8" s="19">
        <v>46023</v>
      </c>
    </row>
    <row r="9" spans="1:7" x14ac:dyDescent="0.35">
      <c r="A9" s="19">
        <v>46030</v>
      </c>
      <c r="B9" s="31">
        <v>20260108</v>
      </c>
      <c r="C9" s="31">
        <v>2026</v>
      </c>
      <c r="D9" s="31" t="s">
        <v>448</v>
      </c>
      <c r="E9" s="31">
        <v>1</v>
      </c>
      <c r="F9" s="31" t="s">
        <v>449</v>
      </c>
      <c r="G9" s="19">
        <v>46023</v>
      </c>
    </row>
    <row r="10" spans="1:7" x14ac:dyDescent="0.35">
      <c r="A10" s="19">
        <v>46031</v>
      </c>
      <c r="B10" s="31">
        <v>20260109</v>
      </c>
      <c r="C10" s="31">
        <v>2026</v>
      </c>
      <c r="D10" s="31" t="s">
        <v>448</v>
      </c>
      <c r="E10" s="31">
        <v>1</v>
      </c>
      <c r="F10" s="31" t="s">
        <v>449</v>
      </c>
      <c r="G10" s="19">
        <v>46023</v>
      </c>
    </row>
    <row r="11" spans="1:7" x14ac:dyDescent="0.35">
      <c r="A11" s="19">
        <v>46032</v>
      </c>
      <c r="B11" s="31">
        <v>20260110</v>
      </c>
      <c r="C11" s="31">
        <v>2026</v>
      </c>
      <c r="D11" s="31" t="s">
        <v>448</v>
      </c>
      <c r="E11" s="31">
        <v>1</v>
      </c>
      <c r="F11" s="31" t="s">
        <v>449</v>
      </c>
      <c r="G11" s="19">
        <v>46023</v>
      </c>
    </row>
    <row r="12" spans="1:7" x14ac:dyDescent="0.35">
      <c r="A12" s="19">
        <v>46033</v>
      </c>
      <c r="B12" s="31">
        <v>20260111</v>
      </c>
      <c r="C12" s="31">
        <v>2026</v>
      </c>
      <c r="D12" s="31" t="s">
        <v>448</v>
      </c>
      <c r="E12" s="31">
        <v>1</v>
      </c>
      <c r="F12" s="31" t="s">
        <v>449</v>
      </c>
      <c r="G12" s="19">
        <v>46023</v>
      </c>
    </row>
    <row r="13" spans="1:7" x14ac:dyDescent="0.35">
      <c r="A13" s="19">
        <v>46034</v>
      </c>
      <c r="B13" s="31">
        <v>20260112</v>
      </c>
      <c r="C13" s="31">
        <v>2026</v>
      </c>
      <c r="D13" s="31" t="s">
        <v>448</v>
      </c>
      <c r="E13" s="31">
        <v>1</v>
      </c>
      <c r="F13" s="31" t="s">
        <v>449</v>
      </c>
      <c r="G13" s="19">
        <v>46023</v>
      </c>
    </row>
    <row r="14" spans="1:7" x14ac:dyDescent="0.35">
      <c r="A14" s="19">
        <v>46035</v>
      </c>
      <c r="B14" s="31">
        <v>20260113</v>
      </c>
      <c r="C14" s="31">
        <v>2026</v>
      </c>
      <c r="D14" s="31" t="s">
        <v>448</v>
      </c>
      <c r="E14" s="31">
        <v>1</v>
      </c>
      <c r="F14" s="31" t="s">
        <v>449</v>
      </c>
      <c r="G14" s="19">
        <v>46023</v>
      </c>
    </row>
    <row r="15" spans="1:7" x14ac:dyDescent="0.35">
      <c r="A15" s="19">
        <v>46036</v>
      </c>
      <c r="B15" s="31">
        <v>20260114</v>
      </c>
      <c r="C15" s="31">
        <v>2026</v>
      </c>
      <c r="D15" s="31" t="s">
        <v>448</v>
      </c>
      <c r="E15" s="31">
        <v>1</v>
      </c>
      <c r="F15" s="31" t="s">
        <v>449</v>
      </c>
      <c r="G15" s="19">
        <v>46023</v>
      </c>
    </row>
    <row r="16" spans="1:7" x14ac:dyDescent="0.35">
      <c r="A16" s="19">
        <v>46037</v>
      </c>
      <c r="B16" s="31">
        <v>20260115</v>
      </c>
      <c r="C16" s="31">
        <v>2026</v>
      </c>
      <c r="D16" s="31" t="s">
        <v>448</v>
      </c>
      <c r="E16" s="31">
        <v>1</v>
      </c>
      <c r="F16" s="31" t="s">
        <v>449</v>
      </c>
      <c r="G16" s="19">
        <v>46023</v>
      </c>
    </row>
    <row r="17" spans="1:7" x14ac:dyDescent="0.35">
      <c r="A17" s="19">
        <v>46038</v>
      </c>
      <c r="B17" s="31">
        <v>20260116</v>
      </c>
      <c r="C17" s="31">
        <v>2026</v>
      </c>
      <c r="D17" s="31" t="s">
        <v>448</v>
      </c>
      <c r="E17" s="31">
        <v>1</v>
      </c>
      <c r="F17" s="31" t="s">
        <v>449</v>
      </c>
      <c r="G17" s="19">
        <v>46023</v>
      </c>
    </row>
    <row r="18" spans="1:7" x14ac:dyDescent="0.35">
      <c r="A18" s="19">
        <v>46039</v>
      </c>
      <c r="B18" s="31">
        <v>20260117</v>
      </c>
      <c r="C18" s="31">
        <v>2026</v>
      </c>
      <c r="D18" s="31" t="s">
        <v>448</v>
      </c>
      <c r="E18" s="31">
        <v>1</v>
      </c>
      <c r="F18" s="31" t="s">
        <v>449</v>
      </c>
      <c r="G18" s="19">
        <v>46023</v>
      </c>
    </row>
    <row r="19" spans="1:7" x14ac:dyDescent="0.35">
      <c r="A19" s="19">
        <v>46040</v>
      </c>
      <c r="B19" s="31">
        <v>20260118</v>
      </c>
      <c r="C19" s="31">
        <v>2026</v>
      </c>
      <c r="D19" s="31" t="s">
        <v>448</v>
      </c>
      <c r="E19" s="31">
        <v>1</v>
      </c>
      <c r="F19" s="31" t="s">
        <v>449</v>
      </c>
      <c r="G19" s="19">
        <v>46023</v>
      </c>
    </row>
    <row r="20" spans="1:7" x14ac:dyDescent="0.35">
      <c r="A20" s="19">
        <v>46041</v>
      </c>
      <c r="B20" s="31">
        <v>20260119</v>
      </c>
      <c r="C20" s="31">
        <v>2026</v>
      </c>
      <c r="D20" s="31" t="s">
        <v>448</v>
      </c>
      <c r="E20" s="31">
        <v>1</v>
      </c>
      <c r="F20" s="31" t="s">
        <v>449</v>
      </c>
      <c r="G20" s="19">
        <v>46023</v>
      </c>
    </row>
    <row r="21" spans="1:7" x14ac:dyDescent="0.35">
      <c r="A21" s="19">
        <v>46042</v>
      </c>
      <c r="B21" s="31">
        <v>20260120</v>
      </c>
      <c r="C21" s="31">
        <v>2026</v>
      </c>
      <c r="D21" s="31" t="s">
        <v>448</v>
      </c>
      <c r="E21" s="31">
        <v>1</v>
      </c>
      <c r="F21" s="31" t="s">
        <v>449</v>
      </c>
      <c r="G21" s="19">
        <v>46023</v>
      </c>
    </row>
    <row r="22" spans="1:7" x14ac:dyDescent="0.35">
      <c r="A22" s="19">
        <v>46043</v>
      </c>
      <c r="B22" s="31">
        <v>20260121</v>
      </c>
      <c r="C22" s="31">
        <v>2026</v>
      </c>
      <c r="D22" s="31" t="s">
        <v>448</v>
      </c>
      <c r="E22" s="31">
        <v>1</v>
      </c>
      <c r="F22" s="31" t="s">
        <v>449</v>
      </c>
      <c r="G22" s="19">
        <v>46023</v>
      </c>
    </row>
    <row r="23" spans="1:7" x14ac:dyDescent="0.35">
      <c r="A23" s="19">
        <v>46044</v>
      </c>
      <c r="B23" s="31">
        <v>20260122</v>
      </c>
      <c r="C23" s="31">
        <v>2026</v>
      </c>
      <c r="D23" s="31" t="s">
        <v>448</v>
      </c>
      <c r="E23" s="31">
        <v>1</v>
      </c>
      <c r="F23" s="31" t="s">
        <v>449</v>
      </c>
      <c r="G23" s="19">
        <v>46023</v>
      </c>
    </row>
    <row r="24" spans="1:7" x14ac:dyDescent="0.35">
      <c r="A24" s="19">
        <v>46045</v>
      </c>
      <c r="B24" s="31">
        <v>20260123</v>
      </c>
      <c r="C24" s="31">
        <v>2026</v>
      </c>
      <c r="D24" s="31" t="s">
        <v>448</v>
      </c>
      <c r="E24" s="31">
        <v>1</v>
      </c>
      <c r="F24" s="31" t="s">
        <v>449</v>
      </c>
      <c r="G24" s="19">
        <v>46023</v>
      </c>
    </row>
    <row r="25" spans="1:7" x14ac:dyDescent="0.35">
      <c r="A25" s="19">
        <v>46046</v>
      </c>
      <c r="B25" s="31">
        <v>20260124</v>
      </c>
      <c r="C25" s="31">
        <v>2026</v>
      </c>
      <c r="D25" s="31" t="s">
        <v>448</v>
      </c>
      <c r="E25" s="31">
        <v>1</v>
      </c>
      <c r="F25" s="31" t="s">
        <v>449</v>
      </c>
      <c r="G25" s="19">
        <v>46023</v>
      </c>
    </row>
    <row r="26" spans="1:7" x14ac:dyDescent="0.35">
      <c r="A26" s="19">
        <v>46047</v>
      </c>
      <c r="B26" s="31">
        <v>20260125</v>
      </c>
      <c r="C26" s="31">
        <v>2026</v>
      </c>
      <c r="D26" s="31" t="s">
        <v>448</v>
      </c>
      <c r="E26" s="31">
        <v>1</v>
      </c>
      <c r="F26" s="31" t="s">
        <v>449</v>
      </c>
      <c r="G26" s="19">
        <v>46023</v>
      </c>
    </row>
    <row r="27" spans="1:7" x14ac:dyDescent="0.35">
      <c r="A27" s="19">
        <v>46048</v>
      </c>
      <c r="B27" s="31">
        <v>20260126</v>
      </c>
      <c r="C27" s="31">
        <v>2026</v>
      </c>
      <c r="D27" s="31" t="s">
        <v>448</v>
      </c>
      <c r="E27" s="31">
        <v>1</v>
      </c>
      <c r="F27" s="31" t="s">
        <v>449</v>
      </c>
      <c r="G27" s="19">
        <v>46023</v>
      </c>
    </row>
    <row r="28" spans="1:7" x14ac:dyDescent="0.35">
      <c r="A28" s="19">
        <v>46049</v>
      </c>
      <c r="B28" s="31">
        <v>20260127</v>
      </c>
      <c r="C28" s="31">
        <v>2026</v>
      </c>
      <c r="D28" s="31" t="s">
        <v>448</v>
      </c>
      <c r="E28" s="31">
        <v>1</v>
      </c>
      <c r="F28" s="31" t="s">
        <v>449</v>
      </c>
      <c r="G28" s="19">
        <v>46023</v>
      </c>
    </row>
    <row r="29" spans="1:7" x14ac:dyDescent="0.35">
      <c r="A29" s="19">
        <v>46050</v>
      </c>
      <c r="B29" s="31">
        <v>20260128</v>
      </c>
      <c r="C29" s="31">
        <v>2026</v>
      </c>
      <c r="D29" s="31" t="s">
        <v>448</v>
      </c>
      <c r="E29" s="31">
        <v>1</v>
      </c>
      <c r="F29" s="31" t="s">
        <v>449</v>
      </c>
      <c r="G29" s="19">
        <v>46023</v>
      </c>
    </row>
    <row r="30" spans="1:7" x14ac:dyDescent="0.35">
      <c r="A30" s="19">
        <v>46051</v>
      </c>
      <c r="B30" s="31">
        <v>20260129</v>
      </c>
      <c r="C30" s="31">
        <v>2026</v>
      </c>
      <c r="D30" s="31" t="s">
        <v>448</v>
      </c>
      <c r="E30" s="31">
        <v>1</v>
      </c>
      <c r="F30" s="31" t="s">
        <v>449</v>
      </c>
      <c r="G30" s="19">
        <v>46023</v>
      </c>
    </row>
    <row r="31" spans="1:7" x14ac:dyDescent="0.35">
      <c r="A31" s="19">
        <v>46052</v>
      </c>
      <c r="B31" s="31">
        <v>20260130</v>
      </c>
      <c r="C31" s="31">
        <v>2026</v>
      </c>
      <c r="D31" s="31" t="s">
        <v>448</v>
      </c>
      <c r="E31" s="31">
        <v>1</v>
      </c>
      <c r="F31" s="31" t="s">
        <v>449</v>
      </c>
      <c r="G31" s="19">
        <v>46023</v>
      </c>
    </row>
    <row r="32" spans="1:7" x14ac:dyDescent="0.35">
      <c r="A32" s="19">
        <v>46053</v>
      </c>
      <c r="B32" s="31">
        <v>20260131</v>
      </c>
      <c r="C32" s="31">
        <v>2026</v>
      </c>
      <c r="D32" s="31" t="s">
        <v>448</v>
      </c>
      <c r="E32" s="31">
        <v>1</v>
      </c>
      <c r="F32" s="31" t="s">
        <v>449</v>
      </c>
      <c r="G32" s="19">
        <v>46023</v>
      </c>
    </row>
    <row r="33" spans="1:7" x14ac:dyDescent="0.35">
      <c r="A33" s="19">
        <v>46054</v>
      </c>
      <c r="B33" s="31">
        <v>20260201</v>
      </c>
      <c r="C33" s="31">
        <v>2026</v>
      </c>
      <c r="D33" s="31" t="s">
        <v>448</v>
      </c>
      <c r="E33" s="31">
        <v>2</v>
      </c>
      <c r="F33" s="31" t="s">
        <v>450</v>
      </c>
      <c r="G33" s="19">
        <v>46054</v>
      </c>
    </row>
    <row r="34" spans="1:7" x14ac:dyDescent="0.35">
      <c r="A34" s="19">
        <v>46055</v>
      </c>
      <c r="B34" s="31">
        <v>20260202</v>
      </c>
      <c r="C34" s="31">
        <v>2026</v>
      </c>
      <c r="D34" s="31" t="s">
        <v>448</v>
      </c>
      <c r="E34" s="31">
        <v>2</v>
      </c>
      <c r="F34" s="31" t="s">
        <v>450</v>
      </c>
      <c r="G34" s="19">
        <v>46054</v>
      </c>
    </row>
    <row r="35" spans="1:7" x14ac:dyDescent="0.35">
      <c r="A35" s="19">
        <v>46056</v>
      </c>
      <c r="B35" s="31">
        <v>20260203</v>
      </c>
      <c r="C35" s="31">
        <v>2026</v>
      </c>
      <c r="D35" s="31" t="s">
        <v>448</v>
      </c>
      <c r="E35" s="31">
        <v>2</v>
      </c>
      <c r="F35" s="31" t="s">
        <v>450</v>
      </c>
      <c r="G35" s="19">
        <v>46054</v>
      </c>
    </row>
    <row r="36" spans="1:7" x14ac:dyDescent="0.35">
      <c r="A36" s="19">
        <v>46057</v>
      </c>
      <c r="B36" s="31">
        <v>20260204</v>
      </c>
      <c r="C36" s="31">
        <v>2026</v>
      </c>
      <c r="D36" s="31" t="s">
        <v>448</v>
      </c>
      <c r="E36" s="31">
        <v>2</v>
      </c>
      <c r="F36" s="31" t="s">
        <v>450</v>
      </c>
      <c r="G36" s="19">
        <v>46054</v>
      </c>
    </row>
    <row r="37" spans="1:7" x14ac:dyDescent="0.35">
      <c r="A37" s="19">
        <v>46058</v>
      </c>
      <c r="B37" s="31">
        <v>20260205</v>
      </c>
      <c r="C37" s="31">
        <v>2026</v>
      </c>
      <c r="D37" s="31" t="s">
        <v>448</v>
      </c>
      <c r="E37" s="31">
        <v>2</v>
      </c>
      <c r="F37" s="31" t="s">
        <v>450</v>
      </c>
      <c r="G37" s="19">
        <v>46054</v>
      </c>
    </row>
    <row r="38" spans="1:7" x14ac:dyDescent="0.35">
      <c r="A38" s="19">
        <v>46059</v>
      </c>
      <c r="B38" s="31">
        <v>20260206</v>
      </c>
      <c r="C38" s="31">
        <v>2026</v>
      </c>
      <c r="D38" s="31" t="s">
        <v>448</v>
      </c>
      <c r="E38" s="31">
        <v>2</v>
      </c>
      <c r="F38" s="31" t="s">
        <v>450</v>
      </c>
      <c r="G38" s="19">
        <v>46054</v>
      </c>
    </row>
    <row r="39" spans="1:7" x14ac:dyDescent="0.35">
      <c r="A39" s="19">
        <v>46060</v>
      </c>
      <c r="B39" s="31">
        <v>20260207</v>
      </c>
      <c r="C39" s="31">
        <v>2026</v>
      </c>
      <c r="D39" s="31" t="s">
        <v>448</v>
      </c>
      <c r="E39" s="31">
        <v>2</v>
      </c>
      <c r="F39" s="31" t="s">
        <v>450</v>
      </c>
      <c r="G39" s="19">
        <v>46054</v>
      </c>
    </row>
    <row r="40" spans="1:7" x14ac:dyDescent="0.35">
      <c r="A40" s="19">
        <v>46061</v>
      </c>
      <c r="B40" s="31">
        <v>20260208</v>
      </c>
      <c r="C40" s="31">
        <v>2026</v>
      </c>
      <c r="D40" s="31" t="s">
        <v>448</v>
      </c>
      <c r="E40" s="31">
        <v>2</v>
      </c>
      <c r="F40" s="31" t="s">
        <v>450</v>
      </c>
      <c r="G40" s="19">
        <v>46054</v>
      </c>
    </row>
    <row r="41" spans="1:7" x14ac:dyDescent="0.35">
      <c r="A41" s="19">
        <v>46062</v>
      </c>
      <c r="B41" s="31">
        <v>20260209</v>
      </c>
      <c r="C41" s="31">
        <v>2026</v>
      </c>
      <c r="D41" s="31" t="s">
        <v>448</v>
      </c>
      <c r="E41" s="31">
        <v>2</v>
      </c>
      <c r="F41" s="31" t="s">
        <v>450</v>
      </c>
      <c r="G41" s="19">
        <v>46054</v>
      </c>
    </row>
    <row r="42" spans="1:7" x14ac:dyDescent="0.35">
      <c r="A42" s="19">
        <v>46063</v>
      </c>
      <c r="B42" s="31">
        <v>20260210</v>
      </c>
      <c r="C42" s="31">
        <v>2026</v>
      </c>
      <c r="D42" s="31" t="s">
        <v>448</v>
      </c>
      <c r="E42" s="31">
        <v>2</v>
      </c>
      <c r="F42" s="31" t="s">
        <v>450</v>
      </c>
      <c r="G42" s="19">
        <v>46054</v>
      </c>
    </row>
    <row r="43" spans="1:7" x14ac:dyDescent="0.35">
      <c r="A43" s="19">
        <v>46064</v>
      </c>
      <c r="B43" s="31">
        <v>20260211</v>
      </c>
      <c r="C43" s="31">
        <v>2026</v>
      </c>
      <c r="D43" s="31" t="s">
        <v>448</v>
      </c>
      <c r="E43" s="31">
        <v>2</v>
      </c>
      <c r="F43" s="31" t="s">
        <v>450</v>
      </c>
      <c r="G43" s="19">
        <v>46054</v>
      </c>
    </row>
    <row r="44" spans="1:7" x14ac:dyDescent="0.35">
      <c r="A44" s="19">
        <v>46065</v>
      </c>
      <c r="B44" s="31">
        <v>20260212</v>
      </c>
      <c r="C44" s="31">
        <v>2026</v>
      </c>
      <c r="D44" s="31" t="s">
        <v>448</v>
      </c>
      <c r="E44" s="31">
        <v>2</v>
      </c>
      <c r="F44" s="31" t="s">
        <v>450</v>
      </c>
      <c r="G44" s="19">
        <v>46054</v>
      </c>
    </row>
    <row r="45" spans="1:7" x14ac:dyDescent="0.35">
      <c r="A45" s="19">
        <v>46066</v>
      </c>
      <c r="B45" s="31">
        <v>20260213</v>
      </c>
      <c r="C45" s="31">
        <v>2026</v>
      </c>
      <c r="D45" s="31" t="s">
        <v>448</v>
      </c>
      <c r="E45" s="31">
        <v>2</v>
      </c>
      <c r="F45" s="31" t="s">
        <v>450</v>
      </c>
      <c r="G45" s="19">
        <v>46054</v>
      </c>
    </row>
    <row r="46" spans="1:7" x14ac:dyDescent="0.35">
      <c r="A46" s="19">
        <v>46067</v>
      </c>
      <c r="B46" s="31">
        <v>20260214</v>
      </c>
      <c r="C46" s="31">
        <v>2026</v>
      </c>
      <c r="D46" s="31" t="s">
        <v>448</v>
      </c>
      <c r="E46" s="31">
        <v>2</v>
      </c>
      <c r="F46" s="31" t="s">
        <v>450</v>
      </c>
      <c r="G46" s="19">
        <v>46054</v>
      </c>
    </row>
    <row r="47" spans="1:7" x14ac:dyDescent="0.35">
      <c r="A47" s="19">
        <v>46068</v>
      </c>
      <c r="B47" s="31">
        <v>20260215</v>
      </c>
      <c r="C47" s="31">
        <v>2026</v>
      </c>
      <c r="D47" s="31" t="s">
        <v>448</v>
      </c>
      <c r="E47" s="31">
        <v>2</v>
      </c>
      <c r="F47" s="31" t="s">
        <v>450</v>
      </c>
      <c r="G47" s="19">
        <v>46054</v>
      </c>
    </row>
    <row r="48" spans="1:7" x14ac:dyDescent="0.35">
      <c r="A48" s="19">
        <v>46069</v>
      </c>
      <c r="B48" s="31">
        <v>20260216</v>
      </c>
      <c r="C48" s="31">
        <v>2026</v>
      </c>
      <c r="D48" s="31" t="s">
        <v>448</v>
      </c>
      <c r="E48" s="31">
        <v>2</v>
      </c>
      <c r="F48" s="31" t="s">
        <v>450</v>
      </c>
      <c r="G48" s="19">
        <v>46054</v>
      </c>
    </row>
    <row r="49" spans="1:7" x14ac:dyDescent="0.35">
      <c r="A49" s="19">
        <v>46070</v>
      </c>
      <c r="B49" s="31">
        <v>20260217</v>
      </c>
      <c r="C49" s="31">
        <v>2026</v>
      </c>
      <c r="D49" s="31" t="s">
        <v>448</v>
      </c>
      <c r="E49" s="31">
        <v>2</v>
      </c>
      <c r="F49" s="31" t="s">
        <v>450</v>
      </c>
      <c r="G49" s="19">
        <v>46054</v>
      </c>
    </row>
    <row r="50" spans="1:7" x14ac:dyDescent="0.35">
      <c r="A50" s="19">
        <v>46071</v>
      </c>
      <c r="B50" s="31">
        <v>20260218</v>
      </c>
      <c r="C50" s="31">
        <v>2026</v>
      </c>
      <c r="D50" s="31" t="s">
        <v>448</v>
      </c>
      <c r="E50" s="31">
        <v>2</v>
      </c>
      <c r="F50" s="31" t="s">
        <v>450</v>
      </c>
      <c r="G50" s="19">
        <v>46054</v>
      </c>
    </row>
    <row r="51" spans="1:7" x14ac:dyDescent="0.35">
      <c r="A51" s="19">
        <v>46072</v>
      </c>
      <c r="B51" s="31">
        <v>20260219</v>
      </c>
      <c r="C51" s="31">
        <v>2026</v>
      </c>
      <c r="D51" s="31" t="s">
        <v>448</v>
      </c>
      <c r="E51" s="31">
        <v>2</v>
      </c>
      <c r="F51" s="31" t="s">
        <v>450</v>
      </c>
      <c r="G51" s="19">
        <v>46054</v>
      </c>
    </row>
    <row r="52" spans="1:7" x14ac:dyDescent="0.35">
      <c r="A52" s="19">
        <v>46073</v>
      </c>
      <c r="B52" s="31">
        <v>20260220</v>
      </c>
      <c r="C52" s="31">
        <v>2026</v>
      </c>
      <c r="D52" s="31" t="s">
        <v>448</v>
      </c>
      <c r="E52" s="31">
        <v>2</v>
      </c>
      <c r="F52" s="31" t="s">
        <v>450</v>
      </c>
      <c r="G52" s="19">
        <v>46054</v>
      </c>
    </row>
    <row r="53" spans="1:7" x14ac:dyDescent="0.35">
      <c r="A53" s="19">
        <v>46074</v>
      </c>
      <c r="B53" s="31">
        <v>20260221</v>
      </c>
      <c r="C53" s="31">
        <v>2026</v>
      </c>
      <c r="D53" s="31" t="s">
        <v>448</v>
      </c>
      <c r="E53" s="31">
        <v>2</v>
      </c>
      <c r="F53" s="31" t="s">
        <v>450</v>
      </c>
      <c r="G53" s="19">
        <v>46054</v>
      </c>
    </row>
    <row r="54" spans="1:7" x14ac:dyDescent="0.35">
      <c r="A54" s="19">
        <v>46075</v>
      </c>
      <c r="B54" s="31">
        <v>20260222</v>
      </c>
      <c r="C54" s="31">
        <v>2026</v>
      </c>
      <c r="D54" s="31" t="s">
        <v>448</v>
      </c>
      <c r="E54" s="31">
        <v>2</v>
      </c>
      <c r="F54" s="31" t="s">
        <v>450</v>
      </c>
      <c r="G54" s="19">
        <v>46054</v>
      </c>
    </row>
    <row r="55" spans="1:7" x14ac:dyDescent="0.35">
      <c r="A55" s="19">
        <v>46076</v>
      </c>
      <c r="B55" s="31">
        <v>20260223</v>
      </c>
      <c r="C55" s="31">
        <v>2026</v>
      </c>
      <c r="D55" s="31" t="s">
        <v>448</v>
      </c>
      <c r="E55" s="31">
        <v>2</v>
      </c>
      <c r="F55" s="31" t="s">
        <v>450</v>
      </c>
      <c r="G55" s="19">
        <v>46054</v>
      </c>
    </row>
    <row r="56" spans="1:7" x14ac:dyDescent="0.35">
      <c r="A56" s="19">
        <v>46077</v>
      </c>
      <c r="B56" s="31">
        <v>20260224</v>
      </c>
      <c r="C56" s="31">
        <v>2026</v>
      </c>
      <c r="D56" s="31" t="s">
        <v>448</v>
      </c>
      <c r="E56" s="31">
        <v>2</v>
      </c>
      <c r="F56" s="31" t="s">
        <v>450</v>
      </c>
      <c r="G56" s="19">
        <v>46054</v>
      </c>
    </row>
    <row r="57" spans="1:7" x14ac:dyDescent="0.35">
      <c r="A57" s="19">
        <v>46078</v>
      </c>
      <c r="B57" s="31">
        <v>20260225</v>
      </c>
      <c r="C57" s="31">
        <v>2026</v>
      </c>
      <c r="D57" s="31" t="s">
        <v>448</v>
      </c>
      <c r="E57" s="31">
        <v>2</v>
      </c>
      <c r="F57" s="31" t="s">
        <v>450</v>
      </c>
      <c r="G57" s="19">
        <v>46054</v>
      </c>
    </row>
    <row r="58" spans="1:7" x14ac:dyDescent="0.35">
      <c r="A58" s="19">
        <v>46079</v>
      </c>
      <c r="B58" s="31">
        <v>20260226</v>
      </c>
      <c r="C58" s="31">
        <v>2026</v>
      </c>
      <c r="D58" s="31" t="s">
        <v>448</v>
      </c>
      <c r="E58" s="31">
        <v>2</v>
      </c>
      <c r="F58" s="31" t="s">
        <v>450</v>
      </c>
      <c r="G58" s="19">
        <v>46054</v>
      </c>
    </row>
    <row r="59" spans="1:7" x14ac:dyDescent="0.35">
      <c r="A59" s="19">
        <v>46080</v>
      </c>
      <c r="B59" s="31">
        <v>20260227</v>
      </c>
      <c r="C59" s="31">
        <v>2026</v>
      </c>
      <c r="D59" s="31" t="s">
        <v>448</v>
      </c>
      <c r="E59" s="31">
        <v>2</v>
      </c>
      <c r="F59" s="31" t="s">
        <v>450</v>
      </c>
      <c r="G59" s="19">
        <v>46054</v>
      </c>
    </row>
    <row r="60" spans="1:7" x14ac:dyDescent="0.35">
      <c r="A60" s="19">
        <v>46081</v>
      </c>
      <c r="B60" s="31">
        <v>20260228</v>
      </c>
      <c r="C60" s="31">
        <v>2026</v>
      </c>
      <c r="D60" s="31" t="s">
        <v>448</v>
      </c>
      <c r="E60" s="31">
        <v>2</v>
      </c>
      <c r="F60" s="31" t="s">
        <v>450</v>
      </c>
      <c r="G60" s="19">
        <v>46054</v>
      </c>
    </row>
    <row r="61" spans="1:7" x14ac:dyDescent="0.35">
      <c r="A61" s="19">
        <v>46082</v>
      </c>
      <c r="B61" s="31">
        <v>20260301</v>
      </c>
      <c r="C61" s="31">
        <v>2026</v>
      </c>
      <c r="D61" s="31" t="s">
        <v>448</v>
      </c>
      <c r="E61" s="31">
        <v>3</v>
      </c>
      <c r="F61" s="31" t="s">
        <v>451</v>
      </c>
      <c r="G61" s="19">
        <v>46082</v>
      </c>
    </row>
    <row r="62" spans="1:7" x14ac:dyDescent="0.35">
      <c r="A62" s="19">
        <v>46083</v>
      </c>
      <c r="B62" s="31">
        <v>20260302</v>
      </c>
      <c r="C62" s="31">
        <v>2026</v>
      </c>
      <c r="D62" s="31" t="s">
        <v>448</v>
      </c>
      <c r="E62" s="31">
        <v>3</v>
      </c>
      <c r="F62" s="31" t="s">
        <v>451</v>
      </c>
      <c r="G62" s="19">
        <v>46082</v>
      </c>
    </row>
    <row r="63" spans="1:7" x14ac:dyDescent="0.35">
      <c r="A63" s="19">
        <v>46084</v>
      </c>
      <c r="B63" s="31">
        <v>20260303</v>
      </c>
      <c r="C63" s="31">
        <v>2026</v>
      </c>
      <c r="D63" s="31" t="s">
        <v>448</v>
      </c>
      <c r="E63" s="31">
        <v>3</v>
      </c>
      <c r="F63" s="31" t="s">
        <v>451</v>
      </c>
      <c r="G63" s="19">
        <v>46082</v>
      </c>
    </row>
    <row r="64" spans="1:7" x14ac:dyDescent="0.35">
      <c r="A64" s="19">
        <v>46085</v>
      </c>
      <c r="B64" s="31">
        <v>20260304</v>
      </c>
      <c r="C64" s="31">
        <v>2026</v>
      </c>
      <c r="D64" s="31" t="s">
        <v>448</v>
      </c>
      <c r="E64" s="31">
        <v>3</v>
      </c>
      <c r="F64" s="31" t="s">
        <v>451</v>
      </c>
      <c r="G64" s="19">
        <v>46082</v>
      </c>
    </row>
    <row r="65" spans="1:7" x14ac:dyDescent="0.35">
      <c r="A65" s="19">
        <v>46086</v>
      </c>
      <c r="B65" s="31">
        <v>20260305</v>
      </c>
      <c r="C65" s="31">
        <v>2026</v>
      </c>
      <c r="D65" s="31" t="s">
        <v>448</v>
      </c>
      <c r="E65" s="31">
        <v>3</v>
      </c>
      <c r="F65" s="31" t="s">
        <v>451</v>
      </c>
      <c r="G65" s="19">
        <v>46082</v>
      </c>
    </row>
    <row r="66" spans="1:7" x14ac:dyDescent="0.35">
      <c r="A66" s="19">
        <v>46087</v>
      </c>
      <c r="B66" s="31">
        <v>20260306</v>
      </c>
      <c r="C66" s="31">
        <v>2026</v>
      </c>
      <c r="D66" s="31" t="s">
        <v>448</v>
      </c>
      <c r="E66" s="31">
        <v>3</v>
      </c>
      <c r="F66" s="31" t="s">
        <v>451</v>
      </c>
      <c r="G66" s="19">
        <v>46082</v>
      </c>
    </row>
    <row r="67" spans="1:7" x14ac:dyDescent="0.35">
      <c r="A67" s="19">
        <v>46088</v>
      </c>
      <c r="B67" s="31">
        <v>20260307</v>
      </c>
      <c r="C67" s="31">
        <v>2026</v>
      </c>
      <c r="D67" s="31" t="s">
        <v>448</v>
      </c>
      <c r="E67" s="31">
        <v>3</v>
      </c>
      <c r="F67" s="31" t="s">
        <v>451</v>
      </c>
      <c r="G67" s="19">
        <v>46082</v>
      </c>
    </row>
    <row r="68" spans="1:7" x14ac:dyDescent="0.35">
      <c r="A68" s="19">
        <v>46089</v>
      </c>
      <c r="B68" s="31">
        <v>20260308</v>
      </c>
      <c r="C68" s="31">
        <v>2026</v>
      </c>
      <c r="D68" s="31" t="s">
        <v>448</v>
      </c>
      <c r="E68" s="31">
        <v>3</v>
      </c>
      <c r="F68" s="31" t="s">
        <v>451</v>
      </c>
      <c r="G68" s="19">
        <v>46082</v>
      </c>
    </row>
    <row r="69" spans="1:7" x14ac:dyDescent="0.35">
      <c r="A69" s="19">
        <v>46090</v>
      </c>
      <c r="B69" s="31">
        <v>20260309</v>
      </c>
      <c r="C69" s="31">
        <v>2026</v>
      </c>
      <c r="D69" s="31" t="s">
        <v>448</v>
      </c>
      <c r="E69" s="31">
        <v>3</v>
      </c>
      <c r="F69" s="31" t="s">
        <v>451</v>
      </c>
      <c r="G69" s="19">
        <v>46082</v>
      </c>
    </row>
    <row r="70" spans="1:7" x14ac:dyDescent="0.35">
      <c r="A70" s="19">
        <v>46091</v>
      </c>
      <c r="B70" s="31">
        <v>20260310</v>
      </c>
      <c r="C70" s="31">
        <v>2026</v>
      </c>
      <c r="D70" s="31" t="s">
        <v>448</v>
      </c>
      <c r="E70" s="31">
        <v>3</v>
      </c>
      <c r="F70" s="31" t="s">
        <v>451</v>
      </c>
      <c r="G70" s="19">
        <v>46082</v>
      </c>
    </row>
    <row r="71" spans="1:7" x14ac:dyDescent="0.35">
      <c r="A71" s="19">
        <v>46092</v>
      </c>
      <c r="B71" s="31">
        <v>20260311</v>
      </c>
      <c r="C71" s="31">
        <v>2026</v>
      </c>
      <c r="D71" s="31" t="s">
        <v>448</v>
      </c>
      <c r="E71" s="31">
        <v>3</v>
      </c>
      <c r="F71" s="31" t="s">
        <v>451</v>
      </c>
      <c r="G71" s="19">
        <v>46082</v>
      </c>
    </row>
    <row r="72" spans="1:7" x14ac:dyDescent="0.35">
      <c r="A72" s="19">
        <v>46093</v>
      </c>
      <c r="B72" s="31">
        <v>20260312</v>
      </c>
      <c r="C72" s="31">
        <v>2026</v>
      </c>
      <c r="D72" s="31" t="s">
        <v>448</v>
      </c>
      <c r="E72" s="31">
        <v>3</v>
      </c>
      <c r="F72" s="31" t="s">
        <v>451</v>
      </c>
      <c r="G72" s="19">
        <v>46082</v>
      </c>
    </row>
    <row r="73" spans="1:7" x14ac:dyDescent="0.35">
      <c r="A73" s="19">
        <v>46094</v>
      </c>
      <c r="B73" s="31">
        <v>20260313</v>
      </c>
      <c r="C73" s="31">
        <v>2026</v>
      </c>
      <c r="D73" s="31" t="s">
        <v>448</v>
      </c>
      <c r="E73" s="31">
        <v>3</v>
      </c>
      <c r="F73" s="31" t="s">
        <v>451</v>
      </c>
      <c r="G73" s="19">
        <v>46082</v>
      </c>
    </row>
    <row r="74" spans="1:7" x14ac:dyDescent="0.35">
      <c r="A74" s="19">
        <v>46095</v>
      </c>
      <c r="B74" s="31">
        <v>20260314</v>
      </c>
      <c r="C74" s="31">
        <v>2026</v>
      </c>
      <c r="D74" s="31" t="s">
        <v>448</v>
      </c>
      <c r="E74" s="31">
        <v>3</v>
      </c>
      <c r="F74" s="31" t="s">
        <v>451</v>
      </c>
      <c r="G74" s="19">
        <v>46082</v>
      </c>
    </row>
    <row r="75" spans="1:7" x14ac:dyDescent="0.35">
      <c r="A75" s="19">
        <v>46096</v>
      </c>
      <c r="B75" s="31">
        <v>20260315</v>
      </c>
      <c r="C75" s="31">
        <v>2026</v>
      </c>
      <c r="D75" s="31" t="s">
        <v>448</v>
      </c>
      <c r="E75" s="31">
        <v>3</v>
      </c>
      <c r="F75" s="31" t="s">
        <v>451</v>
      </c>
      <c r="G75" s="19">
        <v>46082</v>
      </c>
    </row>
    <row r="76" spans="1:7" x14ac:dyDescent="0.35">
      <c r="A76" s="19">
        <v>46097</v>
      </c>
      <c r="B76" s="31">
        <v>20260316</v>
      </c>
      <c r="C76" s="31">
        <v>2026</v>
      </c>
      <c r="D76" s="31" t="s">
        <v>448</v>
      </c>
      <c r="E76" s="31">
        <v>3</v>
      </c>
      <c r="F76" s="31" t="s">
        <v>451</v>
      </c>
      <c r="G76" s="19">
        <v>46082</v>
      </c>
    </row>
    <row r="77" spans="1:7" x14ac:dyDescent="0.35">
      <c r="A77" s="19">
        <v>46098</v>
      </c>
      <c r="B77" s="31">
        <v>20260317</v>
      </c>
      <c r="C77" s="31">
        <v>2026</v>
      </c>
      <c r="D77" s="31" t="s">
        <v>448</v>
      </c>
      <c r="E77" s="31">
        <v>3</v>
      </c>
      <c r="F77" s="31" t="s">
        <v>451</v>
      </c>
      <c r="G77" s="19">
        <v>46082</v>
      </c>
    </row>
    <row r="78" spans="1:7" x14ac:dyDescent="0.35">
      <c r="A78" s="19">
        <v>46099</v>
      </c>
      <c r="B78" s="31">
        <v>20260318</v>
      </c>
      <c r="C78" s="31">
        <v>2026</v>
      </c>
      <c r="D78" s="31" t="s">
        <v>448</v>
      </c>
      <c r="E78" s="31">
        <v>3</v>
      </c>
      <c r="F78" s="31" t="s">
        <v>451</v>
      </c>
      <c r="G78" s="19">
        <v>46082</v>
      </c>
    </row>
    <row r="79" spans="1:7" x14ac:dyDescent="0.35">
      <c r="A79" s="19">
        <v>46100</v>
      </c>
      <c r="B79" s="31">
        <v>20260319</v>
      </c>
      <c r="C79" s="31">
        <v>2026</v>
      </c>
      <c r="D79" s="31" t="s">
        <v>448</v>
      </c>
      <c r="E79" s="31">
        <v>3</v>
      </c>
      <c r="F79" s="31" t="s">
        <v>451</v>
      </c>
      <c r="G79" s="19">
        <v>46082</v>
      </c>
    </row>
    <row r="80" spans="1:7" x14ac:dyDescent="0.35">
      <c r="A80" s="19">
        <v>46101</v>
      </c>
      <c r="B80" s="31">
        <v>20260320</v>
      </c>
      <c r="C80" s="31">
        <v>2026</v>
      </c>
      <c r="D80" s="31" t="s">
        <v>448</v>
      </c>
      <c r="E80" s="31">
        <v>3</v>
      </c>
      <c r="F80" s="31" t="s">
        <v>451</v>
      </c>
      <c r="G80" s="19">
        <v>46082</v>
      </c>
    </row>
    <row r="81" spans="1:7" x14ac:dyDescent="0.35">
      <c r="A81" s="19">
        <v>46102</v>
      </c>
      <c r="B81" s="31">
        <v>20260321</v>
      </c>
      <c r="C81" s="31">
        <v>2026</v>
      </c>
      <c r="D81" s="31" t="s">
        <v>448</v>
      </c>
      <c r="E81" s="31">
        <v>3</v>
      </c>
      <c r="F81" s="31" t="s">
        <v>451</v>
      </c>
      <c r="G81" s="19">
        <v>46082</v>
      </c>
    </row>
    <row r="82" spans="1:7" x14ac:dyDescent="0.35">
      <c r="A82" s="19">
        <v>46103</v>
      </c>
      <c r="B82" s="31">
        <v>20260322</v>
      </c>
      <c r="C82" s="31">
        <v>2026</v>
      </c>
      <c r="D82" s="31" t="s">
        <v>448</v>
      </c>
      <c r="E82" s="31">
        <v>3</v>
      </c>
      <c r="F82" s="31" t="s">
        <v>451</v>
      </c>
      <c r="G82" s="19">
        <v>46082</v>
      </c>
    </row>
    <row r="83" spans="1:7" x14ac:dyDescent="0.35">
      <c r="A83" s="19">
        <v>46104</v>
      </c>
      <c r="B83" s="31">
        <v>20260323</v>
      </c>
      <c r="C83" s="31">
        <v>2026</v>
      </c>
      <c r="D83" s="31" t="s">
        <v>448</v>
      </c>
      <c r="E83" s="31">
        <v>3</v>
      </c>
      <c r="F83" s="31" t="s">
        <v>451</v>
      </c>
      <c r="G83" s="19">
        <v>46082</v>
      </c>
    </row>
    <row r="84" spans="1:7" x14ac:dyDescent="0.35">
      <c r="A84" s="19">
        <v>46105</v>
      </c>
      <c r="B84" s="31">
        <v>20260324</v>
      </c>
      <c r="C84" s="31">
        <v>2026</v>
      </c>
      <c r="D84" s="31" t="s">
        <v>448</v>
      </c>
      <c r="E84" s="31">
        <v>3</v>
      </c>
      <c r="F84" s="31" t="s">
        <v>451</v>
      </c>
      <c r="G84" s="19">
        <v>46082</v>
      </c>
    </row>
    <row r="85" spans="1:7" x14ac:dyDescent="0.35">
      <c r="A85" s="19">
        <v>46106</v>
      </c>
      <c r="B85" s="31">
        <v>20260325</v>
      </c>
      <c r="C85" s="31">
        <v>2026</v>
      </c>
      <c r="D85" s="31" t="s">
        <v>448</v>
      </c>
      <c r="E85" s="31">
        <v>3</v>
      </c>
      <c r="F85" s="31" t="s">
        <v>451</v>
      </c>
      <c r="G85" s="19">
        <v>46082</v>
      </c>
    </row>
    <row r="86" spans="1:7" x14ac:dyDescent="0.35">
      <c r="A86" s="19">
        <v>46107</v>
      </c>
      <c r="B86" s="31">
        <v>20260326</v>
      </c>
      <c r="C86" s="31">
        <v>2026</v>
      </c>
      <c r="D86" s="31" t="s">
        <v>448</v>
      </c>
      <c r="E86" s="31">
        <v>3</v>
      </c>
      <c r="F86" s="31" t="s">
        <v>451</v>
      </c>
      <c r="G86" s="19">
        <v>46082</v>
      </c>
    </row>
    <row r="87" spans="1:7" x14ac:dyDescent="0.35">
      <c r="A87" s="19">
        <v>46108</v>
      </c>
      <c r="B87" s="31">
        <v>20260327</v>
      </c>
      <c r="C87" s="31">
        <v>2026</v>
      </c>
      <c r="D87" s="31" t="s">
        <v>448</v>
      </c>
      <c r="E87" s="31">
        <v>3</v>
      </c>
      <c r="F87" s="31" t="s">
        <v>451</v>
      </c>
      <c r="G87" s="19">
        <v>46082</v>
      </c>
    </row>
    <row r="88" spans="1:7" x14ac:dyDescent="0.35">
      <c r="A88" s="19">
        <v>46109</v>
      </c>
      <c r="B88" s="31">
        <v>20260328</v>
      </c>
      <c r="C88" s="31">
        <v>2026</v>
      </c>
      <c r="D88" s="31" t="s">
        <v>448</v>
      </c>
      <c r="E88" s="31">
        <v>3</v>
      </c>
      <c r="F88" s="31" t="s">
        <v>451</v>
      </c>
      <c r="G88" s="19">
        <v>46082</v>
      </c>
    </row>
    <row r="89" spans="1:7" x14ac:dyDescent="0.35">
      <c r="A89" s="19">
        <v>46110</v>
      </c>
      <c r="B89" s="31">
        <v>20260329</v>
      </c>
      <c r="C89" s="31">
        <v>2026</v>
      </c>
      <c r="D89" s="31" t="s">
        <v>448</v>
      </c>
      <c r="E89" s="31">
        <v>3</v>
      </c>
      <c r="F89" s="31" t="s">
        <v>451</v>
      </c>
      <c r="G89" s="19">
        <v>46082</v>
      </c>
    </row>
    <row r="90" spans="1:7" x14ac:dyDescent="0.35">
      <c r="A90" s="19">
        <v>46111</v>
      </c>
      <c r="B90" s="31">
        <v>20260330</v>
      </c>
      <c r="C90" s="31">
        <v>2026</v>
      </c>
      <c r="D90" s="31" t="s">
        <v>448</v>
      </c>
      <c r="E90" s="31">
        <v>3</v>
      </c>
      <c r="F90" s="31" t="s">
        <v>451</v>
      </c>
      <c r="G90" s="19">
        <v>46082</v>
      </c>
    </row>
    <row r="91" spans="1:7" x14ac:dyDescent="0.35">
      <c r="A91" s="19">
        <v>46112</v>
      </c>
      <c r="B91" s="31">
        <v>20260331</v>
      </c>
      <c r="C91" s="31">
        <v>2026</v>
      </c>
      <c r="D91" s="31" t="s">
        <v>448</v>
      </c>
      <c r="E91" s="31">
        <v>3</v>
      </c>
      <c r="F91" s="31" t="s">
        <v>451</v>
      </c>
      <c r="G91" s="19">
        <v>46082</v>
      </c>
    </row>
    <row r="92" spans="1:7" x14ac:dyDescent="0.35">
      <c r="A92" s="19">
        <v>46113</v>
      </c>
      <c r="B92" s="31">
        <v>20260401</v>
      </c>
      <c r="C92" s="31">
        <v>2026</v>
      </c>
      <c r="D92" s="31" t="s">
        <v>452</v>
      </c>
      <c r="E92" s="31">
        <v>4</v>
      </c>
      <c r="F92" s="31" t="s">
        <v>453</v>
      </c>
      <c r="G92" s="19">
        <v>46113</v>
      </c>
    </row>
    <row r="93" spans="1:7" x14ac:dyDescent="0.35">
      <c r="A93" s="19">
        <v>46114</v>
      </c>
      <c r="B93" s="31">
        <v>20260402</v>
      </c>
      <c r="C93" s="31">
        <v>2026</v>
      </c>
      <c r="D93" s="31" t="s">
        <v>452</v>
      </c>
      <c r="E93" s="31">
        <v>4</v>
      </c>
      <c r="F93" s="31" t="s">
        <v>453</v>
      </c>
      <c r="G93" s="19">
        <v>46113</v>
      </c>
    </row>
    <row r="94" spans="1:7" x14ac:dyDescent="0.35">
      <c r="A94" s="19">
        <v>46115</v>
      </c>
      <c r="B94" s="31">
        <v>20260403</v>
      </c>
      <c r="C94" s="31">
        <v>2026</v>
      </c>
      <c r="D94" s="31" t="s">
        <v>452</v>
      </c>
      <c r="E94" s="31">
        <v>4</v>
      </c>
      <c r="F94" s="31" t="s">
        <v>453</v>
      </c>
      <c r="G94" s="19">
        <v>46113</v>
      </c>
    </row>
    <row r="95" spans="1:7" x14ac:dyDescent="0.35">
      <c r="A95" s="19">
        <v>46116</v>
      </c>
      <c r="B95" s="31">
        <v>20260404</v>
      </c>
      <c r="C95" s="31">
        <v>2026</v>
      </c>
      <c r="D95" s="31" t="s">
        <v>452</v>
      </c>
      <c r="E95" s="31">
        <v>4</v>
      </c>
      <c r="F95" s="31" t="s">
        <v>453</v>
      </c>
      <c r="G95" s="19">
        <v>46113</v>
      </c>
    </row>
    <row r="96" spans="1:7" x14ac:dyDescent="0.35">
      <c r="A96" s="19">
        <v>46117</v>
      </c>
      <c r="B96" s="31">
        <v>20260405</v>
      </c>
      <c r="C96" s="31">
        <v>2026</v>
      </c>
      <c r="D96" s="31" t="s">
        <v>452</v>
      </c>
      <c r="E96" s="31">
        <v>4</v>
      </c>
      <c r="F96" s="31" t="s">
        <v>453</v>
      </c>
      <c r="G96" s="19">
        <v>46113</v>
      </c>
    </row>
    <row r="97" spans="1:7" x14ac:dyDescent="0.35">
      <c r="A97" s="19">
        <v>46118</v>
      </c>
      <c r="B97" s="31">
        <v>20260406</v>
      </c>
      <c r="C97" s="31">
        <v>2026</v>
      </c>
      <c r="D97" s="31" t="s">
        <v>452</v>
      </c>
      <c r="E97" s="31">
        <v>4</v>
      </c>
      <c r="F97" s="31" t="s">
        <v>453</v>
      </c>
      <c r="G97" s="19">
        <v>46113</v>
      </c>
    </row>
    <row r="98" spans="1:7" x14ac:dyDescent="0.35">
      <c r="A98" s="19">
        <v>46119</v>
      </c>
      <c r="B98" s="31">
        <v>20260407</v>
      </c>
      <c r="C98" s="31">
        <v>2026</v>
      </c>
      <c r="D98" s="31" t="s">
        <v>452</v>
      </c>
      <c r="E98" s="31">
        <v>4</v>
      </c>
      <c r="F98" s="31" t="s">
        <v>453</v>
      </c>
      <c r="G98" s="19">
        <v>46113</v>
      </c>
    </row>
    <row r="99" spans="1:7" x14ac:dyDescent="0.35">
      <c r="A99" s="19">
        <v>46120</v>
      </c>
      <c r="B99" s="31">
        <v>20260408</v>
      </c>
      <c r="C99" s="31">
        <v>2026</v>
      </c>
      <c r="D99" s="31" t="s">
        <v>452</v>
      </c>
      <c r="E99" s="31">
        <v>4</v>
      </c>
      <c r="F99" s="31" t="s">
        <v>453</v>
      </c>
      <c r="G99" s="19">
        <v>46113</v>
      </c>
    </row>
    <row r="100" spans="1:7" x14ac:dyDescent="0.35">
      <c r="A100" s="19">
        <v>46121</v>
      </c>
      <c r="B100" s="31">
        <v>20260409</v>
      </c>
      <c r="C100" s="31">
        <v>2026</v>
      </c>
      <c r="D100" s="31" t="s">
        <v>452</v>
      </c>
      <c r="E100" s="31">
        <v>4</v>
      </c>
      <c r="F100" s="31" t="s">
        <v>453</v>
      </c>
      <c r="G100" s="19">
        <v>46113</v>
      </c>
    </row>
    <row r="101" spans="1:7" x14ac:dyDescent="0.35">
      <c r="A101" s="19">
        <v>46122</v>
      </c>
      <c r="B101" s="31">
        <v>20260410</v>
      </c>
      <c r="C101" s="31">
        <v>2026</v>
      </c>
      <c r="D101" s="31" t="s">
        <v>452</v>
      </c>
      <c r="E101" s="31">
        <v>4</v>
      </c>
      <c r="F101" s="31" t="s">
        <v>453</v>
      </c>
      <c r="G101" s="19">
        <v>46113</v>
      </c>
    </row>
    <row r="102" spans="1:7" x14ac:dyDescent="0.35">
      <c r="A102" s="19">
        <v>46123</v>
      </c>
      <c r="B102" s="31">
        <v>20260411</v>
      </c>
      <c r="C102" s="31">
        <v>2026</v>
      </c>
      <c r="D102" s="31" t="s">
        <v>452</v>
      </c>
      <c r="E102" s="31">
        <v>4</v>
      </c>
      <c r="F102" s="31" t="s">
        <v>453</v>
      </c>
      <c r="G102" s="19">
        <v>46113</v>
      </c>
    </row>
    <row r="103" spans="1:7" x14ac:dyDescent="0.35">
      <c r="A103" s="19">
        <v>46124</v>
      </c>
      <c r="B103" s="31">
        <v>20260412</v>
      </c>
      <c r="C103" s="31">
        <v>2026</v>
      </c>
      <c r="D103" s="31" t="s">
        <v>452</v>
      </c>
      <c r="E103" s="31">
        <v>4</v>
      </c>
      <c r="F103" s="31" t="s">
        <v>453</v>
      </c>
      <c r="G103" s="19">
        <v>46113</v>
      </c>
    </row>
    <row r="104" spans="1:7" x14ac:dyDescent="0.35">
      <c r="A104" s="19">
        <v>46125</v>
      </c>
      <c r="B104" s="31">
        <v>20260413</v>
      </c>
      <c r="C104" s="31">
        <v>2026</v>
      </c>
      <c r="D104" s="31" t="s">
        <v>452</v>
      </c>
      <c r="E104" s="31">
        <v>4</v>
      </c>
      <c r="F104" s="31" t="s">
        <v>453</v>
      </c>
      <c r="G104" s="19">
        <v>46113</v>
      </c>
    </row>
    <row r="105" spans="1:7" x14ac:dyDescent="0.35">
      <c r="A105" s="19">
        <v>46126</v>
      </c>
      <c r="B105" s="31">
        <v>20260414</v>
      </c>
      <c r="C105" s="31">
        <v>2026</v>
      </c>
      <c r="D105" s="31" t="s">
        <v>452</v>
      </c>
      <c r="E105" s="31">
        <v>4</v>
      </c>
      <c r="F105" s="31" t="s">
        <v>453</v>
      </c>
      <c r="G105" s="19">
        <v>46113</v>
      </c>
    </row>
    <row r="106" spans="1:7" x14ac:dyDescent="0.35">
      <c r="A106" s="19">
        <v>46127</v>
      </c>
      <c r="B106" s="31">
        <v>20260415</v>
      </c>
      <c r="C106" s="31">
        <v>2026</v>
      </c>
      <c r="D106" s="31" t="s">
        <v>452</v>
      </c>
      <c r="E106" s="31">
        <v>4</v>
      </c>
      <c r="F106" s="31" t="s">
        <v>453</v>
      </c>
      <c r="G106" s="19">
        <v>46113</v>
      </c>
    </row>
    <row r="107" spans="1:7" x14ac:dyDescent="0.35">
      <c r="A107" s="19">
        <v>46128</v>
      </c>
      <c r="B107" s="31">
        <v>20260416</v>
      </c>
      <c r="C107" s="31">
        <v>2026</v>
      </c>
      <c r="D107" s="31" t="s">
        <v>452</v>
      </c>
      <c r="E107" s="31">
        <v>4</v>
      </c>
      <c r="F107" s="31" t="s">
        <v>453</v>
      </c>
      <c r="G107" s="19">
        <v>46113</v>
      </c>
    </row>
    <row r="108" spans="1:7" x14ac:dyDescent="0.35">
      <c r="A108" s="19">
        <v>46129</v>
      </c>
      <c r="B108" s="31">
        <v>20260417</v>
      </c>
      <c r="C108" s="31">
        <v>2026</v>
      </c>
      <c r="D108" s="31" t="s">
        <v>452</v>
      </c>
      <c r="E108" s="31">
        <v>4</v>
      </c>
      <c r="F108" s="31" t="s">
        <v>453</v>
      </c>
      <c r="G108" s="19">
        <v>46113</v>
      </c>
    </row>
    <row r="109" spans="1:7" x14ac:dyDescent="0.35">
      <c r="A109" s="19">
        <v>46130</v>
      </c>
      <c r="B109" s="31">
        <v>20260418</v>
      </c>
      <c r="C109" s="31">
        <v>2026</v>
      </c>
      <c r="D109" s="31" t="s">
        <v>452</v>
      </c>
      <c r="E109" s="31">
        <v>4</v>
      </c>
      <c r="F109" s="31" t="s">
        <v>453</v>
      </c>
      <c r="G109" s="19">
        <v>46113</v>
      </c>
    </row>
    <row r="110" spans="1:7" x14ac:dyDescent="0.35">
      <c r="A110" s="19">
        <v>46131</v>
      </c>
      <c r="B110" s="31">
        <v>20260419</v>
      </c>
      <c r="C110" s="31">
        <v>2026</v>
      </c>
      <c r="D110" s="31" t="s">
        <v>452</v>
      </c>
      <c r="E110" s="31">
        <v>4</v>
      </c>
      <c r="F110" s="31" t="s">
        <v>453</v>
      </c>
      <c r="G110" s="19">
        <v>46113</v>
      </c>
    </row>
    <row r="111" spans="1:7" x14ac:dyDescent="0.35">
      <c r="A111" s="19">
        <v>46132</v>
      </c>
      <c r="B111" s="31">
        <v>20260420</v>
      </c>
      <c r="C111" s="31">
        <v>2026</v>
      </c>
      <c r="D111" s="31" t="s">
        <v>452</v>
      </c>
      <c r="E111" s="31">
        <v>4</v>
      </c>
      <c r="F111" s="31" t="s">
        <v>453</v>
      </c>
      <c r="G111" s="19">
        <v>46113</v>
      </c>
    </row>
    <row r="112" spans="1:7" x14ac:dyDescent="0.35">
      <c r="A112" s="19">
        <v>46133</v>
      </c>
      <c r="B112" s="31">
        <v>20260421</v>
      </c>
      <c r="C112" s="31">
        <v>2026</v>
      </c>
      <c r="D112" s="31" t="s">
        <v>452</v>
      </c>
      <c r="E112" s="31">
        <v>4</v>
      </c>
      <c r="F112" s="31" t="s">
        <v>453</v>
      </c>
      <c r="G112" s="19">
        <v>46113</v>
      </c>
    </row>
    <row r="113" spans="1:7" x14ac:dyDescent="0.35">
      <c r="A113" s="19">
        <v>46134</v>
      </c>
      <c r="B113" s="31">
        <v>20260422</v>
      </c>
      <c r="C113" s="31">
        <v>2026</v>
      </c>
      <c r="D113" s="31" t="s">
        <v>452</v>
      </c>
      <c r="E113" s="31">
        <v>4</v>
      </c>
      <c r="F113" s="31" t="s">
        <v>453</v>
      </c>
      <c r="G113" s="19">
        <v>46113</v>
      </c>
    </row>
    <row r="114" spans="1:7" x14ac:dyDescent="0.35">
      <c r="A114" s="19">
        <v>46135</v>
      </c>
      <c r="B114" s="31">
        <v>20260423</v>
      </c>
      <c r="C114" s="31">
        <v>2026</v>
      </c>
      <c r="D114" s="31" t="s">
        <v>452</v>
      </c>
      <c r="E114" s="31">
        <v>4</v>
      </c>
      <c r="F114" s="31" t="s">
        <v>453</v>
      </c>
      <c r="G114" s="19">
        <v>46113</v>
      </c>
    </row>
    <row r="115" spans="1:7" x14ac:dyDescent="0.35">
      <c r="A115" s="19">
        <v>46136</v>
      </c>
      <c r="B115" s="31">
        <v>20260424</v>
      </c>
      <c r="C115" s="31">
        <v>2026</v>
      </c>
      <c r="D115" s="31" t="s">
        <v>452</v>
      </c>
      <c r="E115" s="31">
        <v>4</v>
      </c>
      <c r="F115" s="31" t="s">
        <v>453</v>
      </c>
      <c r="G115" s="19">
        <v>46113</v>
      </c>
    </row>
    <row r="116" spans="1:7" x14ac:dyDescent="0.35">
      <c r="A116" s="19">
        <v>46137</v>
      </c>
      <c r="B116" s="31">
        <v>20260425</v>
      </c>
      <c r="C116" s="31">
        <v>2026</v>
      </c>
      <c r="D116" s="31" t="s">
        <v>452</v>
      </c>
      <c r="E116" s="31">
        <v>4</v>
      </c>
      <c r="F116" s="31" t="s">
        <v>453</v>
      </c>
      <c r="G116" s="19">
        <v>46113</v>
      </c>
    </row>
    <row r="117" spans="1:7" x14ac:dyDescent="0.35">
      <c r="A117" s="19">
        <v>46138</v>
      </c>
      <c r="B117" s="31">
        <v>20260426</v>
      </c>
      <c r="C117" s="31">
        <v>2026</v>
      </c>
      <c r="D117" s="31" t="s">
        <v>452</v>
      </c>
      <c r="E117" s="31">
        <v>4</v>
      </c>
      <c r="F117" s="31" t="s">
        <v>453</v>
      </c>
      <c r="G117" s="19">
        <v>46113</v>
      </c>
    </row>
    <row r="118" spans="1:7" x14ac:dyDescent="0.35">
      <c r="A118" s="19">
        <v>46139</v>
      </c>
      <c r="B118" s="31">
        <v>20260427</v>
      </c>
      <c r="C118" s="31">
        <v>2026</v>
      </c>
      <c r="D118" s="31" t="s">
        <v>452</v>
      </c>
      <c r="E118" s="31">
        <v>4</v>
      </c>
      <c r="F118" s="31" t="s">
        <v>453</v>
      </c>
      <c r="G118" s="19">
        <v>46113</v>
      </c>
    </row>
    <row r="119" spans="1:7" x14ac:dyDescent="0.35">
      <c r="A119" s="19">
        <v>46140</v>
      </c>
      <c r="B119" s="31">
        <v>20260428</v>
      </c>
      <c r="C119" s="31">
        <v>2026</v>
      </c>
      <c r="D119" s="31" t="s">
        <v>452</v>
      </c>
      <c r="E119" s="31">
        <v>4</v>
      </c>
      <c r="F119" s="31" t="s">
        <v>453</v>
      </c>
      <c r="G119" s="19">
        <v>46113</v>
      </c>
    </row>
    <row r="120" spans="1:7" x14ac:dyDescent="0.35">
      <c r="A120" s="19">
        <v>46141</v>
      </c>
      <c r="B120" s="31">
        <v>20260429</v>
      </c>
      <c r="C120" s="31">
        <v>2026</v>
      </c>
      <c r="D120" s="31" t="s">
        <v>452</v>
      </c>
      <c r="E120" s="31">
        <v>4</v>
      </c>
      <c r="F120" s="31" t="s">
        <v>453</v>
      </c>
      <c r="G120" s="19">
        <v>46113</v>
      </c>
    </row>
    <row r="121" spans="1:7" x14ac:dyDescent="0.35">
      <c r="A121" s="19">
        <v>46142</v>
      </c>
      <c r="B121" s="31">
        <v>20260430</v>
      </c>
      <c r="C121" s="31">
        <v>2026</v>
      </c>
      <c r="D121" s="31" t="s">
        <v>452</v>
      </c>
      <c r="E121" s="31">
        <v>4</v>
      </c>
      <c r="F121" s="31" t="s">
        <v>453</v>
      </c>
      <c r="G121" s="19">
        <v>46113</v>
      </c>
    </row>
    <row r="122" spans="1:7" x14ac:dyDescent="0.35">
      <c r="A122" s="19">
        <v>46143</v>
      </c>
      <c r="B122" s="31">
        <v>20260501</v>
      </c>
      <c r="C122" s="31">
        <v>2026</v>
      </c>
      <c r="D122" s="31" t="s">
        <v>452</v>
      </c>
      <c r="E122" s="31">
        <v>5</v>
      </c>
      <c r="F122" s="31" t="s">
        <v>454</v>
      </c>
      <c r="G122" s="19">
        <v>46143</v>
      </c>
    </row>
    <row r="123" spans="1:7" x14ac:dyDescent="0.35">
      <c r="A123" s="19">
        <v>46144</v>
      </c>
      <c r="B123" s="31">
        <v>20260502</v>
      </c>
      <c r="C123" s="31">
        <v>2026</v>
      </c>
      <c r="D123" s="31" t="s">
        <v>452</v>
      </c>
      <c r="E123" s="31">
        <v>5</v>
      </c>
      <c r="F123" s="31" t="s">
        <v>454</v>
      </c>
      <c r="G123" s="19">
        <v>46143</v>
      </c>
    </row>
    <row r="124" spans="1:7" x14ac:dyDescent="0.35">
      <c r="A124" s="19">
        <v>46145</v>
      </c>
      <c r="B124" s="31">
        <v>20260503</v>
      </c>
      <c r="C124" s="31">
        <v>2026</v>
      </c>
      <c r="D124" s="31" t="s">
        <v>452</v>
      </c>
      <c r="E124" s="31">
        <v>5</v>
      </c>
      <c r="F124" s="31" t="s">
        <v>454</v>
      </c>
      <c r="G124" s="19">
        <v>46143</v>
      </c>
    </row>
    <row r="125" spans="1:7" x14ac:dyDescent="0.35">
      <c r="A125" s="19">
        <v>46146</v>
      </c>
      <c r="B125" s="31">
        <v>20260504</v>
      </c>
      <c r="C125" s="31">
        <v>2026</v>
      </c>
      <c r="D125" s="31" t="s">
        <v>452</v>
      </c>
      <c r="E125" s="31">
        <v>5</v>
      </c>
      <c r="F125" s="31" t="s">
        <v>454</v>
      </c>
      <c r="G125" s="19">
        <v>46143</v>
      </c>
    </row>
    <row r="126" spans="1:7" x14ac:dyDescent="0.35">
      <c r="A126" s="19">
        <v>46147</v>
      </c>
      <c r="B126" s="31">
        <v>20260505</v>
      </c>
      <c r="C126" s="31">
        <v>2026</v>
      </c>
      <c r="D126" s="31" t="s">
        <v>452</v>
      </c>
      <c r="E126" s="31">
        <v>5</v>
      </c>
      <c r="F126" s="31" t="s">
        <v>454</v>
      </c>
      <c r="G126" s="19">
        <v>46143</v>
      </c>
    </row>
    <row r="127" spans="1:7" x14ac:dyDescent="0.35">
      <c r="A127" s="19">
        <v>46148</v>
      </c>
      <c r="B127" s="31">
        <v>20260506</v>
      </c>
      <c r="C127" s="31">
        <v>2026</v>
      </c>
      <c r="D127" s="31" t="s">
        <v>452</v>
      </c>
      <c r="E127" s="31">
        <v>5</v>
      </c>
      <c r="F127" s="31" t="s">
        <v>454</v>
      </c>
      <c r="G127" s="19">
        <v>46143</v>
      </c>
    </row>
    <row r="128" spans="1:7" x14ac:dyDescent="0.35">
      <c r="A128" s="19">
        <v>46149</v>
      </c>
      <c r="B128" s="31">
        <v>20260507</v>
      </c>
      <c r="C128" s="31">
        <v>2026</v>
      </c>
      <c r="D128" s="31" t="s">
        <v>452</v>
      </c>
      <c r="E128" s="31">
        <v>5</v>
      </c>
      <c r="F128" s="31" t="s">
        <v>454</v>
      </c>
      <c r="G128" s="19">
        <v>46143</v>
      </c>
    </row>
    <row r="129" spans="1:7" x14ac:dyDescent="0.35">
      <c r="A129" s="19">
        <v>46150</v>
      </c>
      <c r="B129" s="31">
        <v>20260508</v>
      </c>
      <c r="C129" s="31">
        <v>2026</v>
      </c>
      <c r="D129" s="31" t="s">
        <v>452</v>
      </c>
      <c r="E129" s="31">
        <v>5</v>
      </c>
      <c r="F129" s="31" t="s">
        <v>454</v>
      </c>
      <c r="G129" s="19">
        <v>46143</v>
      </c>
    </row>
    <row r="130" spans="1:7" x14ac:dyDescent="0.35">
      <c r="A130" s="19">
        <v>46151</v>
      </c>
      <c r="B130" s="31">
        <v>20260509</v>
      </c>
      <c r="C130" s="31">
        <v>2026</v>
      </c>
      <c r="D130" s="31" t="s">
        <v>452</v>
      </c>
      <c r="E130" s="31">
        <v>5</v>
      </c>
      <c r="F130" s="31" t="s">
        <v>454</v>
      </c>
      <c r="G130" s="19">
        <v>46143</v>
      </c>
    </row>
    <row r="131" spans="1:7" x14ac:dyDescent="0.35">
      <c r="A131" s="19">
        <v>46152</v>
      </c>
      <c r="B131" s="31">
        <v>20260510</v>
      </c>
      <c r="C131" s="31">
        <v>2026</v>
      </c>
      <c r="D131" s="31" t="s">
        <v>452</v>
      </c>
      <c r="E131" s="31">
        <v>5</v>
      </c>
      <c r="F131" s="31" t="s">
        <v>454</v>
      </c>
      <c r="G131" s="19">
        <v>46143</v>
      </c>
    </row>
    <row r="132" spans="1:7" x14ac:dyDescent="0.35">
      <c r="A132" s="19">
        <v>46153</v>
      </c>
      <c r="B132" s="31">
        <v>20260511</v>
      </c>
      <c r="C132" s="31">
        <v>2026</v>
      </c>
      <c r="D132" s="31" t="s">
        <v>452</v>
      </c>
      <c r="E132" s="31">
        <v>5</v>
      </c>
      <c r="F132" s="31" t="s">
        <v>454</v>
      </c>
      <c r="G132" s="19">
        <v>46143</v>
      </c>
    </row>
    <row r="133" spans="1:7" x14ac:dyDescent="0.35">
      <c r="A133" s="19">
        <v>46154</v>
      </c>
      <c r="B133" s="31">
        <v>20260512</v>
      </c>
      <c r="C133" s="31">
        <v>2026</v>
      </c>
      <c r="D133" s="31" t="s">
        <v>452</v>
      </c>
      <c r="E133" s="31">
        <v>5</v>
      </c>
      <c r="F133" s="31" t="s">
        <v>454</v>
      </c>
      <c r="G133" s="19">
        <v>46143</v>
      </c>
    </row>
    <row r="134" spans="1:7" x14ac:dyDescent="0.35">
      <c r="A134" s="19">
        <v>46155</v>
      </c>
      <c r="B134" s="31">
        <v>20260513</v>
      </c>
      <c r="C134" s="31">
        <v>2026</v>
      </c>
      <c r="D134" s="31" t="s">
        <v>452</v>
      </c>
      <c r="E134" s="31">
        <v>5</v>
      </c>
      <c r="F134" s="31" t="s">
        <v>454</v>
      </c>
      <c r="G134" s="19">
        <v>46143</v>
      </c>
    </row>
    <row r="135" spans="1:7" x14ac:dyDescent="0.35">
      <c r="A135" s="19">
        <v>46156</v>
      </c>
      <c r="B135" s="31">
        <v>20260514</v>
      </c>
      <c r="C135" s="31">
        <v>2026</v>
      </c>
      <c r="D135" s="31" t="s">
        <v>452</v>
      </c>
      <c r="E135" s="31">
        <v>5</v>
      </c>
      <c r="F135" s="31" t="s">
        <v>454</v>
      </c>
      <c r="G135" s="19">
        <v>46143</v>
      </c>
    </row>
    <row r="136" spans="1:7" x14ac:dyDescent="0.35">
      <c r="A136" s="19">
        <v>46157</v>
      </c>
      <c r="B136" s="31">
        <v>20260515</v>
      </c>
      <c r="C136" s="31">
        <v>2026</v>
      </c>
      <c r="D136" s="31" t="s">
        <v>452</v>
      </c>
      <c r="E136" s="31">
        <v>5</v>
      </c>
      <c r="F136" s="31" t="s">
        <v>454</v>
      </c>
      <c r="G136" s="19">
        <v>46143</v>
      </c>
    </row>
    <row r="137" spans="1:7" x14ac:dyDescent="0.35">
      <c r="A137" s="19">
        <v>46158</v>
      </c>
      <c r="B137" s="31">
        <v>20260516</v>
      </c>
      <c r="C137" s="31">
        <v>2026</v>
      </c>
      <c r="D137" s="31" t="s">
        <v>452</v>
      </c>
      <c r="E137" s="31">
        <v>5</v>
      </c>
      <c r="F137" s="31" t="s">
        <v>454</v>
      </c>
      <c r="G137" s="19">
        <v>46143</v>
      </c>
    </row>
    <row r="138" spans="1:7" x14ac:dyDescent="0.35">
      <c r="A138" s="19">
        <v>46159</v>
      </c>
      <c r="B138" s="31">
        <v>20260517</v>
      </c>
      <c r="C138" s="31">
        <v>2026</v>
      </c>
      <c r="D138" s="31" t="s">
        <v>452</v>
      </c>
      <c r="E138" s="31">
        <v>5</v>
      </c>
      <c r="F138" s="31" t="s">
        <v>454</v>
      </c>
      <c r="G138" s="19">
        <v>46143</v>
      </c>
    </row>
    <row r="139" spans="1:7" x14ac:dyDescent="0.35">
      <c r="A139" s="19">
        <v>46160</v>
      </c>
      <c r="B139" s="31">
        <v>20260518</v>
      </c>
      <c r="C139" s="31">
        <v>2026</v>
      </c>
      <c r="D139" s="31" t="s">
        <v>452</v>
      </c>
      <c r="E139" s="31">
        <v>5</v>
      </c>
      <c r="F139" s="31" t="s">
        <v>454</v>
      </c>
      <c r="G139" s="19">
        <v>46143</v>
      </c>
    </row>
    <row r="140" spans="1:7" x14ac:dyDescent="0.35">
      <c r="A140" s="19">
        <v>46161</v>
      </c>
      <c r="B140" s="31">
        <v>20260519</v>
      </c>
      <c r="C140" s="31">
        <v>2026</v>
      </c>
      <c r="D140" s="31" t="s">
        <v>452</v>
      </c>
      <c r="E140" s="31">
        <v>5</v>
      </c>
      <c r="F140" s="31" t="s">
        <v>454</v>
      </c>
      <c r="G140" s="19">
        <v>46143</v>
      </c>
    </row>
    <row r="141" spans="1:7" x14ac:dyDescent="0.35">
      <c r="A141" s="19">
        <v>46162</v>
      </c>
      <c r="B141" s="31">
        <v>20260520</v>
      </c>
      <c r="C141" s="31">
        <v>2026</v>
      </c>
      <c r="D141" s="31" t="s">
        <v>452</v>
      </c>
      <c r="E141" s="31">
        <v>5</v>
      </c>
      <c r="F141" s="31" t="s">
        <v>454</v>
      </c>
      <c r="G141" s="19">
        <v>46143</v>
      </c>
    </row>
    <row r="142" spans="1:7" x14ac:dyDescent="0.35">
      <c r="A142" s="19">
        <v>46163</v>
      </c>
      <c r="B142" s="31">
        <v>20260521</v>
      </c>
      <c r="C142" s="31">
        <v>2026</v>
      </c>
      <c r="D142" s="31" t="s">
        <v>452</v>
      </c>
      <c r="E142" s="31">
        <v>5</v>
      </c>
      <c r="F142" s="31" t="s">
        <v>454</v>
      </c>
      <c r="G142" s="19">
        <v>46143</v>
      </c>
    </row>
    <row r="143" spans="1:7" x14ac:dyDescent="0.35">
      <c r="A143" s="19">
        <v>46164</v>
      </c>
      <c r="B143" s="31">
        <v>20260522</v>
      </c>
      <c r="C143" s="31">
        <v>2026</v>
      </c>
      <c r="D143" s="31" t="s">
        <v>452</v>
      </c>
      <c r="E143" s="31">
        <v>5</v>
      </c>
      <c r="F143" s="31" t="s">
        <v>454</v>
      </c>
      <c r="G143" s="19">
        <v>46143</v>
      </c>
    </row>
    <row r="144" spans="1:7" x14ac:dyDescent="0.35">
      <c r="A144" s="19">
        <v>46165</v>
      </c>
      <c r="B144" s="31">
        <v>20260523</v>
      </c>
      <c r="C144" s="31">
        <v>2026</v>
      </c>
      <c r="D144" s="31" t="s">
        <v>452</v>
      </c>
      <c r="E144" s="31">
        <v>5</v>
      </c>
      <c r="F144" s="31" t="s">
        <v>454</v>
      </c>
      <c r="G144" s="19">
        <v>46143</v>
      </c>
    </row>
    <row r="145" spans="1:7" x14ac:dyDescent="0.35">
      <c r="A145" s="19">
        <v>46166</v>
      </c>
      <c r="B145" s="31">
        <v>20260524</v>
      </c>
      <c r="C145" s="31">
        <v>2026</v>
      </c>
      <c r="D145" s="31" t="s">
        <v>452</v>
      </c>
      <c r="E145" s="31">
        <v>5</v>
      </c>
      <c r="F145" s="31" t="s">
        <v>454</v>
      </c>
      <c r="G145" s="19">
        <v>46143</v>
      </c>
    </row>
    <row r="146" spans="1:7" x14ac:dyDescent="0.35">
      <c r="A146" s="19">
        <v>46167</v>
      </c>
      <c r="B146" s="31">
        <v>20260525</v>
      </c>
      <c r="C146" s="31">
        <v>2026</v>
      </c>
      <c r="D146" s="31" t="s">
        <v>452</v>
      </c>
      <c r="E146" s="31">
        <v>5</v>
      </c>
      <c r="F146" s="31" t="s">
        <v>454</v>
      </c>
      <c r="G146" s="19">
        <v>46143</v>
      </c>
    </row>
    <row r="147" spans="1:7" x14ac:dyDescent="0.35">
      <c r="A147" s="19">
        <v>46168</v>
      </c>
      <c r="B147" s="31">
        <v>20260526</v>
      </c>
      <c r="C147" s="31">
        <v>2026</v>
      </c>
      <c r="D147" s="31" t="s">
        <v>452</v>
      </c>
      <c r="E147" s="31">
        <v>5</v>
      </c>
      <c r="F147" s="31" t="s">
        <v>454</v>
      </c>
      <c r="G147" s="19">
        <v>46143</v>
      </c>
    </row>
    <row r="148" spans="1:7" x14ac:dyDescent="0.35">
      <c r="A148" s="19">
        <v>46169</v>
      </c>
      <c r="B148" s="31">
        <v>20260527</v>
      </c>
      <c r="C148" s="31">
        <v>2026</v>
      </c>
      <c r="D148" s="31" t="s">
        <v>452</v>
      </c>
      <c r="E148" s="31">
        <v>5</v>
      </c>
      <c r="F148" s="31" t="s">
        <v>454</v>
      </c>
      <c r="G148" s="19">
        <v>46143</v>
      </c>
    </row>
    <row r="149" spans="1:7" x14ac:dyDescent="0.35">
      <c r="A149" s="19">
        <v>46170</v>
      </c>
      <c r="B149" s="31">
        <v>20260528</v>
      </c>
      <c r="C149" s="31">
        <v>2026</v>
      </c>
      <c r="D149" s="31" t="s">
        <v>452</v>
      </c>
      <c r="E149" s="31">
        <v>5</v>
      </c>
      <c r="F149" s="31" t="s">
        <v>454</v>
      </c>
      <c r="G149" s="19">
        <v>46143</v>
      </c>
    </row>
    <row r="150" spans="1:7" x14ac:dyDescent="0.35">
      <c r="A150" s="19">
        <v>46171</v>
      </c>
      <c r="B150" s="31">
        <v>20260529</v>
      </c>
      <c r="C150" s="31">
        <v>2026</v>
      </c>
      <c r="D150" s="31" t="s">
        <v>452</v>
      </c>
      <c r="E150" s="31">
        <v>5</v>
      </c>
      <c r="F150" s="31" t="s">
        <v>454</v>
      </c>
      <c r="G150" s="19">
        <v>46143</v>
      </c>
    </row>
    <row r="151" spans="1:7" x14ac:dyDescent="0.35">
      <c r="A151" s="19">
        <v>46172</v>
      </c>
      <c r="B151" s="31">
        <v>20260530</v>
      </c>
      <c r="C151" s="31">
        <v>2026</v>
      </c>
      <c r="D151" s="31" t="s">
        <v>452</v>
      </c>
      <c r="E151" s="31">
        <v>5</v>
      </c>
      <c r="F151" s="31" t="s">
        <v>454</v>
      </c>
      <c r="G151" s="19">
        <v>46143</v>
      </c>
    </row>
    <row r="152" spans="1:7" x14ac:dyDescent="0.35">
      <c r="A152" s="19">
        <v>46173</v>
      </c>
      <c r="B152" s="31">
        <v>20260531</v>
      </c>
      <c r="C152" s="31">
        <v>2026</v>
      </c>
      <c r="D152" s="31" t="s">
        <v>452</v>
      </c>
      <c r="E152" s="31">
        <v>5</v>
      </c>
      <c r="F152" s="31" t="s">
        <v>454</v>
      </c>
      <c r="G152" s="19">
        <v>46143</v>
      </c>
    </row>
    <row r="153" spans="1:7" x14ac:dyDescent="0.35">
      <c r="A153" s="19">
        <v>46174</v>
      </c>
      <c r="B153" s="31">
        <v>20260601</v>
      </c>
      <c r="C153" s="31">
        <v>2026</v>
      </c>
      <c r="D153" s="31" t="s">
        <v>452</v>
      </c>
      <c r="E153" s="31">
        <v>6</v>
      </c>
      <c r="F153" s="31" t="s">
        <v>455</v>
      </c>
      <c r="G153" s="19">
        <v>46174</v>
      </c>
    </row>
    <row r="154" spans="1:7" x14ac:dyDescent="0.35">
      <c r="A154" s="19">
        <v>46175</v>
      </c>
      <c r="B154" s="31">
        <v>20260602</v>
      </c>
      <c r="C154" s="31">
        <v>2026</v>
      </c>
      <c r="D154" s="31" t="s">
        <v>452</v>
      </c>
      <c r="E154" s="31">
        <v>6</v>
      </c>
      <c r="F154" s="31" t="s">
        <v>455</v>
      </c>
      <c r="G154" s="19">
        <v>46174</v>
      </c>
    </row>
    <row r="155" spans="1:7" x14ac:dyDescent="0.35">
      <c r="A155" s="19">
        <v>46176</v>
      </c>
      <c r="B155" s="31">
        <v>20260603</v>
      </c>
      <c r="C155" s="31">
        <v>2026</v>
      </c>
      <c r="D155" s="31" t="s">
        <v>452</v>
      </c>
      <c r="E155" s="31">
        <v>6</v>
      </c>
      <c r="F155" s="31" t="s">
        <v>455</v>
      </c>
      <c r="G155" s="19">
        <v>46174</v>
      </c>
    </row>
    <row r="156" spans="1:7" x14ac:dyDescent="0.35">
      <c r="A156" s="19">
        <v>46177</v>
      </c>
      <c r="B156" s="31">
        <v>20260604</v>
      </c>
      <c r="C156" s="31">
        <v>2026</v>
      </c>
      <c r="D156" s="31" t="s">
        <v>452</v>
      </c>
      <c r="E156" s="31">
        <v>6</v>
      </c>
      <c r="F156" s="31" t="s">
        <v>455</v>
      </c>
      <c r="G156" s="19">
        <v>46174</v>
      </c>
    </row>
    <row r="157" spans="1:7" x14ac:dyDescent="0.35">
      <c r="A157" s="19">
        <v>46178</v>
      </c>
      <c r="B157" s="31">
        <v>20260605</v>
      </c>
      <c r="C157" s="31">
        <v>2026</v>
      </c>
      <c r="D157" s="31" t="s">
        <v>452</v>
      </c>
      <c r="E157" s="31">
        <v>6</v>
      </c>
      <c r="F157" s="31" t="s">
        <v>455</v>
      </c>
      <c r="G157" s="19">
        <v>46174</v>
      </c>
    </row>
    <row r="158" spans="1:7" x14ac:dyDescent="0.35">
      <c r="A158" s="19">
        <v>46179</v>
      </c>
      <c r="B158" s="31">
        <v>20260606</v>
      </c>
      <c r="C158" s="31">
        <v>2026</v>
      </c>
      <c r="D158" s="31" t="s">
        <v>452</v>
      </c>
      <c r="E158" s="31">
        <v>6</v>
      </c>
      <c r="F158" s="31" t="s">
        <v>455</v>
      </c>
      <c r="G158" s="19">
        <v>46174</v>
      </c>
    </row>
    <row r="159" spans="1:7" x14ac:dyDescent="0.35">
      <c r="A159" s="19">
        <v>46180</v>
      </c>
      <c r="B159" s="31">
        <v>20260607</v>
      </c>
      <c r="C159" s="31">
        <v>2026</v>
      </c>
      <c r="D159" s="31" t="s">
        <v>452</v>
      </c>
      <c r="E159" s="31">
        <v>6</v>
      </c>
      <c r="F159" s="31" t="s">
        <v>455</v>
      </c>
      <c r="G159" s="19">
        <v>46174</v>
      </c>
    </row>
    <row r="160" spans="1:7" x14ac:dyDescent="0.35">
      <c r="A160" s="19">
        <v>46181</v>
      </c>
      <c r="B160" s="31">
        <v>20260608</v>
      </c>
      <c r="C160" s="31">
        <v>2026</v>
      </c>
      <c r="D160" s="31" t="s">
        <v>452</v>
      </c>
      <c r="E160" s="31">
        <v>6</v>
      </c>
      <c r="F160" s="31" t="s">
        <v>455</v>
      </c>
      <c r="G160" s="19">
        <v>46174</v>
      </c>
    </row>
    <row r="161" spans="1:7" x14ac:dyDescent="0.35">
      <c r="A161" s="19">
        <v>46182</v>
      </c>
      <c r="B161" s="31">
        <v>20260609</v>
      </c>
      <c r="C161" s="31">
        <v>2026</v>
      </c>
      <c r="D161" s="31" t="s">
        <v>452</v>
      </c>
      <c r="E161" s="31">
        <v>6</v>
      </c>
      <c r="F161" s="31" t="s">
        <v>455</v>
      </c>
      <c r="G161" s="19">
        <v>46174</v>
      </c>
    </row>
    <row r="162" spans="1:7" x14ac:dyDescent="0.35">
      <c r="A162" s="19">
        <v>46183</v>
      </c>
      <c r="B162" s="31">
        <v>20260610</v>
      </c>
      <c r="C162" s="31">
        <v>2026</v>
      </c>
      <c r="D162" s="31" t="s">
        <v>452</v>
      </c>
      <c r="E162" s="31">
        <v>6</v>
      </c>
      <c r="F162" s="31" t="s">
        <v>455</v>
      </c>
      <c r="G162" s="19">
        <v>46174</v>
      </c>
    </row>
    <row r="163" spans="1:7" x14ac:dyDescent="0.35">
      <c r="A163" s="19">
        <v>46184</v>
      </c>
      <c r="B163" s="31">
        <v>20260611</v>
      </c>
      <c r="C163" s="31">
        <v>2026</v>
      </c>
      <c r="D163" s="31" t="s">
        <v>452</v>
      </c>
      <c r="E163" s="31">
        <v>6</v>
      </c>
      <c r="F163" s="31" t="s">
        <v>455</v>
      </c>
      <c r="G163" s="19">
        <v>46174</v>
      </c>
    </row>
    <row r="164" spans="1:7" x14ac:dyDescent="0.35">
      <c r="A164" s="19">
        <v>46185</v>
      </c>
      <c r="B164" s="31">
        <v>20260612</v>
      </c>
      <c r="C164" s="31">
        <v>2026</v>
      </c>
      <c r="D164" s="31" t="s">
        <v>452</v>
      </c>
      <c r="E164" s="31">
        <v>6</v>
      </c>
      <c r="F164" s="31" t="s">
        <v>455</v>
      </c>
      <c r="G164" s="19">
        <v>46174</v>
      </c>
    </row>
    <row r="165" spans="1:7" x14ac:dyDescent="0.35">
      <c r="A165" s="19">
        <v>46186</v>
      </c>
      <c r="B165" s="31">
        <v>20260613</v>
      </c>
      <c r="C165" s="31">
        <v>2026</v>
      </c>
      <c r="D165" s="31" t="s">
        <v>452</v>
      </c>
      <c r="E165" s="31">
        <v>6</v>
      </c>
      <c r="F165" s="31" t="s">
        <v>455</v>
      </c>
      <c r="G165" s="19">
        <v>46174</v>
      </c>
    </row>
    <row r="166" spans="1:7" x14ac:dyDescent="0.35">
      <c r="A166" s="19">
        <v>46187</v>
      </c>
      <c r="B166" s="31">
        <v>20260614</v>
      </c>
      <c r="C166" s="31">
        <v>2026</v>
      </c>
      <c r="D166" s="31" t="s">
        <v>452</v>
      </c>
      <c r="E166" s="31">
        <v>6</v>
      </c>
      <c r="F166" s="31" t="s">
        <v>455</v>
      </c>
      <c r="G166" s="19">
        <v>46174</v>
      </c>
    </row>
    <row r="167" spans="1:7" x14ac:dyDescent="0.35">
      <c r="A167" s="19">
        <v>46188</v>
      </c>
      <c r="B167" s="31">
        <v>20260615</v>
      </c>
      <c r="C167" s="31">
        <v>2026</v>
      </c>
      <c r="D167" s="31" t="s">
        <v>452</v>
      </c>
      <c r="E167" s="31">
        <v>6</v>
      </c>
      <c r="F167" s="31" t="s">
        <v>455</v>
      </c>
      <c r="G167" s="19">
        <v>46174</v>
      </c>
    </row>
    <row r="168" spans="1:7" x14ac:dyDescent="0.35">
      <c r="A168" s="19">
        <v>46189</v>
      </c>
      <c r="B168" s="31">
        <v>20260616</v>
      </c>
      <c r="C168" s="31">
        <v>2026</v>
      </c>
      <c r="D168" s="31" t="s">
        <v>452</v>
      </c>
      <c r="E168" s="31">
        <v>6</v>
      </c>
      <c r="F168" s="31" t="s">
        <v>455</v>
      </c>
      <c r="G168" s="19">
        <v>46174</v>
      </c>
    </row>
    <row r="169" spans="1:7" x14ac:dyDescent="0.35">
      <c r="A169" s="19">
        <v>46190</v>
      </c>
      <c r="B169" s="31">
        <v>20260617</v>
      </c>
      <c r="C169" s="31">
        <v>2026</v>
      </c>
      <c r="D169" s="31" t="s">
        <v>452</v>
      </c>
      <c r="E169" s="31">
        <v>6</v>
      </c>
      <c r="F169" s="31" t="s">
        <v>455</v>
      </c>
      <c r="G169" s="19">
        <v>46174</v>
      </c>
    </row>
    <row r="170" spans="1:7" x14ac:dyDescent="0.35">
      <c r="A170" s="19">
        <v>46191</v>
      </c>
      <c r="B170" s="31">
        <v>20260618</v>
      </c>
      <c r="C170" s="31">
        <v>2026</v>
      </c>
      <c r="D170" s="31" t="s">
        <v>452</v>
      </c>
      <c r="E170" s="31">
        <v>6</v>
      </c>
      <c r="F170" s="31" t="s">
        <v>455</v>
      </c>
      <c r="G170" s="19">
        <v>46174</v>
      </c>
    </row>
    <row r="171" spans="1:7" x14ac:dyDescent="0.35">
      <c r="A171" s="19">
        <v>46192</v>
      </c>
      <c r="B171" s="31">
        <v>20260619</v>
      </c>
      <c r="C171" s="31">
        <v>2026</v>
      </c>
      <c r="D171" s="31" t="s">
        <v>452</v>
      </c>
      <c r="E171" s="31">
        <v>6</v>
      </c>
      <c r="F171" s="31" t="s">
        <v>455</v>
      </c>
      <c r="G171" s="19">
        <v>46174</v>
      </c>
    </row>
    <row r="172" spans="1:7" x14ac:dyDescent="0.35">
      <c r="A172" s="19">
        <v>46193</v>
      </c>
      <c r="B172" s="31">
        <v>20260620</v>
      </c>
      <c r="C172" s="31">
        <v>2026</v>
      </c>
      <c r="D172" s="31" t="s">
        <v>452</v>
      </c>
      <c r="E172" s="31">
        <v>6</v>
      </c>
      <c r="F172" s="31" t="s">
        <v>455</v>
      </c>
      <c r="G172" s="19">
        <v>46174</v>
      </c>
    </row>
    <row r="173" spans="1:7" x14ac:dyDescent="0.35">
      <c r="A173" s="19">
        <v>46194</v>
      </c>
      <c r="B173" s="31">
        <v>20260621</v>
      </c>
      <c r="C173" s="31">
        <v>2026</v>
      </c>
      <c r="D173" s="31" t="s">
        <v>452</v>
      </c>
      <c r="E173" s="31">
        <v>6</v>
      </c>
      <c r="F173" s="31" t="s">
        <v>455</v>
      </c>
      <c r="G173" s="19">
        <v>46174</v>
      </c>
    </row>
    <row r="174" spans="1:7" x14ac:dyDescent="0.35">
      <c r="A174" s="19">
        <v>46195</v>
      </c>
      <c r="B174" s="31">
        <v>20260622</v>
      </c>
      <c r="C174" s="31">
        <v>2026</v>
      </c>
      <c r="D174" s="31" t="s">
        <v>452</v>
      </c>
      <c r="E174" s="31">
        <v>6</v>
      </c>
      <c r="F174" s="31" t="s">
        <v>455</v>
      </c>
      <c r="G174" s="19">
        <v>46174</v>
      </c>
    </row>
    <row r="175" spans="1:7" x14ac:dyDescent="0.35">
      <c r="A175" s="19">
        <v>46196</v>
      </c>
      <c r="B175" s="31">
        <v>20260623</v>
      </c>
      <c r="C175" s="31">
        <v>2026</v>
      </c>
      <c r="D175" s="31" t="s">
        <v>452</v>
      </c>
      <c r="E175" s="31">
        <v>6</v>
      </c>
      <c r="F175" s="31" t="s">
        <v>455</v>
      </c>
      <c r="G175" s="19">
        <v>46174</v>
      </c>
    </row>
    <row r="176" spans="1:7" x14ac:dyDescent="0.35">
      <c r="A176" s="19">
        <v>46197</v>
      </c>
      <c r="B176" s="31">
        <v>20260624</v>
      </c>
      <c r="C176" s="31">
        <v>2026</v>
      </c>
      <c r="D176" s="31" t="s">
        <v>452</v>
      </c>
      <c r="E176" s="31">
        <v>6</v>
      </c>
      <c r="F176" s="31" t="s">
        <v>455</v>
      </c>
      <c r="G176" s="19">
        <v>46174</v>
      </c>
    </row>
    <row r="177" spans="1:7" x14ac:dyDescent="0.35">
      <c r="A177" s="19">
        <v>46198</v>
      </c>
      <c r="B177" s="31">
        <v>20260625</v>
      </c>
      <c r="C177" s="31">
        <v>2026</v>
      </c>
      <c r="D177" s="31" t="s">
        <v>452</v>
      </c>
      <c r="E177" s="31">
        <v>6</v>
      </c>
      <c r="F177" s="31" t="s">
        <v>455</v>
      </c>
      <c r="G177" s="19">
        <v>46174</v>
      </c>
    </row>
    <row r="178" spans="1:7" x14ac:dyDescent="0.35">
      <c r="A178" s="19">
        <v>46199</v>
      </c>
      <c r="B178" s="31">
        <v>20260626</v>
      </c>
      <c r="C178" s="31">
        <v>2026</v>
      </c>
      <c r="D178" s="31" t="s">
        <v>452</v>
      </c>
      <c r="E178" s="31">
        <v>6</v>
      </c>
      <c r="F178" s="31" t="s">
        <v>455</v>
      </c>
      <c r="G178" s="19">
        <v>46174</v>
      </c>
    </row>
    <row r="179" spans="1:7" x14ac:dyDescent="0.35">
      <c r="A179" s="19">
        <v>46200</v>
      </c>
      <c r="B179" s="31">
        <v>20260627</v>
      </c>
      <c r="C179" s="31">
        <v>2026</v>
      </c>
      <c r="D179" s="31" t="s">
        <v>452</v>
      </c>
      <c r="E179" s="31">
        <v>6</v>
      </c>
      <c r="F179" s="31" t="s">
        <v>455</v>
      </c>
      <c r="G179" s="19">
        <v>46174</v>
      </c>
    </row>
    <row r="180" spans="1:7" x14ac:dyDescent="0.35">
      <c r="A180" s="19">
        <v>46201</v>
      </c>
      <c r="B180" s="31">
        <v>20260628</v>
      </c>
      <c r="C180" s="31">
        <v>2026</v>
      </c>
      <c r="D180" s="31" t="s">
        <v>452</v>
      </c>
      <c r="E180" s="31">
        <v>6</v>
      </c>
      <c r="F180" s="31" t="s">
        <v>455</v>
      </c>
      <c r="G180" s="19">
        <v>46174</v>
      </c>
    </row>
    <row r="181" spans="1:7" x14ac:dyDescent="0.35">
      <c r="A181" s="19">
        <v>46202</v>
      </c>
      <c r="B181" s="31">
        <v>20260629</v>
      </c>
      <c r="C181" s="31">
        <v>2026</v>
      </c>
      <c r="D181" s="31" t="s">
        <v>452</v>
      </c>
      <c r="E181" s="31">
        <v>6</v>
      </c>
      <c r="F181" s="31" t="s">
        <v>455</v>
      </c>
      <c r="G181" s="19">
        <v>46174</v>
      </c>
    </row>
    <row r="182" spans="1:7" x14ac:dyDescent="0.35">
      <c r="A182" s="19">
        <v>46203</v>
      </c>
      <c r="B182" s="31">
        <v>20260630</v>
      </c>
      <c r="C182" s="31">
        <v>2026</v>
      </c>
      <c r="D182" s="31" t="s">
        <v>452</v>
      </c>
      <c r="E182" s="31">
        <v>6</v>
      </c>
      <c r="F182" s="31" t="s">
        <v>455</v>
      </c>
      <c r="G182" s="19">
        <v>46174</v>
      </c>
    </row>
    <row r="183" spans="1:7" x14ac:dyDescent="0.35">
      <c r="A183" s="19">
        <v>46204</v>
      </c>
      <c r="B183" s="31">
        <v>20260701</v>
      </c>
      <c r="C183" s="31">
        <v>2026</v>
      </c>
      <c r="D183" s="31" t="s">
        <v>456</v>
      </c>
      <c r="E183" s="31">
        <v>7</v>
      </c>
      <c r="F183" s="31" t="s">
        <v>457</v>
      </c>
      <c r="G183" s="19">
        <v>46204</v>
      </c>
    </row>
    <row r="184" spans="1:7" x14ac:dyDescent="0.35">
      <c r="A184" s="19">
        <v>46205</v>
      </c>
      <c r="B184" s="31">
        <v>20260702</v>
      </c>
      <c r="C184" s="31">
        <v>2026</v>
      </c>
      <c r="D184" s="31" t="s">
        <v>456</v>
      </c>
      <c r="E184" s="31">
        <v>7</v>
      </c>
      <c r="F184" s="31" t="s">
        <v>457</v>
      </c>
      <c r="G184" s="19">
        <v>46204</v>
      </c>
    </row>
    <row r="185" spans="1:7" x14ac:dyDescent="0.35">
      <c r="A185" s="19">
        <v>46206</v>
      </c>
      <c r="B185" s="31">
        <v>20260703</v>
      </c>
      <c r="C185" s="31">
        <v>2026</v>
      </c>
      <c r="D185" s="31" t="s">
        <v>456</v>
      </c>
      <c r="E185" s="31">
        <v>7</v>
      </c>
      <c r="F185" s="31" t="s">
        <v>457</v>
      </c>
      <c r="G185" s="19">
        <v>46204</v>
      </c>
    </row>
    <row r="186" spans="1:7" x14ac:dyDescent="0.35">
      <c r="A186" s="19">
        <v>46207</v>
      </c>
      <c r="B186" s="31">
        <v>20260704</v>
      </c>
      <c r="C186" s="31">
        <v>2026</v>
      </c>
      <c r="D186" s="31" t="s">
        <v>456</v>
      </c>
      <c r="E186" s="31">
        <v>7</v>
      </c>
      <c r="F186" s="31" t="s">
        <v>457</v>
      </c>
      <c r="G186" s="19">
        <v>46204</v>
      </c>
    </row>
    <row r="187" spans="1:7" x14ac:dyDescent="0.35">
      <c r="A187" s="19">
        <v>46208</v>
      </c>
      <c r="B187" s="31">
        <v>20260705</v>
      </c>
      <c r="C187" s="31">
        <v>2026</v>
      </c>
      <c r="D187" s="31" t="s">
        <v>456</v>
      </c>
      <c r="E187" s="31">
        <v>7</v>
      </c>
      <c r="F187" s="31" t="s">
        <v>457</v>
      </c>
      <c r="G187" s="19">
        <v>46204</v>
      </c>
    </row>
    <row r="188" spans="1:7" x14ac:dyDescent="0.35">
      <c r="A188" s="19">
        <v>46209</v>
      </c>
      <c r="B188" s="31">
        <v>20260706</v>
      </c>
      <c r="C188" s="31">
        <v>2026</v>
      </c>
      <c r="D188" s="31" t="s">
        <v>456</v>
      </c>
      <c r="E188" s="31">
        <v>7</v>
      </c>
      <c r="F188" s="31" t="s">
        <v>457</v>
      </c>
      <c r="G188" s="19">
        <v>46204</v>
      </c>
    </row>
    <row r="189" spans="1:7" x14ac:dyDescent="0.35">
      <c r="A189" s="19">
        <v>46210</v>
      </c>
      <c r="B189" s="31">
        <v>20260707</v>
      </c>
      <c r="C189" s="31">
        <v>2026</v>
      </c>
      <c r="D189" s="31" t="s">
        <v>456</v>
      </c>
      <c r="E189" s="31">
        <v>7</v>
      </c>
      <c r="F189" s="31" t="s">
        <v>457</v>
      </c>
      <c r="G189" s="19">
        <v>46204</v>
      </c>
    </row>
    <row r="190" spans="1:7" x14ac:dyDescent="0.35">
      <c r="A190" s="19">
        <v>46211</v>
      </c>
      <c r="B190" s="31">
        <v>20260708</v>
      </c>
      <c r="C190" s="31">
        <v>2026</v>
      </c>
      <c r="D190" s="31" t="s">
        <v>456</v>
      </c>
      <c r="E190" s="31">
        <v>7</v>
      </c>
      <c r="F190" s="31" t="s">
        <v>457</v>
      </c>
      <c r="G190" s="19">
        <v>46204</v>
      </c>
    </row>
    <row r="191" spans="1:7" x14ac:dyDescent="0.35">
      <c r="A191" s="19">
        <v>46212</v>
      </c>
      <c r="B191" s="31">
        <v>20260709</v>
      </c>
      <c r="C191" s="31">
        <v>2026</v>
      </c>
      <c r="D191" s="31" t="s">
        <v>456</v>
      </c>
      <c r="E191" s="31">
        <v>7</v>
      </c>
      <c r="F191" s="31" t="s">
        <v>457</v>
      </c>
      <c r="G191" s="19">
        <v>46204</v>
      </c>
    </row>
    <row r="192" spans="1:7" x14ac:dyDescent="0.35">
      <c r="A192" s="19">
        <v>46213</v>
      </c>
      <c r="B192" s="31">
        <v>20260710</v>
      </c>
      <c r="C192" s="31">
        <v>2026</v>
      </c>
      <c r="D192" s="31" t="s">
        <v>456</v>
      </c>
      <c r="E192" s="31">
        <v>7</v>
      </c>
      <c r="F192" s="31" t="s">
        <v>457</v>
      </c>
      <c r="G192" s="19">
        <v>46204</v>
      </c>
    </row>
    <row r="193" spans="1:7" x14ac:dyDescent="0.35">
      <c r="A193" s="19">
        <v>46214</v>
      </c>
      <c r="B193" s="31">
        <v>20260711</v>
      </c>
      <c r="C193" s="31">
        <v>2026</v>
      </c>
      <c r="D193" s="31" t="s">
        <v>456</v>
      </c>
      <c r="E193" s="31">
        <v>7</v>
      </c>
      <c r="F193" s="31" t="s">
        <v>457</v>
      </c>
      <c r="G193" s="19">
        <v>46204</v>
      </c>
    </row>
    <row r="194" spans="1:7" x14ac:dyDescent="0.35">
      <c r="A194" s="19">
        <v>46215</v>
      </c>
      <c r="B194" s="31">
        <v>20260712</v>
      </c>
      <c r="C194" s="31">
        <v>2026</v>
      </c>
      <c r="D194" s="31" t="s">
        <v>456</v>
      </c>
      <c r="E194" s="31">
        <v>7</v>
      </c>
      <c r="F194" s="31" t="s">
        <v>457</v>
      </c>
      <c r="G194" s="19">
        <v>46204</v>
      </c>
    </row>
    <row r="195" spans="1:7" x14ac:dyDescent="0.35">
      <c r="A195" s="19">
        <v>46216</v>
      </c>
      <c r="B195" s="31">
        <v>20260713</v>
      </c>
      <c r="C195" s="31">
        <v>2026</v>
      </c>
      <c r="D195" s="31" t="s">
        <v>456</v>
      </c>
      <c r="E195" s="31">
        <v>7</v>
      </c>
      <c r="F195" s="31" t="s">
        <v>457</v>
      </c>
      <c r="G195" s="19">
        <v>46204</v>
      </c>
    </row>
    <row r="196" spans="1:7" x14ac:dyDescent="0.35">
      <c r="A196" s="19">
        <v>46217</v>
      </c>
      <c r="B196" s="31">
        <v>20260714</v>
      </c>
      <c r="C196" s="31">
        <v>2026</v>
      </c>
      <c r="D196" s="31" t="s">
        <v>456</v>
      </c>
      <c r="E196" s="31">
        <v>7</v>
      </c>
      <c r="F196" s="31" t="s">
        <v>457</v>
      </c>
      <c r="G196" s="19">
        <v>46204</v>
      </c>
    </row>
    <row r="197" spans="1:7" x14ac:dyDescent="0.35">
      <c r="A197" s="19">
        <v>46218</v>
      </c>
      <c r="B197" s="31">
        <v>20260715</v>
      </c>
      <c r="C197" s="31">
        <v>2026</v>
      </c>
      <c r="D197" s="31" t="s">
        <v>456</v>
      </c>
      <c r="E197" s="31">
        <v>7</v>
      </c>
      <c r="F197" s="31" t="s">
        <v>457</v>
      </c>
      <c r="G197" s="19">
        <v>46204</v>
      </c>
    </row>
    <row r="198" spans="1:7" x14ac:dyDescent="0.35">
      <c r="A198" s="19">
        <v>46219</v>
      </c>
      <c r="B198" s="31">
        <v>20260716</v>
      </c>
      <c r="C198" s="31">
        <v>2026</v>
      </c>
      <c r="D198" s="31" t="s">
        <v>456</v>
      </c>
      <c r="E198" s="31">
        <v>7</v>
      </c>
      <c r="F198" s="31" t="s">
        <v>457</v>
      </c>
      <c r="G198" s="19">
        <v>46204</v>
      </c>
    </row>
    <row r="199" spans="1:7" x14ac:dyDescent="0.35">
      <c r="A199" s="19">
        <v>46220</v>
      </c>
      <c r="B199" s="31">
        <v>20260717</v>
      </c>
      <c r="C199" s="31">
        <v>2026</v>
      </c>
      <c r="D199" s="31" t="s">
        <v>456</v>
      </c>
      <c r="E199" s="31">
        <v>7</v>
      </c>
      <c r="F199" s="31" t="s">
        <v>457</v>
      </c>
      <c r="G199" s="19">
        <v>46204</v>
      </c>
    </row>
    <row r="200" spans="1:7" x14ac:dyDescent="0.35">
      <c r="A200" s="19">
        <v>46221</v>
      </c>
      <c r="B200" s="31">
        <v>20260718</v>
      </c>
      <c r="C200" s="31">
        <v>2026</v>
      </c>
      <c r="D200" s="31" t="s">
        <v>456</v>
      </c>
      <c r="E200" s="31">
        <v>7</v>
      </c>
      <c r="F200" s="31" t="s">
        <v>457</v>
      </c>
      <c r="G200" s="19">
        <v>46204</v>
      </c>
    </row>
    <row r="201" spans="1:7" x14ac:dyDescent="0.35">
      <c r="A201" s="19">
        <v>46222</v>
      </c>
      <c r="B201" s="31">
        <v>20260719</v>
      </c>
      <c r="C201" s="31">
        <v>2026</v>
      </c>
      <c r="D201" s="31" t="s">
        <v>456</v>
      </c>
      <c r="E201" s="31">
        <v>7</v>
      </c>
      <c r="F201" s="31" t="s">
        <v>457</v>
      </c>
      <c r="G201" s="19">
        <v>46204</v>
      </c>
    </row>
    <row r="202" spans="1:7" x14ac:dyDescent="0.35">
      <c r="A202" s="19">
        <v>46223</v>
      </c>
      <c r="B202" s="31">
        <v>20260720</v>
      </c>
      <c r="C202" s="31">
        <v>2026</v>
      </c>
      <c r="D202" s="31" t="s">
        <v>456</v>
      </c>
      <c r="E202" s="31">
        <v>7</v>
      </c>
      <c r="F202" s="31" t="s">
        <v>457</v>
      </c>
      <c r="G202" s="19">
        <v>46204</v>
      </c>
    </row>
    <row r="203" spans="1:7" x14ac:dyDescent="0.35">
      <c r="A203" s="19">
        <v>46224</v>
      </c>
      <c r="B203" s="31">
        <v>20260721</v>
      </c>
      <c r="C203" s="31">
        <v>2026</v>
      </c>
      <c r="D203" s="31" t="s">
        <v>456</v>
      </c>
      <c r="E203" s="31">
        <v>7</v>
      </c>
      <c r="F203" s="31" t="s">
        <v>457</v>
      </c>
      <c r="G203" s="19">
        <v>46204</v>
      </c>
    </row>
    <row r="204" spans="1:7" x14ac:dyDescent="0.35">
      <c r="A204" s="19">
        <v>46225</v>
      </c>
      <c r="B204" s="31">
        <v>20260722</v>
      </c>
      <c r="C204" s="31">
        <v>2026</v>
      </c>
      <c r="D204" s="31" t="s">
        <v>456</v>
      </c>
      <c r="E204" s="31">
        <v>7</v>
      </c>
      <c r="F204" s="31" t="s">
        <v>457</v>
      </c>
      <c r="G204" s="19">
        <v>46204</v>
      </c>
    </row>
    <row r="205" spans="1:7" x14ac:dyDescent="0.35">
      <c r="A205" s="19">
        <v>46226</v>
      </c>
      <c r="B205" s="31">
        <v>20260723</v>
      </c>
      <c r="C205" s="31">
        <v>2026</v>
      </c>
      <c r="D205" s="31" t="s">
        <v>456</v>
      </c>
      <c r="E205" s="31">
        <v>7</v>
      </c>
      <c r="F205" s="31" t="s">
        <v>457</v>
      </c>
      <c r="G205" s="19">
        <v>46204</v>
      </c>
    </row>
    <row r="206" spans="1:7" x14ac:dyDescent="0.35">
      <c r="A206" s="19">
        <v>46227</v>
      </c>
      <c r="B206" s="31">
        <v>20260724</v>
      </c>
      <c r="C206" s="31">
        <v>2026</v>
      </c>
      <c r="D206" s="31" t="s">
        <v>456</v>
      </c>
      <c r="E206" s="31">
        <v>7</v>
      </c>
      <c r="F206" s="31" t="s">
        <v>457</v>
      </c>
      <c r="G206" s="19">
        <v>46204</v>
      </c>
    </row>
    <row r="207" spans="1:7" x14ac:dyDescent="0.35">
      <c r="A207" s="19">
        <v>46228</v>
      </c>
      <c r="B207" s="31">
        <v>20260725</v>
      </c>
      <c r="C207" s="31">
        <v>2026</v>
      </c>
      <c r="D207" s="31" t="s">
        <v>456</v>
      </c>
      <c r="E207" s="31">
        <v>7</v>
      </c>
      <c r="F207" s="31" t="s">
        <v>457</v>
      </c>
      <c r="G207" s="19">
        <v>46204</v>
      </c>
    </row>
    <row r="208" spans="1:7" x14ac:dyDescent="0.35">
      <c r="A208" s="19">
        <v>46229</v>
      </c>
      <c r="B208" s="31">
        <v>20260726</v>
      </c>
      <c r="C208" s="31">
        <v>2026</v>
      </c>
      <c r="D208" s="31" t="s">
        <v>456</v>
      </c>
      <c r="E208" s="31">
        <v>7</v>
      </c>
      <c r="F208" s="31" t="s">
        <v>457</v>
      </c>
      <c r="G208" s="19">
        <v>46204</v>
      </c>
    </row>
    <row r="209" spans="1:7" x14ac:dyDescent="0.35">
      <c r="A209" s="19">
        <v>46230</v>
      </c>
      <c r="B209" s="31">
        <v>20260727</v>
      </c>
      <c r="C209" s="31">
        <v>2026</v>
      </c>
      <c r="D209" s="31" t="s">
        <v>456</v>
      </c>
      <c r="E209" s="31">
        <v>7</v>
      </c>
      <c r="F209" s="31" t="s">
        <v>457</v>
      </c>
      <c r="G209" s="19">
        <v>46204</v>
      </c>
    </row>
    <row r="210" spans="1:7" x14ac:dyDescent="0.35">
      <c r="A210" s="19">
        <v>46231</v>
      </c>
      <c r="B210" s="31">
        <v>20260728</v>
      </c>
      <c r="C210" s="31">
        <v>2026</v>
      </c>
      <c r="D210" s="31" t="s">
        <v>456</v>
      </c>
      <c r="E210" s="31">
        <v>7</v>
      </c>
      <c r="F210" s="31" t="s">
        <v>457</v>
      </c>
      <c r="G210" s="19">
        <v>46204</v>
      </c>
    </row>
    <row r="211" spans="1:7" x14ac:dyDescent="0.35">
      <c r="A211" s="19">
        <v>46232</v>
      </c>
      <c r="B211" s="31">
        <v>20260729</v>
      </c>
      <c r="C211" s="31">
        <v>2026</v>
      </c>
      <c r="D211" s="31" t="s">
        <v>456</v>
      </c>
      <c r="E211" s="31">
        <v>7</v>
      </c>
      <c r="F211" s="31" t="s">
        <v>457</v>
      </c>
      <c r="G211" s="19">
        <v>46204</v>
      </c>
    </row>
    <row r="212" spans="1:7" x14ac:dyDescent="0.35">
      <c r="A212" s="19">
        <v>46233</v>
      </c>
      <c r="B212" s="31">
        <v>20260730</v>
      </c>
      <c r="C212" s="31">
        <v>2026</v>
      </c>
      <c r="D212" s="31" t="s">
        <v>456</v>
      </c>
      <c r="E212" s="31">
        <v>7</v>
      </c>
      <c r="F212" s="31" t="s">
        <v>457</v>
      </c>
      <c r="G212" s="19">
        <v>46204</v>
      </c>
    </row>
    <row r="213" spans="1:7" x14ac:dyDescent="0.35">
      <c r="A213" s="19">
        <v>46234</v>
      </c>
      <c r="B213" s="31">
        <v>20260731</v>
      </c>
      <c r="C213" s="31">
        <v>2026</v>
      </c>
      <c r="D213" s="31" t="s">
        <v>456</v>
      </c>
      <c r="E213" s="31">
        <v>7</v>
      </c>
      <c r="F213" s="31" t="s">
        <v>457</v>
      </c>
      <c r="G213" s="19">
        <v>46204</v>
      </c>
    </row>
    <row r="214" spans="1:7" x14ac:dyDescent="0.35">
      <c r="A214" s="19">
        <v>46235</v>
      </c>
      <c r="B214" s="31">
        <v>20260801</v>
      </c>
      <c r="C214" s="31">
        <v>2026</v>
      </c>
      <c r="D214" s="31" t="s">
        <v>456</v>
      </c>
      <c r="E214" s="31">
        <v>8</v>
      </c>
      <c r="F214" s="31" t="s">
        <v>458</v>
      </c>
      <c r="G214" s="19">
        <v>46235</v>
      </c>
    </row>
    <row r="215" spans="1:7" x14ac:dyDescent="0.35">
      <c r="A215" s="19">
        <v>46236</v>
      </c>
      <c r="B215" s="31">
        <v>20260802</v>
      </c>
      <c r="C215" s="31">
        <v>2026</v>
      </c>
      <c r="D215" s="31" t="s">
        <v>456</v>
      </c>
      <c r="E215" s="31">
        <v>8</v>
      </c>
      <c r="F215" s="31" t="s">
        <v>458</v>
      </c>
      <c r="G215" s="19">
        <v>46235</v>
      </c>
    </row>
    <row r="216" spans="1:7" x14ac:dyDescent="0.35">
      <c r="A216" s="19">
        <v>46237</v>
      </c>
      <c r="B216" s="31">
        <v>20260803</v>
      </c>
      <c r="C216" s="31">
        <v>2026</v>
      </c>
      <c r="D216" s="31" t="s">
        <v>456</v>
      </c>
      <c r="E216" s="31">
        <v>8</v>
      </c>
      <c r="F216" s="31" t="s">
        <v>458</v>
      </c>
      <c r="G216" s="19">
        <v>46235</v>
      </c>
    </row>
    <row r="217" spans="1:7" x14ac:dyDescent="0.35">
      <c r="A217" s="19">
        <v>46238</v>
      </c>
      <c r="B217" s="31">
        <v>20260804</v>
      </c>
      <c r="C217" s="31">
        <v>2026</v>
      </c>
      <c r="D217" s="31" t="s">
        <v>456</v>
      </c>
      <c r="E217" s="31">
        <v>8</v>
      </c>
      <c r="F217" s="31" t="s">
        <v>458</v>
      </c>
      <c r="G217" s="19">
        <v>46235</v>
      </c>
    </row>
    <row r="218" spans="1:7" x14ac:dyDescent="0.35">
      <c r="A218" s="19">
        <v>46239</v>
      </c>
      <c r="B218" s="31">
        <v>20260805</v>
      </c>
      <c r="C218" s="31">
        <v>2026</v>
      </c>
      <c r="D218" s="31" t="s">
        <v>456</v>
      </c>
      <c r="E218" s="31">
        <v>8</v>
      </c>
      <c r="F218" s="31" t="s">
        <v>458</v>
      </c>
      <c r="G218" s="19">
        <v>46235</v>
      </c>
    </row>
    <row r="219" spans="1:7" x14ac:dyDescent="0.35">
      <c r="A219" s="19">
        <v>46240</v>
      </c>
      <c r="B219" s="31">
        <v>20260806</v>
      </c>
      <c r="C219" s="31">
        <v>2026</v>
      </c>
      <c r="D219" s="31" t="s">
        <v>456</v>
      </c>
      <c r="E219" s="31">
        <v>8</v>
      </c>
      <c r="F219" s="31" t="s">
        <v>458</v>
      </c>
      <c r="G219" s="19">
        <v>46235</v>
      </c>
    </row>
    <row r="220" spans="1:7" x14ac:dyDescent="0.35">
      <c r="A220" s="19">
        <v>46241</v>
      </c>
      <c r="B220" s="31">
        <v>20260807</v>
      </c>
      <c r="C220" s="31">
        <v>2026</v>
      </c>
      <c r="D220" s="31" t="s">
        <v>456</v>
      </c>
      <c r="E220" s="31">
        <v>8</v>
      </c>
      <c r="F220" s="31" t="s">
        <v>458</v>
      </c>
      <c r="G220" s="19">
        <v>46235</v>
      </c>
    </row>
    <row r="221" spans="1:7" x14ac:dyDescent="0.35">
      <c r="A221" s="19">
        <v>46242</v>
      </c>
      <c r="B221" s="31">
        <v>20260808</v>
      </c>
      <c r="C221" s="31">
        <v>2026</v>
      </c>
      <c r="D221" s="31" t="s">
        <v>456</v>
      </c>
      <c r="E221" s="31">
        <v>8</v>
      </c>
      <c r="F221" s="31" t="s">
        <v>458</v>
      </c>
      <c r="G221" s="19">
        <v>46235</v>
      </c>
    </row>
    <row r="222" spans="1:7" x14ac:dyDescent="0.35">
      <c r="A222" s="19">
        <v>46243</v>
      </c>
      <c r="B222" s="31">
        <v>20260809</v>
      </c>
      <c r="C222" s="31">
        <v>2026</v>
      </c>
      <c r="D222" s="31" t="s">
        <v>456</v>
      </c>
      <c r="E222" s="31">
        <v>8</v>
      </c>
      <c r="F222" s="31" t="s">
        <v>458</v>
      </c>
      <c r="G222" s="19">
        <v>46235</v>
      </c>
    </row>
    <row r="223" spans="1:7" x14ac:dyDescent="0.35">
      <c r="A223" s="19">
        <v>46244</v>
      </c>
      <c r="B223" s="31">
        <v>20260810</v>
      </c>
      <c r="C223" s="31">
        <v>2026</v>
      </c>
      <c r="D223" s="31" t="s">
        <v>456</v>
      </c>
      <c r="E223" s="31">
        <v>8</v>
      </c>
      <c r="F223" s="31" t="s">
        <v>458</v>
      </c>
      <c r="G223" s="19">
        <v>46235</v>
      </c>
    </row>
    <row r="224" spans="1:7" x14ac:dyDescent="0.35">
      <c r="A224" s="19">
        <v>46245</v>
      </c>
      <c r="B224" s="31">
        <v>20260811</v>
      </c>
      <c r="C224" s="31">
        <v>2026</v>
      </c>
      <c r="D224" s="31" t="s">
        <v>456</v>
      </c>
      <c r="E224" s="31">
        <v>8</v>
      </c>
      <c r="F224" s="31" t="s">
        <v>458</v>
      </c>
      <c r="G224" s="19">
        <v>46235</v>
      </c>
    </row>
    <row r="225" spans="1:7" x14ac:dyDescent="0.35">
      <c r="A225" s="19">
        <v>46246</v>
      </c>
      <c r="B225" s="31">
        <v>20260812</v>
      </c>
      <c r="C225" s="31">
        <v>2026</v>
      </c>
      <c r="D225" s="31" t="s">
        <v>456</v>
      </c>
      <c r="E225" s="31">
        <v>8</v>
      </c>
      <c r="F225" s="31" t="s">
        <v>458</v>
      </c>
      <c r="G225" s="19">
        <v>46235</v>
      </c>
    </row>
    <row r="226" spans="1:7" x14ac:dyDescent="0.35">
      <c r="A226" s="19">
        <v>46247</v>
      </c>
      <c r="B226" s="31">
        <v>20260813</v>
      </c>
      <c r="C226" s="31">
        <v>2026</v>
      </c>
      <c r="D226" s="31" t="s">
        <v>456</v>
      </c>
      <c r="E226" s="31">
        <v>8</v>
      </c>
      <c r="F226" s="31" t="s">
        <v>458</v>
      </c>
      <c r="G226" s="19">
        <v>46235</v>
      </c>
    </row>
    <row r="227" spans="1:7" x14ac:dyDescent="0.35">
      <c r="A227" s="19">
        <v>46248</v>
      </c>
      <c r="B227" s="31">
        <v>20260814</v>
      </c>
      <c r="C227" s="31">
        <v>2026</v>
      </c>
      <c r="D227" s="31" t="s">
        <v>456</v>
      </c>
      <c r="E227" s="31">
        <v>8</v>
      </c>
      <c r="F227" s="31" t="s">
        <v>458</v>
      </c>
      <c r="G227" s="19">
        <v>46235</v>
      </c>
    </row>
    <row r="228" spans="1:7" x14ac:dyDescent="0.35">
      <c r="A228" s="19">
        <v>46249</v>
      </c>
      <c r="B228" s="31">
        <v>20260815</v>
      </c>
      <c r="C228" s="31">
        <v>2026</v>
      </c>
      <c r="D228" s="31" t="s">
        <v>456</v>
      </c>
      <c r="E228" s="31">
        <v>8</v>
      </c>
      <c r="F228" s="31" t="s">
        <v>458</v>
      </c>
      <c r="G228" s="19">
        <v>46235</v>
      </c>
    </row>
    <row r="229" spans="1:7" x14ac:dyDescent="0.35">
      <c r="A229" s="19">
        <v>46250</v>
      </c>
      <c r="B229" s="31">
        <v>20260816</v>
      </c>
      <c r="C229" s="31">
        <v>2026</v>
      </c>
      <c r="D229" s="31" t="s">
        <v>456</v>
      </c>
      <c r="E229" s="31">
        <v>8</v>
      </c>
      <c r="F229" s="31" t="s">
        <v>458</v>
      </c>
      <c r="G229" s="19">
        <v>46235</v>
      </c>
    </row>
    <row r="230" spans="1:7" x14ac:dyDescent="0.35">
      <c r="A230" s="19">
        <v>46251</v>
      </c>
      <c r="B230" s="31">
        <v>20260817</v>
      </c>
      <c r="C230" s="31">
        <v>2026</v>
      </c>
      <c r="D230" s="31" t="s">
        <v>456</v>
      </c>
      <c r="E230" s="31">
        <v>8</v>
      </c>
      <c r="F230" s="31" t="s">
        <v>458</v>
      </c>
      <c r="G230" s="19">
        <v>46235</v>
      </c>
    </row>
    <row r="231" spans="1:7" x14ac:dyDescent="0.35">
      <c r="A231" s="19">
        <v>46252</v>
      </c>
      <c r="B231" s="31">
        <v>20260818</v>
      </c>
      <c r="C231" s="31">
        <v>2026</v>
      </c>
      <c r="D231" s="31" t="s">
        <v>456</v>
      </c>
      <c r="E231" s="31">
        <v>8</v>
      </c>
      <c r="F231" s="31" t="s">
        <v>458</v>
      </c>
      <c r="G231" s="19">
        <v>46235</v>
      </c>
    </row>
    <row r="232" spans="1:7" x14ac:dyDescent="0.35">
      <c r="A232" s="19">
        <v>46253</v>
      </c>
      <c r="B232" s="31">
        <v>20260819</v>
      </c>
      <c r="C232" s="31">
        <v>2026</v>
      </c>
      <c r="D232" s="31" t="s">
        <v>456</v>
      </c>
      <c r="E232" s="31">
        <v>8</v>
      </c>
      <c r="F232" s="31" t="s">
        <v>458</v>
      </c>
      <c r="G232" s="19">
        <v>46235</v>
      </c>
    </row>
    <row r="233" spans="1:7" x14ac:dyDescent="0.35">
      <c r="A233" s="19">
        <v>46254</v>
      </c>
      <c r="B233" s="31">
        <v>20260820</v>
      </c>
      <c r="C233" s="31">
        <v>2026</v>
      </c>
      <c r="D233" s="31" t="s">
        <v>456</v>
      </c>
      <c r="E233" s="31">
        <v>8</v>
      </c>
      <c r="F233" s="31" t="s">
        <v>458</v>
      </c>
      <c r="G233" s="19">
        <v>46235</v>
      </c>
    </row>
    <row r="234" spans="1:7" x14ac:dyDescent="0.35">
      <c r="A234" s="19">
        <v>46255</v>
      </c>
      <c r="B234" s="31">
        <v>20260821</v>
      </c>
      <c r="C234" s="31">
        <v>2026</v>
      </c>
      <c r="D234" s="31" t="s">
        <v>456</v>
      </c>
      <c r="E234" s="31">
        <v>8</v>
      </c>
      <c r="F234" s="31" t="s">
        <v>458</v>
      </c>
      <c r="G234" s="19">
        <v>46235</v>
      </c>
    </row>
    <row r="235" spans="1:7" x14ac:dyDescent="0.35">
      <c r="A235" s="19">
        <v>46256</v>
      </c>
      <c r="B235" s="31">
        <v>20260822</v>
      </c>
      <c r="C235" s="31">
        <v>2026</v>
      </c>
      <c r="D235" s="31" t="s">
        <v>456</v>
      </c>
      <c r="E235" s="31">
        <v>8</v>
      </c>
      <c r="F235" s="31" t="s">
        <v>458</v>
      </c>
      <c r="G235" s="19">
        <v>46235</v>
      </c>
    </row>
    <row r="236" spans="1:7" x14ac:dyDescent="0.35">
      <c r="A236" s="19">
        <v>46257</v>
      </c>
      <c r="B236" s="31">
        <v>20260823</v>
      </c>
      <c r="C236" s="31">
        <v>2026</v>
      </c>
      <c r="D236" s="31" t="s">
        <v>456</v>
      </c>
      <c r="E236" s="31">
        <v>8</v>
      </c>
      <c r="F236" s="31" t="s">
        <v>458</v>
      </c>
      <c r="G236" s="19">
        <v>46235</v>
      </c>
    </row>
    <row r="237" spans="1:7" x14ac:dyDescent="0.35">
      <c r="A237" s="19">
        <v>46258</v>
      </c>
      <c r="B237" s="31">
        <v>20260824</v>
      </c>
      <c r="C237" s="31">
        <v>2026</v>
      </c>
      <c r="D237" s="31" t="s">
        <v>456</v>
      </c>
      <c r="E237" s="31">
        <v>8</v>
      </c>
      <c r="F237" s="31" t="s">
        <v>458</v>
      </c>
      <c r="G237" s="19">
        <v>46235</v>
      </c>
    </row>
    <row r="238" spans="1:7" x14ac:dyDescent="0.35">
      <c r="A238" s="19">
        <v>46259</v>
      </c>
      <c r="B238" s="31">
        <v>20260825</v>
      </c>
      <c r="C238" s="31">
        <v>2026</v>
      </c>
      <c r="D238" s="31" t="s">
        <v>456</v>
      </c>
      <c r="E238" s="31">
        <v>8</v>
      </c>
      <c r="F238" s="31" t="s">
        <v>458</v>
      </c>
      <c r="G238" s="19">
        <v>46235</v>
      </c>
    </row>
    <row r="239" spans="1:7" x14ac:dyDescent="0.35">
      <c r="A239" s="19">
        <v>46260</v>
      </c>
      <c r="B239" s="31">
        <v>20260826</v>
      </c>
      <c r="C239" s="31">
        <v>2026</v>
      </c>
      <c r="D239" s="31" t="s">
        <v>456</v>
      </c>
      <c r="E239" s="31">
        <v>8</v>
      </c>
      <c r="F239" s="31" t="s">
        <v>458</v>
      </c>
      <c r="G239" s="19">
        <v>46235</v>
      </c>
    </row>
    <row r="240" spans="1:7" x14ac:dyDescent="0.35">
      <c r="A240" s="19">
        <v>46261</v>
      </c>
      <c r="B240" s="31">
        <v>20260827</v>
      </c>
      <c r="C240" s="31">
        <v>2026</v>
      </c>
      <c r="D240" s="31" t="s">
        <v>456</v>
      </c>
      <c r="E240" s="31">
        <v>8</v>
      </c>
      <c r="F240" s="31" t="s">
        <v>458</v>
      </c>
      <c r="G240" s="19">
        <v>46235</v>
      </c>
    </row>
    <row r="241" spans="1:7" x14ac:dyDescent="0.35">
      <c r="A241" s="19">
        <v>46262</v>
      </c>
      <c r="B241" s="31">
        <v>20260828</v>
      </c>
      <c r="C241" s="31">
        <v>2026</v>
      </c>
      <c r="D241" s="31" t="s">
        <v>456</v>
      </c>
      <c r="E241" s="31">
        <v>8</v>
      </c>
      <c r="F241" s="31" t="s">
        <v>458</v>
      </c>
      <c r="G241" s="19">
        <v>46235</v>
      </c>
    </row>
    <row r="242" spans="1:7" x14ac:dyDescent="0.35">
      <c r="A242" s="19">
        <v>46263</v>
      </c>
      <c r="B242" s="31">
        <v>20260829</v>
      </c>
      <c r="C242" s="31">
        <v>2026</v>
      </c>
      <c r="D242" s="31" t="s">
        <v>456</v>
      </c>
      <c r="E242" s="31">
        <v>8</v>
      </c>
      <c r="F242" s="31" t="s">
        <v>458</v>
      </c>
      <c r="G242" s="19">
        <v>46235</v>
      </c>
    </row>
    <row r="243" spans="1:7" x14ac:dyDescent="0.35">
      <c r="A243" s="19">
        <v>46264</v>
      </c>
      <c r="B243" s="31">
        <v>20260830</v>
      </c>
      <c r="C243" s="31">
        <v>2026</v>
      </c>
      <c r="D243" s="31" t="s">
        <v>456</v>
      </c>
      <c r="E243" s="31">
        <v>8</v>
      </c>
      <c r="F243" s="31" t="s">
        <v>458</v>
      </c>
      <c r="G243" s="19">
        <v>46235</v>
      </c>
    </row>
    <row r="244" spans="1:7" x14ac:dyDescent="0.35">
      <c r="A244" s="19">
        <v>46265</v>
      </c>
      <c r="B244" s="31">
        <v>20260831</v>
      </c>
      <c r="C244" s="31">
        <v>2026</v>
      </c>
      <c r="D244" s="31" t="s">
        <v>456</v>
      </c>
      <c r="E244" s="31">
        <v>8</v>
      </c>
      <c r="F244" s="31" t="s">
        <v>458</v>
      </c>
      <c r="G244" s="19">
        <v>46235</v>
      </c>
    </row>
    <row r="245" spans="1:7" x14ac:dyDescent="0.35">
      <c r="A245" s="19">
        <v>46266</v>
      </c>
      <c r="B245" s="31">
        <v>20260901</v>
      </c>
      <c r="C245" s="31">
        <v>2026</v>
      </c>
      <c r="D245" s="31" t="s">
        <v>456</v>
      </c>
      <c r="E245" s="31">
        <v>9</v>
      </c>
      <c r="F245" s="31" t="s">
        <v>459</v>
      </c>
      <c r="G245" s="19">
        <v>46266</v>
      </c>
    </row>
    <row r="246" spans="1:7" x14ac:dyDescent="0.35">
      <c r="A246" s="19">
        <v>46267</v>
      </c>
      <c r="B246" s="31">
        <v>20260902</v>
      </c>
      <c r="C246" s="31">
        <v>2026</v>
      </c>
      <c r="D246" s="31" t="s">
        <v>456</v>
      </c>
      <c r="E246" s="31">
        <v>9</v>
      </c>
      <c r="F246" s="31" t="s">
        <v>459</v>
      </c>
      <c r="G246" s="19">
        <v>46266</v>
      </c>
    </row>
    <row r="247" spans="1:7" x14ac:dyDescent="0.35">
      <c r="A247" s="19">
        <v>46268</v>
      </c>
      <c r="B247" s="31">
        <v>20260903</v>
      </c>
      <c r="C247" s="31">
        <v>2026</v>
      </c>
      <c r="D247" s="31" t="s">
        <v>456</v>
      </c>
      <c r="E247" s="31">
        <v>9</v>
      </c>
      <c r="F247" s="31" t="s">
        <v>459</v>
      </c>
      <c r="G247" s="19">
        <v>46266</v>
      </c>
    </row>
    <row r="248" spans="1:7" x14ac:dyDescent="0.35">
      <c r="A248" s="19">
        <v>46269</v>
      </c>
      <c r="B248" s="31">
        <v>20260904</v>
      </c>
      <c r="C248" s="31">
        <v>2026</v>
      </c>
      <c r="D248" s="31" t="s">
        <v>456</v>
      </c>
      <c r="E248" s="31">
        <v>9</v>
      </c>
      <c r="F248" s="31" t="s">
        <v>459</v>
      </c>
      <c r="G248" s="19">
        <v>46266</v>
      </c>
    </row>
    <row r="249" spans="1:7" x14ac:dyDescent="0.35">
      <c r="A249" s="19">
        <v>46270</v>
      </c>
      <c r="B249" s="31">
        <v>20260905</v>
      </c>
      <c r="C249" s="31">
        <v>2026</v>
      </c>
      <c r="D249" s="31" t="s">
        <v>456</v>
      </c>
      <c r="E249" s="31">
        <v>9</v>
      </c>
      <c r="F249" s="31" t="s">
        <v>459</v>
      </c>
      <c r="G249" s="19">
        <v>46266</v>
      </c>
    </row>
    <row r="250" spans="1:7" x14ac:dyDescent="0.35">
      <c r="A250" s="19">
        <v>46271</v>
      </c>
      <c r="B250" s="31">
        <v>20260906</v>
      </c>
      <c r="C250" s="31">
        <v>2026</v>
      </c>
      <c r="D250" s="31" t="s">
        <v>456</v>
      </c>
      <c r="E250" s="31">
        <v>9</v>
      </c>
      <c r="F250" s="31" t="s">
        <v>459</v>
      </c>
      <c r="G250" s="19">
        <v>46266</v>
      </c>
    </row>
    <row r="251" spans="1:7" x14ac:dyDescent="0.35">
      <c r="A251" s="19">
        <v>46272</v>
      </c>
      <c r="B251" s="31">
        <v>20260907</v>
      </c>
      <c r="C251" s="31">
        <v>2026</v>
      </c>
      <c r="D251" s="31" t="s">
        <v>456</v>
      </c>
      <c r="E251" s="31">
        <v>9</v>
      </c>
      <c r="F251" s="31" t="s">
        <v>459</v>
      </c>
      <c r="G251" s="19">
        <v>46266</v>
      </c>
    </row>
    <row r="252" spans="1:7" x14ac:dyDescent="0.35">
      <c r="A252" s="19">
        <v>46273</v>
      </c>
      <c r="B252" s="31">
        <v>20260908</v>
      </c>
      <c r="C252" s="31">
        <v>2026</v>
      </c>
      <c r="D252" s="31" t="s">
        <v>456</v>
      </c>
      <c r="E252" s="31">
        <v>9</v>
      </c>
      <c r="F252" s="31" t="s">
        <v>459</v>
      </c>
      <c r="G252" s="19">
        <v>46266</v>
      </c>
    </row>
    <row r="253" spans="1:7" x14ac:dyDescent="0.35">
      <c r="A253" s="19">
        <v>46274</v>
      </c>
      <c r="B253" s="31">
        <v>20260909</v>
      </c>
      <c r="C253" s="31">
        <v>2026</v>
      </c>
      <c r="D253" s="31" t="s">
        <v>456</v>
      </c>
      <c r="E253" s="31">
        <v>9</v>
      </c>
      <c r="F253" s="31" t="s">
        <v>459</v>
      </c>
      <c r="G253" s="19">
        <v>46266</v>
      </c>
    </row>
    <row r="254" spans="1:7" x14ac:dyDescent="0.35">
      <c r="A254" s="19">
        <v>46275</v>
      </c>
      <c r="B254" s="31">
        <v>20260910</v>
      </c>
      <c r="C254" s="31">
        <v>2026</v>
      </c>
      <c r="D254" s="31" t="s">
        <v>456</v>
      </c>
      <c r="E254" s="31">
        <v>9</v>
      </c>
      <c r="F254" s="31" t="s">
        <v>459</v>
      </c>
      <c r="G254" s="19">
        <v>46266</v>
      </c>
    </row>
    <row r="255" spans="1:7" x14ac:dyDescent="0.35">
      <c r="A255" s="19">
        <v>46276</v>
      </c>
      <c r="B255" s="31">
        <v>20260911</v>
      </c>
      <c r="C255" s="31">
        <v>2026</v>
      </c>
      <c r="D255" s="31" t="s">
        <v>456</v>
      </c>
      <c r="E255" s="31">
        <v>9</v>
      </c>
      <c r="F255" s="31" t="s">
        <v>459</v>
      </c>
      <c r="G255" s="19">
        <v>46266</v>
      </c>
    </row>
    <row r="256" spans="1:7" x14ac:dyDescent="0.35">
      <c r="A256" s="19">
        <v>46277</v>
      </c>
      <c r="B256" s="31">
        <v>20260912</v>
      </c>
      <c r="C256" s="31">
        <v>2026</v>
      </c>
      <c r="D256" s="31" t="s">
        <v>456</v>
      </c>
      <c r="E256" s="31">
        <v>9</v>
      </c>
      <c r="F256" s="31" t="s">
        <v>459</v>
      </c>
      <c r="G256" s="19">
        <v>46266</v>
      </c>
    </row>
    <row r="257" spans="1:7" x14ac:dyDescent="0.35">
      <c r="A257" s="19">
        <v>46278</v>
      </c>
      <c r="B257" s="31">
        <v>20260913</v>
      </c>
      <c r="C257" s="31">
        <v>2026</v>
      </c>
      <c r="D257" s="31" t="s">
        <v>456</v>
      </c>
      <c r="E257" s="31">
        <v>9</v>
      </c>
      <c r="F257" s="31" t="s">
        <v>459</v>
      </c>
      <c r="G257" s="19">
        <v>46266</v>
      </c>
    </row>
    <row r="258" spans="1:7" x14ac:dyDescent="0.35">
      <c r="A258" s="19">
        <v>46279</v>
      </c>
      <c r="B258" s="31">
        <v>20260914</v>
      </c>
      <c r="C258" s="31">
        <v>2026</v>
      </c>
      <c r="D258" s="31" t="s">
        <v>456</v>
      </c>
      <c r="E258" s="31">
        <v>9</v>
      </c>
      <c r="F258" s="31" t="s">
        <v>459</v>
      </c>
      <c r="G258" s="19">
        <v>46266</v>
      </c>
    </row>
    <row r="259" spans="1:7" x14ac:dyDescent="0.35">
      <c r="A259" s="19">
        <v>46280</v>
      </c>
      <c r="B259" s="31">
        <v>20260915</v>
      </c>
      <c r="C259" s="31">
        <v>2026</v>
      </c>
      <c r="D259" s="31" t="s">
        <v>456</v>
      </c>
      <c r="E259" s="31">
        <v>9</v>
      </c>
      <c r="F259" s="31" t="s">
        <v>459</v>
      </c>
      <c r="G259" s="19">
        <v>46266</v>
      </c>
    </row>
    <row r="260" spans="1:7" x14ac:dyDescent="0.35">
      <c r="A260" s="19">
        <v>46281</v>
      </c>
      <c r="B260" s="31">
        <v>20260916</v>
      </c>
      <c r="C260" s="31">
        <v>2026</v>
      </c>
      <c r="D260" s="31" t="s">
        <v>456</v>
      </c>
      <c r="E260" s="31">
        <v>9</v>
      </c>
      <c r="F260" s="31" t="s">
        <v>459</v>
      </c>
      <c r="G260" s="19">
        <v>46266</v>
      </c>
    </row>
    <row r="261" spans="1:7" x14ac:dyDescent="0.35">
      <c r="A261" s="19">
        <v>46282</v>
      </c>
      <c r="B261" s="31">
        <v>20260917</v>
      </c>
      <c r="C261" s="31">
        <v>2026</v>
      </c>
      <c r="D261" s="31" t="s">
        <v>456</v>
      </c>
      <c r="E261" s="31">
        <v>9</v>
      </c>
      <c r="F261" s="31" t="s">
        <v>459</v>
      </c>
      <c r="G261" s="19">
        <v>46266</v>
      </c>
    </row>
    <row r="262" spans="1:7" x14ac:dyDescent="0.35">
      <c r="A262" s="19">
        <v>46283</v>
      </c>
      <c r="B262" s="31">
        <v>20260918</v>
      </c>
      <c r="C262" s="31">
        <v>2026</v>
      </c>
      <c r="D262" s="31" t="s">
        <v>456</v>
      </c>
      <c r="E262" s="31">
        <v>9</v>
      </c>
      <c r="F262" s="31" t="s">
        <v>459</v>
      </c>
      <c r="G262" s="19">
        <v>46266</v>
      </c>
    </row>
    <row r="263" spans="1:7" x14ac:dyDescent="0.35">
      <c r="A263" s="19">
        <v>46284</v>
      </c>
      <c r="B263" s="31">
        <v>20260919</v>
      </c>
      <c r="C263" s="31">
        <v>2026</v>
      </c>
      <c r="D263" s="31" t="s">
        <v>456</v>
      </c>
      <c r="E263" s="31">
        <v>9</v>
      </c>
      <c r="F263" s="31" t="s">
        <v>459</v>
      </c>
      <c r="G263" s="19">
        <v>46266</v>
      </c>
    </row>
    <row r="264" spans="1:7" x14ac:dyDescent="0.35">
      <c r="A264" s="19">
        <v>46285</v>
      </c>
      <c r="B264" s="31">
        <v>20260920</v>
      </c>
      <c r="C264" s="31">
        <v>2026</v>
      </c>
      <c r="D264" s="31" t="s">
        <v>456</v>
      </c>
      <c r="E264" s="31">
        <v>9</v>
      </c>
      <c r="F264" s="31" t="s">
        <v>459</v>
      </c>
      <c r="G264" s="19">
        <v>46266</v>
      </c>
    </row>
    <row r="265" spans="1:7" x14ac:dyDescent="0.35">
      <c r="A265" s="19">
        <v>46286</v>
      </c>
      <c r="B265" s="31">
        <v>20260921</v>
      </c>
      <c r="C265" s="31">
        <v>2026</v>
      </c>
      <c r="D265" s="31" t="s">
        <v>456</v>
      </c>
      <c r="E265" s="31">
        <v>9</v>
      </c>
      <c r="F265" s="31" t="s">
        <v>459</v>
      </c>
      <c r="G265" s="19">
        <v>46266</v>
      </c>
    </row>
    <row r="266" spans="1:7" x14ac:dyDescent="0.35">
      <c r="A266" s="19">
        <v>46287</v>
      </c>
      <c r="B266" s="31">
        <v>20260922</v>
      </c>
      <c r="C266" s="31">
        <v>2026</v>
      </c>
      <c r="D266" s="31" t="s">
        <v>456</v>
      </c>
      <c r="E266" s="31">
        <v>9</v>
      </c>
      <c r="F266" s="31" t="s">
        <v>459</v>
      </c>
      <c r="G266" s="19">
        <v>46266</v>
      </c>
    </row>
    <row r="267" spans="1:7" x14ac:dyDescent="0.35">
      <c r="A267" s="19">
        <v>46288</v>
      </c>
      <c r="B267" s="31">
        <v>20260923</v>
      </c>
      <c r="C267" s="31">
        <v>2026</v>
      </c>
      <c r="D267" s="31" t="s">
        <v>456</v>
      </c>
      <c r="E267" s="31">
        <v>9</v>
      </c>
      <c r="F267" s="31" t="s">
        <v>459</v>
      </c>
      <c r="G267" s="19">
        <v>46266</v>
      </c>
    </row>
    <row r="268" spans="1:7" x14ac:dyDescent="0.35">
      <c r="A268" s="19">
        <v>46289</v>
      </c>
      <c r="B268" s="31">
        <v>20260924</v>
      </c>
      <c r="C268" s="31">
        <v>2026</v>
      </c>
      <c r="D268" s="31" t="s">
        <v>456</v>
      </c>
      <c r="E268" s="31">
        <v>9</v>
      </c>
      <c r="F268" s="31" t="s">
        <v>459</v>
      </c>
      <c r="G268" s="19">
        <v>46266</v>
      </c>
    </row>
    <row r="269" spans="1:7" x14ac:dyDescent="0.35">
      <c r="A269" s="19">
        <v>46290</v>
      </c>
      <c r="B269" s="31">
        <v>20260925</v>
      </c>
      <c r="C269" s="31">
        <v>2026</v>
      </c>
      <c r="D269" s="31" t="s">
        <v>456</v>
      </c>
      <c r="E269" s="31">
        <v>9</v>
      </c>
      <c r="F269" s="31" t="s">
        <v>459</v>
      </c>
      <c r="G269" s="19">
        <v>46266</v>
      </c>
    </row>
    <row r="270" spans="1:7" x14ac:dyDescent="0.35">
      <c r="A270" s="19">
        <v>46291</v>
      </c>
      <c r="B270" s="31">
        <v>20260926</v>
      </c>
      <c r="C270" s="31">
        <v>2026</v>
      </c>
      <c r="D270" s="31" t="s">
        <v>456</v>
      </c>
      <c r="E270" s="31">
        <v>9</v>
      </c>
      <c r="F270" s="31" t="s">
        <v>459</v>
      </c>
      <c r="G270" s="19">
        <v>46266</v>
      </c>
    </row>
    <row r="271" spans="1:7" x14ac:dyDescent="0.35">
      <c r="A271" s="19">
        <v>46292</v>
      </c>
      <c r="B271" s="31">
        <v>20260927</v>
      </c>
      <c r="C271" s="31">
        <v>2026</v>
      </c>
      <c r="D271" s="31" t="s">
        <v>456</v>
      </c>
      <c r="E271" s="31">
        <v>9</v>
      </c>
      <c r="F271" s="31" t="s">
        <v>459</v>
      </c>
      <c r="G271" s="19">
        <v>46266</v>
      </c>
    </row>
    <row r="272" spans="1:7" x14ac:dyDescent="0.35">
      <c r="A272" s="19">
        <v>46293</v>
      </c>
      <c r="B272" s="31">
        <v>20260928</v>
      </c>
      <c r="C272" s="31">
        <v>2026</v>
      </c>
      <c r="D272" s="31" t="s">
        <v>456</v>
      </c>
      <c r="E272" s="31">
        <v>9</v>
      </c>
      <c r="F272" s="31" t="s">
        <v>459</v>
      </c>
      <c r="G272" s="19">
        <v>46266</v>
      </c>
    </row>
    <row r="273" spans="1:7" x14ac:dyDescent="0.35">
      <c r="A273" s="19">
        <v>46294</v>
      </c>
      <c r="B273" s="31">
        <v>20260929</v>
      </c>
      <c r="C273" s="31">
        <v>2026</v>
      </c>
      <c r="D273" s="31" t="s">
        <v>456</v>
      </c>
      <c r="E273" s="31">
        <v>9</v>
      </c>
      <c r="F273" s="31" t="s">
        <v>459</v>
      </c>
      <c r="G273" s="19">
        <v>46266</v>
      </c>
    </row>
    <row r="274" spans="1:7" x14ac:dyDescent="0.35">
      <c r="A274" s="19">
        <v>46295</v>
      </c>
      <c r="B274" s="31">
        <v>20260930</v>
      </c>
      <c r="C274" s="31">
        <v>2026</v>
      </c>
      <c r="D274" s="31" t="s">
        <v>456</v>
      </c>
      <c r="E274" s="31">
        <v>9</v>
      </c>
      <c r="F274" s="31" t="s">
        <v>459</v>
      </c>
      <c r="G274" s="19">
        <v>46266</v>
      </c>
    </row>
    <row r="275" spans="1:7" x14ac:dyDescent="0.35">
      <c r="A275" s="19">
        <v>46296</v>
      </c>
      <c r="B275" s="31">
        <v>20261001</v>
      </c>
      <c r="C275" s="31">
        <v>2026</v>
      </c>
      <c r="D275" s="31" t="s">
        <v>460</v>
      </c>
      <c r="E275" s="31">
        <v>10</v>
      </c>
      <c r="F275" s="31" t="s">
        <v>461</v>
      </c>
      <c r="G275" s="19">
        <v>46296</v>
      </c>
    </row>
    <row r="276" spans="1:7" x14ac:dyDescent="0.35">
      <c r="A276" s="19">
        <v>46297</v>
      </c>
      <c r="B276" s="31">
        <v>20261002</v>
      </c>
      <c r="C276" s="31">
        <v>2026</v>
      </c>
      <c r="D276" s="31" t="s">
        <v>460</v>
      </c>
      <c r="E276" s="31">
        <v>10</v>
      </c>
      <c r="F276" s="31" t="s">
        <v>461</v>
      </c>
      <c r="G276" s="19">
        <v>46296</v>
      </c>
    </row>
    <row r="277" spans="1:7" x14ac:dyDescent="0.35">
      <c r="A277" s="19">
        <v>46298</v>
      </c>
      <c r="B277" s="31">
        <v>20261003</v>
      </c>
      <c r="C277" s="31">
        <v>2026</v>
      </c>
      <c r="D277" s="31" t="s">
        <v>460</v>
      </c>
      <c r="E277" s="31">
        <v>10</v>
      </c>
      <c r="F277" s="31" t="s">
        <v>461</v>
      </c>
      <c r="G277" s="19">
        <v>46296</v>
      </c>
    </row>
    <row r="278" spans="1:7" x14ac:dyDescent="0.35">
      <c r="A278" s="19">
        <v>46299</v>
      </c>
      <c r="B278" s="31">
        <v>20261004</v>
      </c>
      <c r="C278" s="31">
        <v>2026</v>
      </c>
      <c r="D278" s="31" t="s">
        <v>460</v>
      </c>
      <c r="E278" s="31">
        <v>10</v>
      </c>
      <c r="F278" s="31" t="s">
        <v>461</v>
      </c>
      <c r="G278" s="19">
        <v>46296</v>
      </c>
    </row>
    <row r="279" spans="1:7" x14ac:dyDescent="0.35">
      <c r="A279" s="19">
        <v>46300</v>
      </c>
      <c r="B279" s="31">
        <v>20261005</v>
      </c>
      <c r="C279" s="31">
        <v>2026</v>
      </c>
      <c r="D279" s="31" t="s">
        <v>460</v>
      </c>
      <c r="E279" s="31">
        <v>10</v>
      </c>
      <c r="F279" s="31" t="s">
        <v>461</v>
      </c>
      <c r="G279" s="19">
        <v>46296</v>
      </c>
    </row>
    <row r="280" spans="1:7" x14ac:dyDescent="0.35">
      <c r="A280" s="19">
        <v>46301</v>
      </c>
      <c r="B280" s="31">
        <v>20261006</v>
      </c>
      <c r="C280" s="31">
        <v>2026</v>
      </c>
      <c r="D280" s="31" t="s">
        <v>460</v>
      </c>
      <c r="E280" s="31">
        <v>10</v>
      </c>
      <c r="F280" s="31" t="s">
        <v>461</v>
      </c>
      <c r="G280" s="19">
        <v>46296</v>
      </c>
    </row>
    <row r="281" spans="1:7" x14ac:dyDescent="0.35">
      <c r="A281" s="19">
        <v>46302</v>
      </c>
      <c r="B281" s="31">
        <v>20261007</v>
      </c>
      <c r="C281" s="31">
        <v>2026</v>
      </c>
      <c r="D281" s="31" t="s">
        <v>460</v>
      </c>
      <c r="E281" s="31">
        <v>10</v>
      </c>
      <c r="F281" s="31" t="s">
        <v>461</v>
      </c>
      <c r="G281" s="19">
        <v>46296</v>
      </c>
    </row>
    <row r="282" spans="1:7" x14ac:dyDescent="0.35">
      <c r="A282" s="19">
        <v>46303</v>
      </c>
      <c r="B282" s="31">
        <v>20261008</v>
      </c>
      <c r="C282" s="31">
        <v>2026</v>
      </c>
      <c r="D282" s="31" t="s">
        <v>460</v>
      </c>
      <c r="E282" s="31">
        <v>10</v>
      </c>
      <c r="F282" s="31" t="s">
        <v>461</v>
      </c>
      <c r="G282" s="19">
        <v>46296</v>
      </c>
    </row>
    <row r="283" spans="1:7" x14ac:dyDescent="0.35">
      <c r="A283" s="19">
        <v>46304</v>
      </c>
      <c r="B283" s="31">
        <v>20261009</v>
      </c>
      <c r="C283" s="31">
        <v>2026</v>
      </c>
      <c r="D283" s="31" t="s">
        <v>460</v>
      </c>
      <c r="E283" s="31">
        <v>10</v>
      </c>
      <c r="F283" s="31" t="s">
        <v>461</v>
      </c>
      <c r="G283" s="19">
        <v>46296</v>
      </c>
    </row>
    <row r="284" spans="1:7" x14ac:dyDescent="0.35">
      <c r="A284" s="19">
        <v>46305</v>
      </c>
      <c r="B284" s="31">
        <v>20261010</v>
      </c>
      <c r="C284" s="31">
        <v>2026</v>
      </c>
      <c r="D284" s="31" t="s">
        <v>460</v>
      </c>
      <c r="E284" s="31">
        <v>10</v>
      </c>
      <c r="F284" s="31" t="s">
        <v>461</v>
      </c>
      <c r="G284" s="19">
        <v>46296</v>
      </c>
    </row>
    <row r="285" spans="1:7" x14ac:dyDescent="0.35">
      <c r="A285" s="19">
        <v>46306</v>
      </c>
      <c r="B285" s="31">
        <v>20261011</v>
      </c>
      <c r="C285" s="31">
        <v>2026</v>
      </c>
      <c r="D285" s="31" t="s">
        <v>460</v>
      </c>
      <c r="E285" s="31">
        <v>10</v>
      </c>
      <c r="F285" s="31" t="s">
        <v>461</v>
      </c>
      <c r="G285" s="19">
        <v>46296</v>
      </c>
    </row>
    <row r="286" spans="1:7" x14ac:dyDescent="0.35">
      <c r="A286" s="19">
        <v>46307</v>
      </c>
      <c r="B286" s="31">
        <v>20261012</v>
      </c>
      <c r="C286" s="31">
        <v>2026</v>
      </c>
      <c r="D286" s="31" t="s">
        <v>460</v>
      </c>
      <c r="E286" s="31">
        <v>10</v>
      </c>
      <c r="F286" s="31" t="s">
        <v>461</v>
      </c>
      <c r="G286" s="19">
        <v>46296</v>
      </c>
    </row>
    <row r="287" spans="1:7" x14ac:dyDescent="0.35">
      <c r="A287" s="19">
        <v>46308</v>
      </c>
      <c r="B287" s="31">
        <v>20261013</v>
      </c>
      <c r="C287" s="31">
        <v>2026</v>
      </c>
      <c r="D287" s="31" t="s">
        <v>460</v>
      </c>
      <c r="E287" s="31">
        <v>10</v>
      </c>
      <c r="F287" s="31" t="s">
        <v>461</v>
      </c>
      <c r="G287" s="19">
        <v>46296</v>
      </c>
    </row>
    <row r="288" spans="1:7" x14ac:dyDescent="0.35">
      <c r="A288" s="19">
        <v>46309</v>
      </c>
      <c r="B288" s="31">
        <v>20261014</v>
      </c>
      <c r="C288" s="31">
        <v>2026</v>
      </c>
      <c r="D288" s="31" t="s">
        <v>460</v>
      </c>
      <c r="E288" s="31">
        <v>10</v>
      </c>
      <c r="F288" s="31" t="s">
        <v>461</v>
      </c>
      <c r="G288" s="19">
        <v>46296</v>
      </c>
    </row>
    <row r="289" spans="1:7" x14ac:dyDescent="0.35">
      <c r="A289" s="19">
        <v>46310</v>
      </c>
      <c r="B289" s="31">
        <v>20261015</v>
      </c>
      <c r="C289" s="31">
        <v>2026</v>
      </c>
      <c r="D289" s="31" t="s">
        <v>460</v>
      </c>
      <c r="E289" s="31">
        <v>10</v>
      </c>
      <c r="F289" s="31" t="s">
        <v>461</v>
      </c>
      <c r="G289" s="19">
        <v>46296</v>
      </c>
    </row>
    <row r="290" spans="1:7" x14ac:dyDescent="0.35">
      <c r="A290" s="19">
        <v>46311</v>
      </c>
      <c r="B290" s="31">
        <v>20261016</v>
      </c>
      <c r="C290" s="31">
        <v>2026</v>
      </c>
      <c r="D290" s="31" t="s">
        <v>460</v>
      </c>
      <c r="E290" s="31">
        <v>10</v>
      </c>
      <c r="F290" s="31" t="s">
        <v>461</v>
      </c>
      <c r="G290" s="19">
        <v>46296</v>
      </c>
    </row>
    <row r="291" spans="1:7" x14ac:dyDescent="0.35">
      <c r="A291" s="19">
        <v>46312</v>
      </c>
      <c r="B291" s="31">
        <v>20261017</v>
      </c>
      <c r="C291" s="31">
        <v>2026</v>
      </c>
      <c r="D291" s="31" t="s">
        <v>460</v>
      </c>
      <c r="E291" s="31">
        <v>10</v>
      </c>
      <c r="F291" s="31" t="s">
        <v>461</v>
      </c>
      <c r="G291" s="19">
        <v>46296</v>
      </c>
    </row>
    <row r="292" spans="1:7" x14ac:dyDescent="0.35">
      <c r="A292" s="19">
        <v>46313</v>
      </c>
      <c r="B292" s="31">
        <v>20261018</v>
      </c>
      <c r="C292" s="31">
        <v>2026</v>
      </c>
      <c r="D292" s="31" t="s">
        <v>460</v>
      </c>
      <c r="E292" s="31">
        <v>10</v>
      </c>
      <c r="F292" s="31" t="s">
        <v>461</v>
      </c>
      <c r="G292" s="19">
        <v>46296</v>
      </c>
    </row>
    <row r="293" spans="1:7" x14ac:dyDescent="0.35">
      <c r="A293" s="19">
        <v>46314</v>
      </c>
      <c r="B293" s="31">
        <v>20261019</v>
      </c>
      <c r="C293" s="31">
        <v>2026</v>
      </c>
      <c r="D293" s="31" t="s">
        <v>460</v>
      </c>
      <c r="E293" s="31">
        <v>10</v>
      </c>
      <c r="F293" s="31" t="s">
        <v>461</v>
      </c>
      <c r="G293" s="19">
        <v>46296</v>
      </c>
    </row>
    <row r="294" spans="1:7" x14ac:dyDescent="0.35">
      <c r="A294" s="19">
        <v>46315</v>
      </c>
      <c r="B294" s="31">
        <v>20261020</v>
      </c>
      <c r="C294" s="31">
        <v>2026</v>
      </c>
      <c r="D294" s="31" t="s">
        <v>460</v>
      </c>
      <c r="E294" s="31">
        <v>10</v>
      </c>
      <c r="F294" s="31" t="s">
        <v>461</v>
      </c>
      <c r="G294" s="19">
        <v>46296</v>
      </c>
    </row>
    <row r="295" spans="1:7" x14ac:dyDescent="0.35">
      <c r="A295" s="19">
        <v>46316</v>
      </c>
      <c r="B295" s="31">
        <v>20261021</v>
      </c>
      <c r="C295" s="31">
        <v>2026</v>
      </c>
      <c r="D295" s="31" t="s">
        <v>460</v>
      </c>
      <c r="E295" s="31">
        <v>10</v>
      </c>
      <c r="F295" s="31" t="s">
        <v>461</v>
      </c>
      <c r="G295" s="19">
        <v>46296</v>
      </c>
    </row>
    <row r="296" spans="1:7" x14ac:dyDescent="0.35">
      <c r="A296" s="19">
        <v>46317</v>
      </c>
      <c r="B296" s="31">
        <v>20261022</v>
      </c>
      <c r="C296" s="31">
        <v>2026</v>
      </c>
      <c r="D296" s="31" t="s">
        <v>460</v>
      </c>
      <c r="E296" s="31">
        <v>10</v>
      </c>
      <c r="F296" s="31" t="s">
        <v>461</v>
      </c>
      <c r="G296" s="19">
        <v>46296</v>
      </c>
    </row>
    <row r="297" spans="1:7" x14ac:dyDescent="0.35">
      <c r="A297" s="19">
        <v>46318</v>
      </c>
      <c r="B297" s="31">
        <v>20261023</v>
      </c>
      <c r="C297" s="31">
        <v>2026</v>
      </c>
      <c r="D297" s="31" t="s">
        <v>460</v>
      </c>
      <c r="E297" s="31">
        <v>10</v>
      </c>
      <c r="F297" s="31" t="s">
        <v>461</v>
      </c>
      <c r="G297" s="19">
        <v>46296</v>
      </c>
    </row>
    <row r="298" spans="1:7" x14ac:dyDescent="0.35">
      <c r="A298" s="19">
        <v>46319</v>
      </c>
      <c r="B298" s="31">
        <v>20261024</v>
      </c>
      <c r="C298" s="31">
        <v>2026</v>
      </c>
      <c r="D298" s="31" t="s">
        <v>460</v>
      </c>
      <c r="E298" s="31">
        <v>10</v>
      </c>
      <c r="F298" s="31" t="s">
        <v>461</v>
      </c>
      <c r="G298" s="19">
        <v>46296</v>
      </c>
    </row>
    <row r="299" spans="1:7" x14ac:dyDescent="0.35">
      <c r="A299" s="19">
        <v>46320</v>
      </c>
      <c r="B299" s="31">
        <v>20261025</v>
      </c>
      <c r="C299" s="31">
        <v>2026</v>
      </c>
      <c r="D299" s="31" t="s">
        <v>460</v>
      </c>
      <c r="E299" s="31">
        <v>10</v>
      </c>
      <c r="F299" s="31" t="s">
        <v>461</v>
      </c>
      <c r="G299" s="19">
        <v>46296</v>
      </c>
    </row>
    <row r="300" spans="1:7" x14ac:dyDescent="0.35">
      <c r="A300" s="19">
        <v>46321</v>
      </c>
      <c r="B300" s="31">
        <v>20261026</v>
      </c>
      <c r="C300" s="31">
        <v>2026</v>
      </c>
      <c r="D300" s="31" t="s">
        <v>460</v>
      </c>
      <c r="E300" s="31">
        <v>10</v>
      </c>
      <c r="F300" s="31" t="s">
        <v>461</v>
      </c>
      <c r="G300" s="19">
        <v>46296</v>
      </c>
    </row>
    <row r="301" spans="1:7" x14ac:dyDescent="0.35">
      <c r="A301" s="19">
        <v>46322</v>
      </c>
      <c r="B301" s="31">
        <v>20261027</v>
      </c>
      <c r="C301" s="31">
        <v>2026</v>
      </c>
      <c r="D301" s="31" t="s">
        <v>460</v>
      </c>
      <c r="E301" s="31">
        <v>10</v>
      </c>
      <c r="F301" s="31" t="s">
        <v>461</v>
      </c>
      <c r="G301" s="19">
        <v>46296</v>
      </c>
    </row>
    <row r="302" spans="1:7" x14ac:dyDescent="0.35">
      <c r="A302" s="19">
        <v>46323</v>
      </c>
      <c r="B302" s="31">
        <v>20261028</v>
      </c>
      <c r="C302" s="31">
        <v>2026</v>
      </c>
      <c r="D302" s="31" t="s">
        <v>460</v>
      </c>
      <c r="E302" s="31">
        <v>10</v>
      </c>
      <c r="F302" s="31" t="s">
        <v>461</v>
      </c>
      <c r="G302" s="19">
        <v>46296</v>
      </c>
    </row>
    <row r="303" spans="1:7" x14ac:dyDescent="0.35">
      <c r="A303" s="19">
        <v>46324</v>
      </c>
      <c r="B303" s="31">
        <v>20261029</v>
      </c>
      <c r="C303" s="31">
        <v>2026</v>
      </c>
      <c r="D303" s="31" t="s">
        <v>460</v>
      </c>
      <c r="E303" s="31">
        <v>10</v>
      </c>
      <c r="F303" s="31" t="s">
        <v>461</v>
      </c>
      <c r="G303" s="19">
        <v>46296</v>
      </c>
    </row>
    <row r="304" spans="1:7" x14ac:dyDescent="0.35">
      <c r="A304" s="19">
        <v>46325</v>
      </c>
      <c r="B304" s="31">
        <v>20261030</v>
      </c>
      <c r="C304" s="31">
        <v>2026</v>
      </c>
      <c r="D304" s="31" t="s">
        <v>460</v>
      </c>
      <c r="E304" s="31">
        <v>10</v>
      </c>
      <c r="F304" s="31" t="s">
        <v>461</v>
      </c>
      <c r="G304" s="19">
        <v>46296</v>
      </c>
    </row>
    <row r="305" spans="1:7" x14ac:dyDescent="0.35">
      <c r="A305" s="19">
        <v>46326</v>
      </c>
      <c r="B305" s="31">
        <v>20261031</v>
      </c>
      <c r="C305" s="31">
        <v>2026</v>
      </c>
      <c r="D305" s="31" t="s">
        <v>460</v>
      </c>
      <c r="E305" s="31">
        <v>10</v>
      </c>
      <c r="F305" s="31" t="s">
        <v>461</v>
      </c>
      <c r="G305" s="19">
        <v>46296</v>
      </c>
    </row>
    <row r="306" spans="1:7" x14ac:dyDescent="0.35">
      <c r="A306" s="19">
        <v>46327</v>
      </c>
      <c r="B306" s="31">
        <v>20261101</v>
      </c>
      <c r="C306" s="31">
        <v>2026</v>
      </c>
      <c r="D306" s="31" t="s">
        <v>460</v>
      </c>
      <c r="E306" s="31">
        <v>11</v>
      </c>
      <c r="F306" s="31" t="s">
        <v>462</v>
      </c>
      <c r="G306" s="19">
        <v>46327</v>
      </c>
    </row>
    <row r="307" spans="1:7" x14ac:dyDescent="0.35">
      <c r="A307" s="19">
        <v>46328</v>
      </c>
      <c r="B307" s="31">
        <v>20261102</v>
      </c>
      <c r="C307" s="31">
        <v>2026</v>
      </c>
      <c r="D307" s="31" t="s">
        <v>460</v>
      </c>
      <c r="E307" s="31">
        <v>11</v>
      </c>
      <c r="F307" s="31" t="s">
        <v>462</v>
      </c>
      <c r="G307" s="19">
        <v>46327</v>
      </c>
    </row>
    <row r="308" spans="1:7" x14ac:dyDescent="0.35">
      <c r="A308" s="19">
        <v>46329</v>
      </c>
      <c r="B308" s="31">
        <v>20261103</v>
      </c>
      <c r="C308" s="31">
        <v>2026</v>
      </c>
      <c r="D308" s="31" t="s">
        <v>460</v>
      </c>
      <c r="E308" s="31">
        <v>11</v>
      </c>
      <c r="F308" s="31" t="s">
        <v>462</v>
      </c>
      <c r="G308" s="19">
        <v>46327</v>
      </c>
    </row>
    <row r="309" spans="1:7" x14ac:dyDescent="0.35">
      <c r="A309" s="19">
        <v>46330</v>
      </c>
      <c r="B309" s="31">
        <v>20261104</v>
      </c>
      <c r="C309" s="31">
        <v>2026</v>
      </c>
      <c r="D309" s="31" t="s">
        <v>460</v>
      </c>
      <c r="E309" s="31">
        <v>11</v>
      </c>
      <c r="F309" s="31" t="s">
        <v>462</v>
      </c>
      <c r="G309" s="19">
        <v>46327</v>
      </c>
    </row>
    <row r="310" spans="1:7" x14ac:dyDescent="0.35">
      <c r="A310" s="19">
        <v>46331</v>
      </c>
      <c r="B310" s="31">
        <v>20261105</v>
      </c>
      <c r="C310" s="31">
        <v>2026</v>
      </c>
      <c r="D310" s="31" t="s">
        <v>460</v>
      </c>
      <c r="E310" s="31">
        <v>11</v>
      </c>
      <c r="F310" s="31" t="s">
        <v>462</v>
      </c>
      <c r="G310" s="19">
        <v>46327</v>
      </c>
    </row>
    <row r="311" spans="1:7" x14ac:dyDescent="0.35">
      <c r="A311" s="19">
        <v>46332</v>
      </c>
      <c r="B311" s="31">
        <v>20261106</v>
      </c>
      <c r="C311" s="31">
        <v>2026</v>
      </c>
      <c r="D311" s="31" t="s">
        <v>460</v>
      </c>
      <c r="E311" s="31">
        <v>11</v>
      </c>
      <c r="F311" s="31" t="s">
        <v>462</v>
      </c>
      <c r="G311" s="19">
        <v>46327</v>
      </c>
    </row>
    <row r="312" spans="1:7" x14ac:dyDescent="0.35">
      <c r="A312" s="19">
        <v>46333</v>
      </c>
      <c r="B312" s="31">
        <v>20261107</v>
      </c>
      <c r="C312" s="31">
        <v>2026</v>
      </c>
      <c r="D312" s="31" t="s">
        <v>460</v>
      </c>
      <c r="E312" s="31">
        <v>11</v>
      </c>
      <c r="F312" s="31" t="s">
        <v>462</v>
      </c>
      <c r="G312" s="19">
        <v>46327</v>
      </c>
    </row>
    <row r="313" spans="1:7" x14ac:dyDescent="0.35">
      <c r="A313" s="19">
        <v>46334</v>
      </c>
      <c r="B313" s="31">
        <v>20261108</v>
      </c>
      <c r="C313" s="31">
        <v>2026</v>
      </c>
      <c r="D313" s="31" t="s">
        <v>460</v>
      </c>
      <c r="E313" s="31">
        <v>11</v>
      </c>
      <c r="F313" s="31" t="s">
        <v>462</v>
      </c>
      <c r="G313" s="19">
        <v>46327</v>
      </c>
    </row>
    <row r="314" spans="1:7" x14ac:dyDescent="0.35">
      <c r="A314" s="19">
        <v>46335</v>
      </c>
      <c r="B314" s="31">
        <v>20261109</v>
      </c>
      <c r="C314" s="31">
        <v>2026</v>
      </c>
      <c r="D314" s="31" t="s">
        <v>460</v>
      </c>
      <c r="E314" s="31">
        <v>11</v>
      </c>
      <c r="F314" s="31" t="s">
        <v>462</v>
      </c>
      <c r="G314" s="19">
        <v>46327</v>
      </c>
    </row>
    <row r="315" spans="1:7" x14ac:dyDescent="0.35">
      <c r="A315" s="19">
        <v>46336</v>
      </c>
      <c r="B315" s="31">
        <v>20261110</v>
      </c>
      <c r="C315" s="31">
        <v>2026</v>
      </c>
      <c r="D315" s="31" t="s">
        <v>460</v>
      </c>
      <c r="E315" s="31">
        <v>11</v>
      </c>
      <c r="F315" s="31" t="s">
        <v>462</v>
      </c>
      <c r="G315" s="19">
        <v>46327</v>
      </c>
    </row>
    <row r="316" spans="1:7" x14ac:dyDescent="0.35">
      <c r="A316" s="19">
        <v>46337</v>
      </c>
      <c r="B316" s="31">
        <v>20261111</v>
      </c>
      <c r="C316" s="31">
        <v>2026</v>
      </c>
      <c r="D316" s="31" t="s">
        <v>460</v>
      </c>
      <c r="E316" s="31">
        <v>11</v>
      </c>
      <c r="F316" s="31" t="s">
        <v>462</v>
      </c>
      <c r="G316" s="19">
        <v>46327</v>
      </c>
    </row>
    <row r="317" spans="1:7" x14ac:dyDescent="0.35">
      <c r="A317" s="19">
        <v>46338</v>
      </c>
      <c r="B317" s="31">
        <v>20261112</v>
      </c>
      <c r="C317" s="31">
        <v>2026</v>
      </c>
      <c r="D317" s="31" t="s">
        <v>460</v>
      </c>
      <c r="E317" s="31">
        <v>11</v>
      </c>
      <c r="F317" s="31" t="s">
        <v>462</v>
      </c>
      <c r="G317" s="19">
        <v>46327</v>
      </c>
    </row>
    <row r="318" spans="1:7" x14ac:dyDescent="0.35">
      <c r="A318" s="19">
        <v>46339</v>
      </c>
      <c r="B318" s="31">
        <v>20261113</v>
      </c>
      <c r="C318" s="31">
        <v>2026</v>
      </c>
      <c r="D318" s="31" t="s">
        <v>460</v>
      </c>
      <c r="E318" s="31">
        <v>11</v>
      </c>
      <c r="F318" s="31" t="s">
        <v>462</v>
      </c>
      <c r="G318" s="19">
        <v>46327</v>
      </c>
    </row>
    <row r="319" spans="1:7" x14ac:dyDescent="0.35">
      <c r="A319" s="19">
        <v>46340</v>
      </c>
      <c r="B319" s="31">
        <v>20261114</v>
      </c>
      <c r="C319" s="31">
        <v>2026</v>
      </c>
      <c r="D319" s="31" t="s">
        <v>460</v>
      </c>
      <c r="E319" s="31">
        <v>11</v>
      </c>
      <c r="F319" s="31" t="s">
        <v>462</v>
      </c>
      <c r="G319" s="19">
        <v>46327</v>
      </c>
    </row>
    <row r="320" spans="1:7" x14ac:dyDescent="0.35">
      <c r="A320" s="19">
        <v>46341</v>
      </c>
      <c r="B320" s="31">
        <v>20261115</v>
      </c>
      <c r="C320" s="31">
        <v>2026</v>
      </c>
      <c r="D320" s="31" t="s">
        <v>460</v>
      </c>
      <c r="E320" s="31">
        <v>11</v>
      </c>
      <c r="F320" s="31" t="s">
        <v>462</v>
      </c>
      <c r="G320" s="19">
        <v>46327</v>
      </c>
    </row>
    <row r="321" spans="1:7" x14ac:dyDescent="0.35">
      <c r="A321" s="19">
        <v>46342</v>
      </c>
      <c r="B321" s="31">
        <v>20261116</v>
      </c>
      <c r="C321" s="31">
        <v>2026</v>
      </c>
      <c r="D321" s="31" t="s">
        <v>460</v>
      </c>
      <c r="E321" s="31">
        <v>11</v>
      </c>
      <c r="F321" s="31" t="s">
        <v>462</v>
      </c>
      <c r="G321" s="19">
        <v>46327</v>
      </c>
    </row>
    <row r="322" spans="1:7" x14ac:dyDescent="0.35">
      <c r="A322" s="19">
        <v>46343</v>
      </c>
      <c r="B322" s="31">
        <v>20261117</v>
      </c>
      <c r="C322" s="31">
        <v>2026</v>
      </c>
      <c r="D322" s="31" t="s">
        <v>460</v>
      </c>
      <c r="E322" s="31">
        <v>11</v>
      </c>
      <c r="F322" s="31" t="s">
        <v>462</v>
      </c>
      <c r="G322" s="19">
        <v>46327</v>
      </c>
    </row>
    <row r="323" spans="1:7" x14ac:dyDescent="0.35">
      <c r="A323" s="19">
        <v>46344</v>
      </c>
      <c r="B323" s="31">
        <v>20261118</v>
      </c>
      <c r="C323" s="31">
        <v>2026</v>
      </c>
      <c r="D323" s="31" t="s">
        <v>460</v>
      </c>
      <c r="E323" s="31">
        <v>11</v>
      </c>
      <c r="F323" s="31" t="s">
        <v>462</v>
      </c>
      <c r="G323" s="19">
        <v>46327</v>
      </c>
    </row>
    <row r="324" spans="1:7" x14ac:dyDescent="0.35">
      <c r="A324" s="19">
        <v>46345</v>
      </c>
      <c r="B324" s="31">
        <v>20261119</v>
      </c>
      <c r="C324" s="31">
        <v>2026</v>
      </c>
      <c r="D324" s="31" t="s">
        <v>460</v>
      </c>
      <c r="E324" s="31">
        <v>11</v>
      </c>
      <c r="F324" s="31" t="s">
        <v>462</v>
      </c>
      <c r="G324" s="19">
        <v>46327</v>
      </c>
    </row>
    <row r="325" spans="1:7" x14ac:dyDescent="0.35">
      <c r="A325" s="19">
        <v>46346</v>
      </c>
      <c r="B325" s="31">
        <v>20261120</v>
      </c>
      <c r="C325" s="31">
        <v>2026</v>
      </c>
      <c r="D325" s="31" t="s">
        <v>460</v>
      </c>
      <c r="E325" s="31">
        <v>11</v>
      </c>
      <c r="F325" s="31" t="s">
        <v>462</v>
      </c>
      <c r="G325" s="19">
        <v>46327</v>
      </c>
    </row>
    <row r="326" spans="1:7" x14ac:dyDescent="0.35">
      <c r="A326" s="19">
        <v>46347</v>
      </c>
      <c r="B326" s="31">
        <v>20261121</v>
      </c>
      <c r="C326" s="31">
        <v>2026</v>
      </c>
      <c r="D326" s="31" t="s">
        <v>460</v>
      </c>
      <c r="E326" s="31">
        <v>11</v>
      </c>
      <c r="F326" s="31" t="s">
        <v>462</v>
      </c>
      <c r="G326" s="19">
        <v>46327</v>
      </c>
    </row>
    <row r="327" spans="1:7" x14ac:dyDescent="0.35">
      <c r="A327" s="19">
        <v>46348</v>
      </c>
      <c r="B327" s="31">
        <v>20261122</v>
      </c>
      <c r="C327" s="31">
        <v>2026</v>
      </c>
      <c r="D327" s="31" t="s">
        <v>460</v>
      </c>
      <c r="E327" s="31">
        <v>11</v>
      </c>
      <c r="F327" s="31" t="s">
        <v>462</v>
      </c>
      <c r="G327" s="19">
        <v>46327</v>
      </c>
    </row>
    <row r="328" spans="1:7" x14ac:dyDescent="0.35">
      <c r="A328" s="19">
        <v>46349</v>
      </c>
      <c r="B328" s="31">
        <v>20261123</v>
      </c>
      <c r="C328" s="31">
        <v>2026</v>
      </c>
      <c r="D328" s="31" t="s">
        <v>460</v>
      </c>
      <c r="E328" s="31">
        <v>11</v>
      </c>
      <c r="F328" s="31" t="s">
        <v>462</v>
      </c>
      <c r="G328" s="19">
        <v>46327</v>
      </c>
    </row>
    <row r="329" spans="1:7" x14ac:dyDescent="0.35">
      <c r="A329" s="19">
        <v>46350</v>
      </c>
      <c r="B329" s="31">
        <v>20261124</v>
      </c>
      <c r="C329" s="31">
        <v>2026</v>
      </c>
      <c r="D329" s="31" t="s">
        <v>460</v>
      </c>
      <c r="E329" s="31">
        <v>11</v>
      </c>
      <c r="F329" s="31" t="s">
        <v>462</v>
      </c>
      <c r="G329" s="19">
        <v>46327</v>
      </c>
    </row>
    <row r="330" spans="1:7" x14ac:dyDescent="0.35">
      <c r="A330" s="19">
        <v>46351</v>
      </c>
      <c r="B330" s="31">
        <v>20261125</v>
      </c>
      <c r="C330" s="31">
        <v>2026</v>
      </c>
      <c r="D330" s="31" t="s">
        <v>460</v>
      </c>
      <c r="E330" s="31">
        <v>11</v>
      </c>
      <c r="F330" s="31" t="s">
        <v>462</v>
      </c>
      <c r="G330" s="19">
        <v>46327</v>
      </c>
    </row>
    <row r="331" spans="1:7" x14ac:dyDescent="0.35">
      <c r="A331" s="19">
        <v>46352</v>
      </c>
      <c r="B331" s="31">
        <v>20261126</v>
      </c>
      <c r="C331" s="31">
        <v>2026</v>
      </c>
      <c r="D331" s="31" t="s">
        <v>460</v>
      </c>
      <c r="E331" s="31">
        <v>11</v>
      </c>
      <c r="F331" s="31" t="s">
        <v>462</v>
      </c>
      <c r="G331" s="19">
        <v>46327</v>
      </c>
    </row>
    <row r="332" spans="1:7" x14ac:dyDescent="0.35">
      <c r="A332" s="19">
        <v>46353</v>
      </c>
      <c r="B332" s="31">
        <v>20261127</v>
      </c>
      <c r="C332" s="31">
        <v>2026</v>
      </c>
      <c r="D332" s="31" t="s">
        <v>460</v>
      </c>
      <c r="E332" s="31">
        <v>11</v>
      </c>
      <c r="F332" s="31" t="s">
        <v>462</v>
      </c>
      <c r="G332" s="19">
        <v>46327</v>
      </c>
    </row>
    <row r="333" spans="1:7" x14ac:dyDescent="0.35">
      <c r="A333" s="19">
        <v>46354</v>
      </c>
      <c r="B333" s="31">
        <v>20261128</v>
      </c>
      <c r="C333" s="31">
        <v>2026</v>
      </c>
      <c r="D333" s="31" t="s">
        <v>460</v>
      </c>
      <c r="E333" s="31">
        <v>11</v>
      </c>
      <c r="F333" s="31" t="s">
        <v>462</v>
      </c>
      <c r="G333" s="19">
        <v>46327</v>
      </c>
    </row>
    <row r="334" spans="1:7" x14ac:dyDescent="0.35">
      <c r="A334" s="19">
        <v>46355</v>
      </c>
      <c r="B334" s="31">
        <v>20261129</v>
      </c>
      <c r="C334" s="31">
        <v>2026</v>
      </c>
      <c r="D334" s="31" t="s">
        <v>460</v>
      </c>
      <c r="E334" s="31">
        <v>11</v>
      </c>
      <c r="F334" s="31" t="s">
        <v>462</v>
      </c>
      <c r="G334" s="19">
        <v>46327</v>
      </c>
    </row>
    <row r="335" spans="1:7" x14ac:dyDescent="0.35">
      <c r="A335" s="19">
        <v>46356</v>
      </c>
      <c r="B335" s="31">
        <v>20261130</v>
      </c>
      <c r="C335" s="31">
        <v>2026</v>
      </c>
      <c r="D335" s="31" t="s">
        <v>460</v>
      </c>
      <c r="E335" s="31">
        <v>11</v>
      </c>
      <c r="F335" s="31" t="s">
        <v>462</v>
      </c>
      <c r="G335" s="19">
        <v>46327</v>
      </c>
    </row>
    <row r="336" spans="1:7" x14ac:dyDescent="0.35">
      <c r="A336" s="19">
        <v>46357</v>
      </c>
      <c r="B336" s="31">
        <v>20261201</v>
      </c>
      <c r="C336" s="31">
        <v>2026</v>
      </c>
      <c r="D336" s="31" t="s">
        <v>460</v>
      </c>
      <c r="E336" s="31">
        <v>12</v>
      </c>
      <c r="F336" s="31" t="s">
        <v>463</v>
      </c>
      <c r="G336" s="19">
        <v>46357</v>
      </c>
    </row>
    <row r="337" spans="1:7" x14ac:dyDescent="0.35">
      <c r="A337" s="19">
        <v>46358</v>
      </c>
      <c r="B337" s="31">
        <v>20261202</v>
      </c>
      <c r="C337" s="31">
        <v>2026</v>
      </c>
      <c r="D337" s="31" t="s">
        <v>460</v>
      </c>
      <c r="E337" s="31">
        <v>12</v>
      </c>
      <c r="F337" s="31" t="s">
        <v>463</v>
      </c>
      <c r="G337" s="19">
        <v>46357</v>
      </c>
    </row>
    <row r="338" spans="1:7" x14ac:dyDescent="0.35">
      <c r="A338" s="19">
        <v>46359</v>
      </c>
      <c r="B338" s="31">
        <v>20261203</v>
      </c>
      <c r="C338" s="31">
        <v>2026</v>
      </c>
      <c r="D338" s="31" t="s">
        <v>460</v>
      </c>
      <c r="E338" s="31">
        <v>12</v>
      </c>
      <c r="F338" s="31" t="s">
        <v>463</v>
      </c>
      <c r="G338" s="19">
        <v>46357</v>
      </c>
    </row>
    <row r="339" spans="1:7" x14ac:dyDescent="0.35">
      <c r="A339" s="19">
        <v>46360</v>
      </c>
      <c r="B339" s="31">
        <v>20261204</v>
      </c>
      <c r="C339" s="31">
        <v>2026</v>
      </c>
      <c r="D339" s="31" t="s">
        <v>460</v>
      </c>
      <c r="E339" s="31">
        <v>12</v>
      </c>
      <c r="F339" s="31" t="s">
        <v>463</v>
      </c>
      <c r="G339" s="19">
        <v>46357</v>
      </c>
    </row>
    <row r="340" spans="1:7" x14ac:dyDescent="0.35">
      <c r="A340" s="19">
        <v>46361</v>
      </c>
      <c r="B340" s="31">
        <v>20261205</v>
      </c>
      <c r="C340" s="31">
        <v>2026</v>
      </c>
      <c r="D340" s="31" t="s">
        <v>460</v>
      </c>
      <c r="E340" s="31">
        <v>12</v>
      </c>
      <c r="F340" s="31" t="s">
        <v>463</v>
      </c>
      <c r="G340" s="19">
        <v>46357</v>
      </c>
    </row>
    <row r="341" spans="1:7" x14ac:dyDescent="0.35">
      <c r="A341" s="19">
        <v>46362</v>
      </c>
      <c r="B341" s="31">
        <v>20261206</v>
      </c>
      <c r="C341" s="31">
        <v>2026</v>
      </c>
      <c r="D341" s="31" t="s">
        <v>460</v>
      </c>
      <c r="E341" s="31">
        <v>12</v>
      </c>
      <c r="F341" s="31" t="s">
        <v>463</v>
      </c>
      <c r="G341" s="19">
        <v>46357</v>
      </c>
    </row>
    <row r="342" spans="1:7" x14ac:dyDescent="0.35">
      <c r="A342" s="19">
        <v>46363</v>
      </c>
      <c r="B342" s="31">
        <v>20261207</v>
      </c>
      <c r="C342" s="31">
        <v>2026</v>
      </c>
      <c r="D342" s="31" t="s">
        <v>460</v>
      </c>
      <c r="E342" s="31">
        <v>12</v>
      </c>
      <c r="F342" s="31" t="s">
        <v>463</v>
      </c>
      <c r="G342" s="19">
        <v>46357</v>
      </c>
    </row>
    <row r="343" spans="1:7" x14ac:dyDescent="0.35">
      <c r="A343" s="19">
        <v>46364</v>
      </c>
      <c r="B343" s="31">
        <v>20261208</v>
      </c>
      <c r="C343" s="31">
        <v>2026</v>
      </c>
      <c r="D343" s="31" t="s">
        <v>460</v>
      </c>
      <c r="E343" s="31">
        <v>12</v>
      </c>
      <c r="F343" s="31" t="s">
        <v>463</v>
      </c>
      <c r="G343" s="19">
        <v>46357</v>
      </c>
    </row>
    <row r="344" spans="1:7" x14ac:dyDescent="0.35">
      <c r="A344" s="19">
        <v>46365</v>
      </c>
      <c r="B344" s="31">
        <v>20261209</v>
      </c>
      <c r="C344" s="31">
        <v>2026</v>
      </c>
      <c r="D344" s="31" t="s">
        <v>460</v>
      </c>
      <c r="E344" s="31">
        <v>12</v>
      </c>
      <c r="F344" s="31" t="s">
        <v>463</v>
      </c>
      <c r="G344" s="19">
        <v>46357</v>
      </c>
    </row>
    <row r="345" spans="1:7" x14ac:dyDescent="0.35">
      <c r="A345" s="19">
        <v>46366</v>
      </c>
      <c r="B345" s="31">
        <v>20261210</v>
      </c>
      <c r="C345" s="31">
        <v>2026</v>
      </c>
      <c r="D345" s="31" t="s">
        <v>460</v>
      </c>
      <c r="E345" s="31">
        <v>12</v>
      </c>
      <c r="F345" s="31" t="s">
        <v>463</v>
      </c>
      <c r="G345" s="19">
        <v>46357</v>
      </c>
    </row>
    <row r="346" spans="1:7" x14ac:dyDescent="0.35">
      <c r="A346" s="19">
        <v>46367</v>
      </c>
      <c r="B346" s="31">
        <v>20261211</v>
      </c>
      <c r="C346" s="31">
        <v>2026</v>
      </c>
      <c r="D346" s="31" t="s">
        <v>460</v>
      </c>
      <c r="E346" s="31">
        <v>12</v>
      </c>
      <c r="F346" s="31" t="s">
        <v>463</v>
      </c>
      <c r="G346" s="19">
        <v>46357</v>
      </c>
    </row>
    <row r="347" spans="1:7" x14ac:dyDescent="0.35">
      <c r="A347" s="19">
        <v>46368</v>
      </c>
      <c r="B347" s="31">
        <v>20261212</v>
      </c>
      <c r="C347" s="31">
        <v>2026</v>
      </c>
      <c r="D347" s="31" t="s">
        <v>460</v>
      </c>
      <c r="E347" s="31">
        <v>12</v>
      </c>
      <c r="F347" s="31" t="s">
        <v>463</v>
      </c>
      <c r="G347" s="19">
        <v>46357</v>
      </c>
    </row>
    <row r="348" spans="1:7" x14ac:dyDescent="0.35">
      <c r="A348" s="19">
        <v>46369</v>
      </c>
      <c r="B348" s="31">
        <v>20261213</v>
      </c>
      <c r="C348" s="31">
        <v>2026</v>
      </c>
      <c r="D348" s="31" t="s">
        <v>460</v>
      </c>
      <c r="E348" s="31">
        <v>12</v>
      </c>
      <c r="F348" s="31" t="s">
        <v>463</v>
      </c>
      <c r="G348" s="19">
        <v>46357</v>
      </c>
    </row>
    <row r="349" spans="1:7" x14ac:dyDescent="0.35">
      <c r="A349" s="19">
        <v>46370</v>
      </c>
      <c r="B349" s="31">
        <v>20261214</v>
      </c>
      <c r="C349" s="31">
        <v>2026</v>
      </c>
      <c r="D349" s="31" t="s">
        <v>460</v>
      </c>
      <c r="E349" s="31">
        <v>12</v>
      </c>
      <c r="F349" s="31" t="s">
        <v>463</v>
      </c>
      <c r="G349" s="19">
        <v>46357</v>
      </c>
    </row>
    <row r="350" spans="1:7" x14ac:dyDescent="0.35">
      <c r="A350" s="19">
        <v>46371</v>
      </c>
      <c r="B350" s="31">
        <v>20261215</v>
      </c>
      <c r="C350" s="31">
        <v>2026</v>
      </c>
      <c r="D350" s="31" t="s">
        <v>460</v>
      </c>
      <c r="E350" s="31">
        <v>12</v>
      </c>
      <c r="F350" s="31" t="s">
        <v>463</v>
      </c>
      <c r="G350" s="19">
        <v>46357</v>
      </c>
    </row>
    <row r="351" spans="1:7" x14ac:dyDescent="0.35">
      <c r="A351" s="19">
        <v>46372</v>
      </c>
      <c r="B351" s="31">
        <v>20261216</v>
      </c>
      <c r="C351" s="31">
        <v>2026</v>
      </c>
      <c r="D351" s="31" t="s">
        <v>460</v>
      </c>
      <c r="E351" s="31">
        <v>12</v>
      </c>
      <c r="F351" s="31" t="s">
        <v>463</v>
      </c>
      <c r="G351" s="19">
        <v>46357</v>
      </c>
    </row>
    <row r="352" spans="1:7" x14ac:dyDescent="0.35">
      <c r="A352" s="19">
        <v>46373</v>
      </c>
      <c r="B352" s="31">
        <v>20261217</v>
      </c>
      <c r="C352" s="31">
        <v>2026</v>
      </c>
      <c r="D352" s="31" t="s">
        <v>460</v>
      </c>
      <c r="E352" s="31">
        <v>12</v>
      </c>
      <c r="F352" s="31" t="s">
        <v>463</v>
      </c>
      <c r="G352" s="19">
        <v>46357</v>
      </c>
    </row>
    <row r="353" spans="1:7" x14ac:dyDescent="0.35">
      <c r="A353" s="19">
        <v>46374</v>
      </c>
      <c r="B353" s="31">
        <v>20261218</v>
      </c>
      <c r="C353" s="31">
        <v>2026</v>
      </c>
      <c r="D353" s="31" t="s">
        <v>460</v>
      </c>
      <c r="E353" s="31">
        <v>12</v>
      </c>
      <c r="F353" s="31" t="s">
        <v>463</v>
      </c>
      <c r="G353" s="19">
        <v>46357</v>
      </c>
    </row>
    <row r="354" spans="1:7" x14ac:dyDescent="0.35">
      <c r="A354" s="19">
        <v>46375</v>
      </c>
      <c r="B354" s="31">
        <v>20261219</v>
      </c>
      <c r="C354" s="31">
        <v>2026</v>
      </c>
      <c r="D354" s="31" t="s">
        <v>460</v>
      </c>
      <c r="E354" s="31">
        <v>12</v>
      </c>
      <c r="F354" s="31" t="s">
        <v>463</v>
      </c>
      <c r="G354" s="19">
        <v>46357</v>
      </c>
    </row>
    <row r="355" spans="1:7" x14ac:dyDescent="0.35">
      <c r="A355" s="19">
        <v>46376</v>
      </c>
      <c r="B355" s="31">
        <v>20261220</v>
      </c>
      <c r="C355" s="31">
        <v>2026</v>
      </c>
      <c r="D355" s="31" t="s">
        <v>460</v>
      </c>
      <c r="E355" s="31">
        <v>12</v>
      </c>
      <c r="F355" s="31" t="s">
        <v>463</v>
      </c>
      <c r="G355" s="19">
        <v>46357</v>
      </c>
    </row>
    <row r="356" spans="1:7" x14ac:dyDescent="0.35">
      <c r="A356" s="19">
        <v>46377</v>
      </c>
      <c r="B356" s="31">
        <v>20261221</v>
      </c>
      <c r="C356" s="31">
        <v>2026</v>
      </c>
      <c r="D356" s="31" t="s">
        <v>460</v>
      </c>
      <c r="E356" s="31">
        <v>12</v>
      </c>
      <c r="F356" s="31" t="s">
        <v>463</v>
      </c>
      <c r="G356" s="19">
        <v>46357</v>
      </c>
    </row>
    <row r="357" spans="1:7" x14ac:dyDescent="0.35">
      <c r="A357" s="19">
        <v>46378</v>
      </c>
      <c r="B357" s="31">
        <v>20261222</v>
      </c>
      <c r="C357" s="31">
        <v>2026</v>
      </c>
      <c r="D357" s="31" t="s">
        <v>460</v>
      </c>
      <c r="E357" s="31">
        <v>12</v>
      </c>
      <c r="F357" s="31" t="s">
        <v>463</v>
      </c>
      <c r="G357" s="19">
        <v>46357</v>
      </c>
    </row>
    <row r="358" spans="1:7" x14ac:dyDescent="0.35">
      <c r="A358" s="19">
        <v>46379</v>
      </c>
      <c r="B358" s="31">
        <v>20261223</v>
      </c>
      <c r="C358" s="31">
        <v>2026</v>
      </c>
      <c r="D358" s="31" t="s">
        <v>460</v>
      </c>
      <c r="E358" s="31">
        <v>12</v>
      </c>
      <c r="F358" s="31" t="s">
        <v>463</v>
      </c>
      <c r="G358" s="19">
        <v>46357</v>
      </c>
    </row>
    <row r="359" spans="1:7" x14ac:dyDescent="0.35">
      <c r="A359" s="19">
        <v>46380</v>
      </c>
      <c r="B359" s="31">
        <v>20261224</v>
      </c>
      <c r="C359" s="31">
        <v>2026</v>
      </c>
      <c r="D359" s="31" t="s">
        <v>460</v>
      </c>
      <c r="E359" s="31">
        <v>12</v>
      </c>
      <c r="F359" s="31" t="s">
        <v>463</v>
      </c>
      <c r="G359" s="19">
        <v>46357</v>
      </c>
    </row>
    <row r="360" spans="1:7" x14ac:dyDescent="0.35">
      <c r="A360" s="19">
        <v>46381</v>
      </c>
      <c r="B360" s="31">
        <v>20261225</v>
      </c>
      <c r="C360" s="31">
        <v>2026</v>
      </c>
      <c r="D360" s="31" t="s">
        <v>460</v>
      </c>
      <c r="E360" s="31">
        <v>12</v>
      </c>
      <c r="F360" s="31" t="s">
        <v>463</v>
      </c>
      <c r="G360" s="19">
        <v>46357</v>
      </c>
    </row>
    <row r="361" spans="1:7" x14ac:dyDescent="0.35">
      <c r="A361" s="19">
        <v>46382</v>
      </c>
      <c r="B361" s="31">
        <v>20261226</v>
      </c>
      <c r="C361" s="31">
        <v>2026</v>
      </c>
      <c r="D361" s="31" t="s">
        <v>460</v>
      </c>
      <c r="E361" s="31">
        <v>12</v>
      </c>
      <c r="F361" s="31" t="s">
        <v>463</v>
      </c>
      <c r="G361" s="19">
        <v>46357</v>
      </c>
    </row>
    <row r="362" spans="1:7" x14ac:dyDescent="0.35">
      <c r="A362" s="19">
        <v>46383</v>
      </c>
      <c r="B362" s="31">
        <v>20261227</v>
      </c>
      <c r="C362" s="31">
        <v>2026</v>
      </c>
      <c r="D362" s="31" t="s">
        <v>460</v>
      </c>
      <c r="E362" s="31">
        <v>12</v>
      </c>
      <c r="F362" s="31" t="s">
        <v>463</v>
      </c>
      <c r="G362" s="19">
        <v>46357</v>
      </c>
    </row>
    <row r="363" spans="1:7" x14ac:dyDescent="0.35">
      <c r="A363" s="19">
        <v>46384</v>
      </c>
      <c r="B363" s="31">
        <v>20261228</v>
      </c>
      <c r="C363" s="31">
        <v>2026</v>
      </c>
      <c r="D363" s="31" t="s">
        <v>460</v>
      </c>
      <c r="E363" s="31">
        <v>12</v>
      </c>
      <c r="F363" s="31" t="s">
        <v>463</v>
      </c>
      <c r="G363" s="19">
        <v>46357</v>
      </c>
    </row>
    <row r="364" spans="1:7" x14ac:dyDescent="0.35">
      <c r="A364" s="19">
        <v>46385</v>
      </c>
      <c r="B364" s="31">
        <v>20261229</v>
      </c>
      <c r="C364" s="31">
        <v>2026</v>
      </c>
      <c r="D364" s="31" t="s">
        <v>460</v>
      </c>
      <c r="E364" s="31">
        <v>12</v>
      </c>
      <c r="F364" s="31" t="s">
        <v>463</v>
      </c>
      <c r="G364" s="19">
        <v>46357</v>
      </c>
    </row>
    <row r="365" spans="1:7" x14ac:dyDescent="0.35">
      <c r="A365" s="19">
        <v>46386</v>
      </c>
      <c r="B365" s="31">
        <v>20261230</v>
      </c>
      <c r="C365" s="31">
        <v>2026</v>
      </c>
      <c r="D365" s="31" t="s">
        <v>460</v>
      </c>
      <c r="E365" s="31">
        <v>12</v>
      </c>
      <c r="F365" s="31" t="s">
        <v>463</v>
      </c>
      <c r="G365" s="19">
        <v>46357</v>
      </c>
    </row>
    <row r="366" spans="1:7" x14ac:dyDescent="0.35">
      <c r="A366" s="19">
        <v>46387</v>
      </c>
      <c r="B366" s="31">
        <v>20261231</v>
      </c>
      <c r="C366" s="31">
        <v>2026</v>
      </c>
      <c r="D366" s="31" t="s">
        <v>460</v>
      </c>
      <c r="E366" s="31">
        <v>12</v>
      </c>
      <c r="F366" s="31" t="s">
        <v>463</v>
      </c>
      <c r="G366" s="19">
        <v>46357</v>
      </c>
    </row>
    <row r="367" spans="1:7" x14ac:dyDescent="0.35">
      <c r="A367" s="19">
        <v>46388</v>
      </c>
      <c r="B367" s="31">
        <v>20270101</v>
      </c>
      <c r="C367" s="31">
        <v>2027</v>
      </c>
      <c r="D367" s="31" t="s">
        <v>448</v>
      </c>
      <c r="E367" s="31">
        <v>1</v>
      </c>
      <c r="F367" s="31" t="s">
        <v>464</v>
      </c>
      <c r="G367" s="19">
        <v>46388</v>
      </c>
    </row>
    <row r="368" spans="1:7" x14ac:dyDescent="0.35">
      <c r="A368" s="19">
        <v>46389</v>
      </c>
      <c r="B368" s="31">
        <v>20270102</v>
      </c>
      <c r="C368" s="31">
        <v>2027</v>
      </c>
      <c r="D368" s="31" t="s">
        <v>448</v>
      </c>
      <c r="E368" s="31">
        <v>1</v>
      </c>
      <c r="F368" s="31" t="s">
        <v>464</v>
      </c>
      <c r="G368" s="19">
        <v>46388</v>
      </c>
    </row>
    <row r="369" spans="1:7" x14ac:dyDescent="0.35">
      <c r="A369" s="19">
        <v>46390</v>
      </c>
      <c r="B369" s="31">
        <v>20270103</v>
      </c>
      <c r="C369" s="31">
        <v>2027</v>
      </c>
      <c r="D369" s="31" t="s">
        <v>448</v>
      </c>
      <c r="E369" s="31">
        <v>1</v>
      </c>
      <c r="F369" s="31" t="s">
        <v>464</v>
      </c>
      <c r="G369" s="19">
        <v>46388</v>
      </c>
    </row>
    <row r="370" spans="1:7" x14ac:dyDescent="0.35">
      <c r="A370" s="19">
        <v>46391</v>
      </c>
      <c r="B370" s="31">
        <v>20270104</v>
      </c>
      <c r="C370" s="31">
        <v>2027</v>
      </c>
      <c r="D370" s="31" t="s">
        <v>448</v>
      </c>
      <c r="E370" s="31">
        <v>1</v>
      </c>
      <c r="F370" s="31" t="s">
        <v>464</v>
      </c>
      <c r="G370" s="19">
        <v>46388</v>
      </c>
    </row>
    <row r="371" spans="1:7" x14ac:dyDescent="0.35">
      <c r="A371" s="19">
        <v>46392</v>
      </c>
      <c r="B371" s="31">
        <v>20270105</v>
      </c>
      <c r="C371" s="31">
        <v>2027</v>
      </c>
      <c r="D371" s="31" t="s">
        <v>448</v>
      </c>
      <c r="E371" s="31">
        <v>1</v>
      </c>
      <c r="F371" s="31" t="s">
        <v>464</v>
      </c>
      <c r="G371" s="19">
        <v>46388</v>
      </c>
    </row>
    <row r="372" spans="1:7" x14ac:dyDescent="0.35">
      <c r="A372" s="19">
        <v>46393</v>
      </c>
      <c r="B372" s="31">
        <v>20270106</v>
      </c>
      <c r="C372" s="31">
        <v>2027</v>
      </c>
      <c r="D372" s="31" t="s">
        <v>448</v>
      </c>
      <c r="E372" s="31">
        <v>1</v>
      </c>
      <c r="F372" s="31" t="s">
        <v>464</v>
      </c>
      <c r="G372" s="19">
        <v>46388</v>
      </c>
    </row>
    <row r="373" spans="1:7" x14ac:dyDescent="0.35">
      <c r="A373" s="19">
        <v>46394</v>
      </c>
      <c r="B373" s="31">
        <v>20270107</v>
      </c>
      <c r="C373" s="31">
        <v>2027</v>
      </c>
      <c r="D373" s="31" t="s">
        <v>448</v>
      </c>
      <c r="E373" s="31">
        <v>1</v>
      </c>
      <c r="F373" s="31" t="s">
        <v>464</v>
      </c>
      <c r="G373" s="19">
        <v>46388</v>
      </c>
    </row>
    <row r="374" spans="1:7" x14ac:dyDescent="0.35">
      <c r="A374" s="19">
        <v>46395</v>
      </c>
      <c r="B374" s="31">
        <v>20270108</v>
      </c>
      <c r="C374" s="31">
        <v>2027</v>
      </c>
      <c r="D374" s="31" t="s">
        <v>448</v>
      </c>
      <c r="E374" s="31">
        <v>1</v>
      </c>
      <c r="F374" s="31" t="s">
        <v>464</v>
      </c>
      <c r="G374" s="19">
        <v>46388</v>
      </c>
    </row>
    <row r="375" spans="1:7" x14ac:dyDescent="0.35">
      <c r="A375" s="19">
        <v>46396</v>
      </c>
      <c r="B375" s="31">
        <v>20270109</v>
      </c>
      <c r="C375" s="31">
        <v>2027</v>
      </c>
      <c r="D375" s="31" t="s">
        <v>448</v>
      </c>
      <c r="E375" s="31">
        <v>1</v>
      </c>
      <c r="F375" s="31" t="s">
        <v>464</v>
      </c>
      <c r="G375" s="19">
        <v>46388</v>
      </c>
    </row>
    <row r="376" spans="1:7" x14ac:dyDescent="0.35">
      <c r="A376" s="19">
        <v>46397</v>
      </c>
      <c r="B376" s="31">
        <v>20270110</v>
      </c>
      <c r="C376" s="31">
        <v>2027</v>
      </c>
      <c r="D376" s="31" t="s">
        <v>448</v>
      </c>
      <c r="E376" s="31">
        <v>1</v>
      </c>
      <c r="F376" s="31" t="s">
        <v>464</v>
      </c>
      <c r="G376" s="19">
        <v>46388</v>
      </c>
    </row>
    <row r="377" spans="1:7" x14ac:dyDescent="0.35">
      <c r="A377" s="19">
        <v>46398</v>
      </c>
      <c r="B377" s="31">
        <v>20270111</v>
      </c>
      <c r="C377" s="31">
        <v>2027</v>
      </c>
      <c r="D377" s="31" t="s">
        <v>448</v>
      </c>
      <c r="E377" s="31">
        <v>1</v>
      </c>
      <c r="F377" s="31" t="s">
        <v>464</v>
      </c>
      <c r="G377" s="19">
        <v>46388</v>
      </c>
    </row>
    <row r="378" spans="1:7" x14ac:dyDescent="0.35">
      <c r="A378" s="19">
        <v>46399</v>
      </c>
      <c r="B378" s="31">
        <v>20270112</v>
      </c>
      <c r="C378" s="31">
        <v>2027</v>
      </c>
      <c r="D378" s="31" t="s">
        <v>448</v>
      </c>
      <c r="E378" s="31">
        <v>1</v>
      </c>
      <c r="F378" s="31" t="s">
        <v>464</v>
      </c>
      <c r="G378" s="19">
        <v>46388</v>
      </c>
    </row>
    <row r="379" spans="1:7" x14ac:dyDescent="0.35">
      <c r="A379" s="19">
        <v>46400</v>
      </c>
      <c r="B379" s="31">
        <v>20270113</v>
      </c>
      <c r="C379" s="31">
        <v>2027</v>
      </c>
      <c r="D379" s="31" t="s">
        <v>448</v>
      </c>
      <c r="E379" s="31">
        <v>1</v>
      </c>
      <c r="F379" s="31" t="s">
        <v>464</v>
      </c>
      <c r="G379" s="19">
        <v>46388</v>
      </c>
    </row>
    <row r="380" spans="1:7" x14ac:dyDescent="0.35">
      <c r="A380" s="19">
        <v>46401</v>
      </c>
      <c r="B380" s="31">
        <v>20270114</v>
      </c>
      <c r="C380" s="31">
        <v>2027</v>
      </c>
      <c r="D380" s="31" t="s">
        <v>448</v>
      </c>
      <c r="E380" s="31">
        <v>1</v>
      </c>
      <c r="F380" s="31" t="s">
        <v>464</v>
      </c>
      <c r="G380" s="19">
        <v>46388</v>
      </c>
    </row>
    <row r="381" spans="1:7" x14ac:dyDescent="0.35">
      <c r="A381" s="19">
        <v>46402</v>
      </c>
      <c r="B381" s="31">
        <v>20270115</v>
      </c>
      <c r="C381" s="31">
        <v>2027</v>
      </c>
      <c r="D381" s="31" t="s">
        <v>448</v>
      </c>
      <c r="E381" s="31">
        <v>1</v>
      </c>
      <c r="F381" s="31" t="s">
        <v>464</v>
      </c>
      <c r="G381" s="19">
        <v>46388</v>
      </c>
    </row>
    <row r="382" spans="1:7" x14ac:dyDescent="0.35">
      <c r="A382" s="19">
        <v>46403</v>
      </c>
      <c r="B382" s="31">
        <v>20270116</v>
      </c>
      <c r="C382" s="31">
        <v>2027</v>
      </c>
      <c r="D382" s="31" t="s">
        <v>448</v>
      </c>
      <c r="E382" s="31">
        <v>1</v>
      </c>
      <c r="F382" s="31" t="s">
        <v>464</v>
      </c>
      <c r="G382" s="19">
        <v>46388</v>
      </c>
    </row>
    <row r="383" spans="1:7" x14ac:dyDescent="0.35">
      <c r="A383" s="19">
        <v>46404</v>
      </c>
      <c r="B383" s="31">
        <v>20270117</v>
      </c>
      <c r="C383" s="31">
        <v>2027</v>
      </c>
      <c r="D383" s="31" t="s">
        <v>448</v>
      </c>
      <c r="E383" s="31">
        <v>1</v>
      </c>
      <c r="F383" s="31" t="s">
        <v>464</v>
      </c>
      <c r="G383" s="19">
        <v>46388</v>
      </c>
    </row>
    <row r="384" spans="1:7" x14ac:dyDescent="0.35">
      <c r="A384" s="19">
        <v>46405</v>
      </c>
      <c r="B384" s="31">
        <v>20270118</v>
      </c>
      <c r="C384" s="31">
        <v>2027</v>
      </c>
      <c r="D384" s="31" t="s">
        <v>448</v>
      </c>
      <c r="E384" s="31">
        <v>1</v>
      </c>
      <c r="F384" s="31" t="s">
        <v>464</v>
      </c>
      <c r="G384" s="19">
        <v>46388</v>
      </c>
    </row>
    <row r="385" spans="1:7" x14ac:dyDescent="0.35">
      <c r="A385" s="19">
        <v>46406</v>
      </c>
      <c r="B385" s="31">
        <v>20270119</v>
      </c>
      <c r="C385" s="31">
        <v>2027</v>
      </c>
      <c r="D385" s="31" t="s">
        <v>448</v>
      </c>
      <c r="E385" s="31">
        <v>1</v>
      </c>
      <c r="F385" s="31" t="s">
        <v>464</v>
      </c>
      <c r="G385" s="19">
        <v>46388</v>
      </c>
    </row>
    <row r="386" spans="1:7" x14ac:dyDescent="0.35">
      <c r="A386" s="19">
        <v>46407</v>
      </c>
      <c r="B386" s="31">
        <v>20270120</v>
      </c>
      <c r="C386" s="31">
        <v>2027</v>
      </c>
      <c r="D386" s="31" t="s">
        <v>448</v>
      </c>
      <c r="E386" s="31">
        <v>1</v>
      </c>
      <c r="F386" s="31" t="s">
        <v>464</v>
      </c>
      <c r="G386" s="19">
        <v>46388</v>
      </c>
    </row>
    <row r="387" spans="1:7" x14ac:dyDescent="0.35">
      <c r="A387" s="19">
        <v>46408</v>
      </c>
      <c r="B387" s="31">
        <v>20270121</v>
      </c>
      <c r="C387" s="31">
        <v>2027</v>
      </c>
      <c r="D387" s="31" t="s">
        <v>448</v>
      </c>
      <c r="E387" s="31">
        <v>1</v>
      </c>
      <c r="F387" s="31" t="s">
        <v>464</v>
      </c>
      <c r="G387" s="19">
        <v>46388</v>
      </c>
    </row>
    <row r="388" spans="1:7" x14ac:dyDescent="0.35">
      <c r="A388" s="19">
        <v>46409</v>
      </c>
      <c r="B388" s="31">
        <v>20270122</v>
      </c>
      <c r="C388" s="31">
        <v>2027</v>
      </c>
      <c r="D388" s="31" t="s">
        <v>448</v>
      </c>
      <c r="E388" s="31">
        <v>1</v>
      </c>
      <c r="F388" s="31" t="s">
        <v>464</v>
      </c>
      <c r="G388" s="19">
        <v>46388</v>
      </c>
    </row>
    <row r="389" spans="1:7" x14ac:dyDescent="0.35">
      <c r="A389" s="19">
        <v>46410</v>
      </c>
      <c r="B389" s="31">
        <v>20270123</v>
      </c>
      <c r="C389" s="31">
        <v>2027</v>
      </c>
      <c r="D389" s="31" t="s">
        <v>448</v>
      </c>
      <c r="E389" s="31">
        <v>1</v>
      </c>
      <c r="F389" s="31" t="s">
        <v>464</v>
      </c>
      <c r="G389" s="19">
        <v>46388</v>
      </c>
    </row>
    <row r="390" spans="1:7" x14ac:dyDescent="0.35">
      <c r="A390" s="19">
        <v>46411</v>
      </c>
      <c r="B390" s="31">
        <v>20270124</v>
      </c>
      <c r="C390" s="31">
        <v>2027</v>
      </c>
      <c r="D390" s="31" t="s">
        <v>448</v>
      </c>
      <c r="E390" s="31">
        <v>1</v>
      </c>
      <c r="F390" s="31" t="s">
        <v>464</v>
      </c>
      <c r="G390" s="19">
        <v>46388</v>
      </c>
    </row>
    <row r="391" spans="1:7" x14ac:dyDescent="0.35">
      <c r="A391" s="19">
        <v>46412</v>
      </c>
      <c r="B391" s="31">
        <v>20270125</v>
      </c>
      <c r="C391" s="31">
        <v>2027</v>
      </c>
      <c r="D391" s="31" t="s">
        <v>448</v>
      </c>
      <c r="E391" s="31">
        <v>1</v>
      </c>
      <c r="F391" s="31" t="s">
        <v>464</v>
      </c>
      <c r="G391" s="19">
        <v>46388</v>
      </c>
    </row>
    <row r="392" spans="1:7" x14ac:dyDescent="0.35">
      <c r="A392" s="19">
        <v>46413</v>
      </c>
      <c r="B392" s="31">
        <v>20270126</v>
      </c>
      <c r="C392" s="31">
        <v>2027</v>
      </c>
      <c r="D392" s="31" t="s">
        <v>448</v>
      </c>
      <c r="E392" s="31">
        <v>1</v>
      </c>
      <c r="F392" s="31" t="s">
        <v>464</v>
      </c>
      <c r="G392" s="19">
        <v>46388</v>
      </c>
    </row>
    <row r="393" spans="1:7" x14ac:dyDescent="0.35">
      <c r="A393" s="19">
        <v>46414</v>
      </c>
      <c r="B393" s="31">
        <v>20270127</v>
      </c>
      <c r="C393" s="31">
        <v>2027</v>
      </c>
      <c r="D393" s="31" t="s">
        <v>448</v>
      </c>
      <c r="E393" s="31">
        <v>1</v>
      </c>
      <c r="F393" s="31" t="s">
        <v>464</v>
      </c>
      <c r="G393" s="19">
        <v>46388</v>
      </c>
    </row>
    <row r="394" spans="1:7" x14ac:dyDescent="0.35">
      <c r="A394" s="19">
        <v>46415</v>
      </c>
      <c r="B394" s="31">
        <v>20270128</v>
      </c>
      <c r="C394" s="31">
        <v>2027</v>
      </c>
      <c r="D394" s="31" t="s">
        <v>448</v>
      </c>
      <c r="E394" s="31">
        <v>1</v>
      </c>
      <c r="F394" s="31" t="s">
        <v>464</v>
      </c>
      <c r="G394" s="19">
        <v>46388</v>
      </c>
    </row>
    <row r="395" spans="1:7" x14ac:dyDescent="0.35">
      <c r="A395" s="19">
        <v>46416</v>
      </c>
      <c r="B395" s="31">
        <v>20270129</v>
      </c>
      <c r="C395" s="31">
        <v>2027</v>
      </c>
      <c r="D395" s="31" t="s">
        <v>448</v>
      </c>
      <c r="E395" s="31">
        <v>1</v>
      </c>
      <c r="F395" s="31" t="s">
        <v>464</v>
      </c>
      <c r="G395" s="19">
        <v>46388</v>
      </c>
    </row>
    <row r="396" spans="1:7" x14ac:dyDescent="0.35">
      <c r="A396" s="19">
        <v>46417</v>
      </c>
      <c r="B396" s="31">
        <v>20270130</v>
      </c>
      <c r="C396" s="31">
        <v>2027</v>
      </c>
      <c r="D396" s="31" t="s">
        <v>448</v>
      </c>
      <c r="E396" s="31">
        <v>1</v>
      </c>
      <c r="F396" s="31" t="s">
        <v>464</v>
      </c>
      <c r="G396" s="19">
        <v>46388</v>
      </c>
    </row>
    <row r="397" spans="1:7" x14ac:dyDescent="0.35">
      <c r="A397" s="19">
        <v>46418</v>
      </c>
      <c r="B397" s="31">
        <v>20270131</v>
      </c>
      <c r="C397" s="31">
        <v>2027</v>
      </c>
      <c r="D397" s="31" t="s">
        <v>448</v>
      </c>
      <c r="E397" s="31">
        <v>1</v>
      </c>
      <c r="F397" s="31" t="s">
        <v>464</v>
      </c>
      <c r="G397" s="19">
        <v>46388</v>
      </c>
    </row>
    <row r="398" spans="1:7" x14ac:dyDescent="0.35">
      <c r="A398" s="19">
        <v>46419</v>
      </c>
      <c r="B398" s="31">
        <v>20270201</v>
      </c>
      <c r="C398" s="31">
        <v>2027</v>
      </c>
      <c r="D398" s="31" t="s">
        <v>448</v>
      </c>
      <c r="E398" s="31">
        <v>2</v>
      </c>
      <c r="F398" s="31" t="s">
        <v>465</v>
      </c>
      <c r="G398" s="19">
        <v>46419</v>
      </c>
    </row>
    <row r="399" spans="1:7" x14ac:dyDescent="0.35">
      <c r="A399" s="19">
        <v>46420</v>
      </c>
      <c r="B399" s="31">
        <v>20270202</v>
      </c>
      <c r="C399" s="31">
        <v>2027</v>
      </c>
      <c r="D399" s="31" t="s">
        <v>448</v>
      </c>
      <c r="E399" s="31">
        <v>2</v>
      </c>
      <c r="F399" s="31" t="s">
        <v>465</v>
      </c>
      <c r="G399" s="19">
        <v>46419</v>
      </c>
    </row>
    <row r="400" spans="1:7" x14ac:dyDescent="0.35">
      <c r="A400" s="19">
        <v>46421</v>
      </c>
      <c r="B400" s="31">
        <v>20270203</v>
      </c>
      <c r="C400" s="31">
        <v>2027</v>
      </c>
      <c r="D400" s="31" t="s">
        <v>448</v>
      </c>
      <c r="E400" s="31">
        <v>2</v>
      </c>
      <c r="F400" s="31" t="s">
        <v>465</v>
      </c>
      <c r="G400" s="19">
        <v>46419</v>
      </c>
    </row>
    <row r="401" spans="1:7" x14ac:dyDescent="0.35">
      <c r="A401" s="19">
        <v>46422</v>
      </c>
      <c r="B401" s="31">
        <v>20270204</v>
      </c>
      <c r="C401" s="31">
        <v>2027</v>
      </c>
      <c r="D401" s="31" t="s">
        <v>448</v>
      </c>
      <c r="E401" s="31">
        <v>2</v>
      </c>
      <c r="F401" s="31" t="s">
        <v>465</v>
      </c>
      <c r="G401" s="19">
        <v>46419</v>
      </c>
    </row>
    <row r="402" spans="1:7" x14ac:dyDescent="0.35">
      <c r="A402" s="19">
        <v>46423</v>
      </c>
      <c r="B402" s="31">
        <v>20270205</v>
      </c>
      <c r="C402" s="31">
        <v>2027</v>
      </c>
      <c r="D402" s="31" t="s">
        <v>448</v>
      </c>
      <c r="E402" s="31">
        <v>2</v>
      </c>
      <c r="F402" s="31" t="s">
        <v>465</v>
      </c>
      <c r="G402" s="19">
        <v>46419</v>
      </c>
    </row>
    <row r="403" spans="1:7" x14ac:dyDescent="0.35">
      <c r="A403" s="19">
        <v>46424</v>
      </c>
      <c r="B403" s="31">
        <v>20270206</v>
      </c>
      <c r="C403" s="31">
        <v>2027</v>
      </c>
      <c r="D403" s="31" t="s">
        <v>448</v>
      </c>
      <c r="E403" s="31">
        <v>2</v>
      </c>
      <c r="F403" s="31" t="s">
        <v>465</v>
      </c>
      <c r="G403" s="19">
        <v>46419</v>
      </c>
    </row>
    <row r="404" spans="1:7" x14ac:dyDescent="0.35">
      <c r="A404" s="19">
        <v>46425</v>
      </c>
      <c r="B404" s="31">
        <v>20270207</v>
      </c>
      <c r="C404" s="31">
        <v>2027</v>
      </c>
      <c r="D404" s="31" t="s">
        <v>448</v>
      </c>
      <c r="E404" s="31">
        <v>2</v>
      </c>
      <c r="F404" s="31" t="s">
        <v>465</v>
      </c>
      <c r="G404" s="19">
        <v>46419</v>
      </c>
    </row>
    <row r="405" spans="1:7" x14ac:dyDescent="0.35">
      <c r="A405" s="19">
        <v>46426</v>
      </c>
      <c r="B405" s="31">
        <v>20270208</v>
      </c>
      <c r="C405" s="31">
        <v>2027</v>
      </c>
      <c r="D405" s="31" t="s">
        <v>448</v>
      </c>
      <c r="E405" s="31">
        <v>2</v>
      </c>
      <c r="F405" s="31" t="s">
        <v>465</v>
      </c>
      <c r="G405" s="19">
        <v>46419</v>
      </c>
    </row>
    <row r="406" spans="1:7" x14ac:dyDescent="0.35">
      <c r="A406" s="19">
        <v>46427</v>
      </c>
      <c r="B406" s="31">
        <v>20270209</v>
      </c>
      <c r="C406" s="31">
        <v>2027</v>
      </c>
      <c r="D406" s="31" t="s">
        <v>448</v>
      </c>
      <c r="E406" s="31">
        <v>2</v>
      </c>
      <c r="F406" s="31" t="s">
        <v>465</v>
      </c>
      <c r="G406" s="19">
        <v>46419</v>
      </c>
    </row>
    <row r="407" spans="1:7" x14ac:dyDescent="0.35">
      <c r="A407" s="19">
        <v>46428</v>
      </c>
      <c r="B407" s="31">
        <v>20270210</v>
      </c>
      <c r="C407" s="31">
        <v>2027</v>
      </c>
      <c r="D407" s="31" t="s">
        <v>448</v>
      </c>
      <c r="E407" s="31">
        <v>2</v>
      </c>
      <c r="F407" s="31" t="s">
        <v>465</v>
      </c>
      <c r="G407" s="19">
        <v>46419</v>
      </c>
    </row>
    <row r="408" spans="1:7" x14ac:dyDescent="0.35">
      <c r="A408" s="19">
        <v>46429</v>
      </c>
      <c r="B408" s="31">
        <v>20270211</v>
      </c>
      <c r="C408" s="31">
        <v>2027</v>
      </c>
      <c r="D408" s="31" t="s">
        <v>448</v>
      </c>
      <c r="E408" s="31">
        <v>2</v>
      </c>
      <c r="F408" s="31" t="s">
        <v>465</v>
      </c>
      <c r="G408" s="19">
        <v>46419</v>
      </c>
    </row>
    <row r="409" spans="1:7" x14ac:dyDescent="0.35">
      <c r="A409" s="19">
        <v>46430</v>
      </c>
      <c r="B409" s="31">
        <v>20270212</v>
      </c>
      <c r="C409" s="31">
        <v>2027</v>
      </c>
      <c r="D409" s="31" t="s">
        <v>448</v>
      </c>
      <c r="E409" s="31">
        <v>2</v>
      </c>
      <c r="F409" s="31" t="s">
        <v>465</v>
      </c>
      <c r="G409" s="19">
        <v>46419</v>
      </c>
    </row>
    <row r="410" spans="1:7" x14ac:dyDescent="0.35">
      <c r="A410" s="19">
        <v>46431</v>
      </c>
      <c r="B410" s="31">
        <v>20270213</v>
      </c>
      <c r="C410" s="31">
        <v>2027</v>
      </c>
      <c r="D410" s="31" t="s">
        <v>448</v>
      </c>
      <c r="E410" s="31">
        <v>2</v>
      </c>
      <c r="F410" s="31" t="s">
        <v>465</v>
      </c>
      <c r="G410" s="19">
        <v>46419</v>
      </c>
    </row>
    <row r="411" spans="1:7" x14ac:dyDescent="0.35">
      <c r="A411" s="19">
        <v>46432</v>
      </c>
      <c r="B411" s="31">
        <v>20270214</v>
      </c>
      <c r="C411" s="31">
        <v>2027</v>
      </c>
      <c r="D411" s="31" t="s">
        <v>448</v>
      </c>
      <c r="E411" s="31">
        <v>2</v>
      </c>
      <c r="F411" s="31" t="s">
        <v>465</v>
      </c>
      <c r="G411" s="19">
        <v>46419</v>
      </c>
    </row>
    <row r="412" spans="1:7" x14ac:dyDescent="0.35">
      <c r="A412" s="19">
        <v>46433</v>
      </c>
      <c r="B412" s="31">
        <v>20270215</v>
      </c>
      <c r="C412" s="31">
        <v>2027</v>
      </c>
      <c r="D412" s="31" t="s">
        <v>448</v>
      </c>
      <c r="E412" s="31">
        <v>2</v>
      </c>
      <c r="F412" s="31" t="s">
        <v>465</v>
      </c>
      <c r="G412" s="19">
        <v>46419</v>
      </c>
    </row>
    <row r="413" spans="1:7" x14ac:dyDescent="0.35">
      <c r="A413" s="19">
        <v>46434</v>
      </c>
      <c r="B413" s="31">
        <v>20270216</v>
      </c>
      <c r="C413" s="31">
        <v>2027</v>
      </c>
      <c r="D413" s="31" t="s">
        <v>448</v>
      </c>
      <c r="E413" s="31">
        <v>2</v>
      </c>
      <c r="F413" s="31" t="s">
        <v>465</v>
      </c>
      <c r="G413" s="19">
        <v>46419</v>
      </c>
    </row>
    <row r="414" spans="1:7" x14ac:dyDescent="0.35">
      <c r="A414" s="19">
        <v>46435</v>
      </c>
      <c r="B414" s="31">
        <v>20270217</v>
      </c>
      <c r="C414" s="31">
        <v>2027</v>
      </c>
      <c r="D414" s="31" t="s">
        <v>448</v>
      </c>
      <c r="E414" s="31">
        <v>2</v>
      </c>
      <c r="F414" s="31" t="s">
        <v>465</v>
      </c>
      <c r="G414" s="19">
        <v>46419</v>
      </c>
    </row>
    <row r="415" spans="1:7" x14ac:dyDescent="0.35">
      <c r="A415" s="19">
        <v>46436</v>
      </c>
      <c r="B415" s="31">
        <v>20270218</v>
      </c>
      <c r="C415" s="31">
        <v>2027</v>
      </c>
      <c r="D415" s="31" t="s">
        <v>448</v>
      </c>
      <c r="E415" s="31">
        <v>2</v>
      </c>
      <c r="F415" s="31" t="s">
        <v>465</v>
      </c>
      <c r="G415" s="19">
        <v>46419</v>
      </c>
    </row>
    <row r="416" spans="1:7" x14ac:dyDescent="0.35">
      <c r="A416" s="19">
        <v>46437</v>
      </c>
      <c r="B416" s="31">
        <v>20270219</v>
      </c>
      <c r="C416" s="31">
        <v>2027</v>
      </c>
      <c r="D416" s="31" t="s">
        <v>448</v>
      </c>
      <c r="E416" s="31">
        <v>2</v>
      </c>
      <c r="F416" s="31" t="s">
        <v>465</v>
      </c>
      <c r="G416" s="19">
        <v>46419</v>
      </c>
    </row>
    <row r="417" spans="1:7" x14ac:dyDescent="0.35">
      <c r="A417" s="19">
        <v>46438</v>
      </c>
      <c r="B417" s="31">
        <v>20270220</v>
      </c>
      <c r="C417" s="31">
        <v>2027</v>
      </c>
      <c r="D417" s="31" t="s">
        <v>448</v>
      </c>
      <c r="E417" s="31">
        <v>2</v>
      </c>
      <c r="F417" s="31" t="s">
        <v>465</v>
      </c>
      <c r="G417" s="19">
        <v>46419</v>
      </c>
    </row>
    <row r="418" spans="1:7" x14ac:dyDescent="0.35">
      <c r="A418" s="19">
        <v>46439</v>
      </c>
      <c r="B418" s="31">
        <v>20270221</v>
      </c>
      <c r="C418" s="31">
        <v>2027</v>
      </c>
      <c r="D418" s="31" t="s">
        <v>448</v>
      </c>
      <c r="E418" s="31">
        <v>2</v>
      </c>
      <c r="F418" s="31" t="s">
        <v>465</v>
      </c>
      <c r="G418" s="19">
        <v>46419</v>
      </c>
    </row>
    <row r="419" spans="1:7" x14ac:dyDescent="0.35">
      <c r="A419" s="19">
        <v>46440</v>
      </c>
      <c r="B419" s="31">
        <v>20270222</v>
      </c>
      <c r="C419" s="31">
        <v>2027</v>
      </c>
      <c r="D419" s="31" t="s">
        <v>448</v>
      </c>
      <c r="E419" s="31">
        <v>2</v>
      </c>
      <c r="F419" s="31" t="s">
        <v>465</v>
      </c>
      <c r="G419" s="19">
        <v>46419</v>
      </c>
    </row>
    <row r="420" spans="1:7" x14ac:dyDescent="0.35">
      <c r="A420" s="19">
        <v>46441</v>
      </c>
      <c r="B420" s="31">
        <v>20270223</v>
      </c>
      <c r="C420" s="31">
        <v>2027</v>
      </c>
      <c r="D420" s="31" t="s">
        <v>448</v>
      </c>
      <c r="E420" s="31">
        <v>2</v>
      </c>
      <c r="F420" s="31" t="s">
        <v>465</v>
      </c>
      <c r="G420" s="19">
        <v>46419</v>
      </c>
    </row>
    <row r="421" spans="1:7" x14ac:dyDescent="0.35">
      <c r="A421" s="19">
        <v>46442</v>
      </c>
      <c r="B421" s="31">
        <v>20270224</v>
      </c>
      <c r="C421" s="31">
        <v>2027</v>
      </c>
      <c r="D421" s="31" t="s">
        <v>448</v>
      </c>
      <c r="E421" s="31">
        <v>2</v>
      </c>
      <c r="F421" s="31" t="s">
        <v>465</v>
      </c>
      <c r="G421" s="19">
        <v>46419</v>
      </c>
    </row>
    <row r="422" spans="1:7" x14ac:dyDescent="0.35">
      <c r="A422" s="19">
        <v>46443</v>
      </c>
      <c r="B422" s="31">
        <v>20270225</v>
      </c>
      <c r="C422" s="31">
        <v>2027</v>
      </c>
      <c r="D422" s="31" t="s">
        <v>448</v>
      </c>
      <c r="E422" s="31">
        <v>2</v>
      </c>
      <c r="F422" s="31" t="s">
        <v>465</v>
      </c>
      <c r="G422" s="19">
        <v>46419</v>
      </c>
    </row>
    <row r="423" spans="1:7" x14ac:dyDescent="0.35">
      <c r="A423" s="19">
        <v>46444</v>
      </c>
      <c r="B423" s="31">
        <v>20270226</v>
      </c>
      <c r="C423" s="31">
        <v>2027</v>
      </c>
      <c r="D423" s="31" t="s">
        <v>448</v>
      </c>
      <c r="E423" s="31">
        <v>2</v>
      </c>
      <c r="F423" s="31" t="s">
        <v>465</v>
      </c>
      <c r="G423" s="19">
        <v>46419</v>
      </c>
    </row>
    <row r="424" spans="1:7" x14ac:dyDescent="0.35">
      <c r="A424" s="19">
        <v>46445</v>
      </c>
      <c r="B424" s="31">
        <v>20270227</v>
      </c>
      <c r="C424" s="31">
        <v>2027</v>
      </c>
      <c r="D424" s="31" t="s">
        <v>448</v>
      </c>
      <c r="E424" s="31">
        <v>2</v>
      </c>
      <c r="F424" s="31" t="s">
        <v>465</v>
      </c>
      <c r="G424" s="19">
        <v>46419</v>
      </c>
    </row>
    <row r="425" spans="1:7" x14ac:dyDescent="0.35">
      <c r="A425" s="19">
        <v>46446</v>
      </c>
      <c r="B425" s="31">
        <v>20270228</v>
      </c>
      <c r="C425" s="31">
        <v>2027</v>
      </c>
      <c r="D425" s="31" t="s">
        <v>448</v>
      </c>
      <c r="E425" s="31">
        <v>2</v>
      </c>
      <c r="F425" s="31" t="s">
        <v>465</v>
      </c>
      <c r="G425" s="19">
        <v>46419</v>
      </c>
    </row>
    <row r="426" spans="1:7" x14ac:dyDescent="0.35">
      <c r="A426" s="19">
        <v>46447</v>
      </c>
      <c r="B426" s="31">
        <v>20270301</v>
      </c>
      <c r="C426" s="31">
        <v>2027</v>
      </c>
      <c r="D426" s="31" t="s">
        <v>448</v>
      </c>
      <c r="E426" s="31">
        <v>3</v>
      </c>
      <c r="F426" s="31" t="s">
        <v>466</v>
      </c>
      <c r="G426" s="19">
        <v>46447</v>
      </c>
    </row>
    <row r="427" spans="1:7" x14ac:dyDescent="0.35">
      <c r="A427" s="19">
        <v>46448</v>
      </c>
      <c r="B427" s="31">
        <v>20270302</v>
      </c>
      <c r="C427" s="31">
        <v>2027</v>
      </c>
      <c r="D427" s="31" t="s">
        <v>448</v>
      </c>
      <c r="E427" s="31">
        <v>3</v>
      </c>
      <c r="F427" s="31" t="s">
        <v>466</v>
      </c>
      <c r="G427" s="19">
        <v>46447</v>
      </c>
    </row>
    <row r="428" spans="1:7" x14ac:dyDescent="0.35">
      <c r="A428" s="19">
        <v>46449</v>
      </c>
      <c r="B428" s="31">
        <v>20270303</v>
      </c>
      <c r="C428" s="31">
        <v>2027</v>
      </c>
      <c r="D428" s="31" t="s">
        <v>448</v>
      </c>
      <c r="E428" s="31">
        <v>3</v>
      </c>
      <c r="F428" s="31" t="s">
        <v>466</v>
      </c>
      <c r="G428" s="19">
        <v>46447</v>
      </c>
    </row>
    <row r="429" spans="1:7" x14ac:dyDescent="0.35">
      <c r="A429" s="19">
        <v>46450</v>
      </c>
      <c r="B429" s="31">
        <v>20270304</v>
      </c>
      <c r="C429" s="31">
        <v>2027</v>
      </c>
      <c r="D429" s="31" t="s">
        <v>448</v>
      </c>
      <c r="E429" s="31">
        <v>3</v>
      </c>
      <c r="F429" s="31" t="s">
        <v>466</v>
      </c>
      <c r="G429" s="19">
        <v>46447</v>
      </c>
    </row>
    <row r="430" spans="1:7" x14ac:dyDescent="0.35">
      <c r="A430" s="19">
        <v>46451</v>
      </c>
      <c r="B430" s="31">
        <v>20270305</v>
      </c>
      <c r="C430" s="31">
        <v>2027</v>
      </c>
      <c r="D430" s="31" t="s">
        <v>448</v>
      </c>
      <c r="E430" s="31">
        <v>3</v>
      </c>
      <c r="F430" s="31" t="s">
        <v>466</v>
      </c>
      <c r="G430" s="19">
        <v>46447</v>
      </c>
    </row>
    <row r="431" spans="1:7" x14ac:dyDescent="0.35">
      <c r="A431" s="19">
        <v>46452</v>
      </c>
      <c r="B431" s="31">
        <v>20270306</v>
      </c>
      <c r="C431" s="31">
        <v>2027</v>
      </c>
      <c r="D431" s="31" t="s">
        <v>448</v>
      </c>
      <c r="E431" s="31">
        <v>3</v>
      </c>
      <c r="F431" s="31" t="s">
        <v>466</v>
      </c>
      <c r="G431" s="19">
        <v>46447</v>
      </c>
    </row>
    <row r="432" spans="1:7" x14ac:dyDescent="0.35">
      <c r="A432" s="19">
        <v>46453</v>
      </c>
      <c r="B432" s="31">
        <v>20270307</v>
      </c>
      <c r="C432" s="31">
        <v>2027</v>
      </c>
      <c r="D432" s="31" t="s">
        <v>448</v>
      </c>
      <c r="E432" s="31">
        <v>3</v>
      </c>
      <c r="F432" s="31" t="s">
        <v>466</v>
      </c>
      <c r="G432" s="19">
        <v>46447</v>
      </c>
    </row>
    <row r="433" spans="1:7" x14ac:dyDescent="0.35">
      <c r="A433" s="19">
        <v>46454</v>
      </c>
      <c r="B433" s="31">
        <v>20270308</v>
      </c>
      <c r="C433" s="31">
        <v>2027</v>
      </c>
      <c r="D433" s="31" t="s">
        <v>448</v>
      </c>
      <c r="E433" s="31">
        <v>3</v>
      </c>
      <c r="F433" s="31" t="s">
        <v>466</v>
      </c>
      <c r="G433" s="19">
        <v>46447</v>
      </c>
    </row>
    <row r="434" spans="1:7" x14ac:dyDescent="0.35">
      <c r="A434" s="19">
        <v>46455</v>
      </c>
      <c r="B434" s="31">
        <v>20270309</v>
      </c>
      <c r="C434" s="31">
        <v>2027</v>
      </c>
      <c r="D434" s="31" t="s">
        <v>448</v>
      </c>
      <c r="E434" s="31">
        <v>3</v>
      </c>
      <c r="F434" s="31" t="s">
        <v>466</v>
      </c>
      <c r="G434" s="19">
        <v>46447</v>
      </c>
    </row>
    <row r="435" spans="1:7" x14ac:dyDescent="0.35">
      <c r="A435" s="19">
        <v>46456</v>
      </c>
      <c r="B435" s="31">
        <v>20270310</v>
      </c>
      <c r="C435" s="31">
        <v>2027</v>
      </c>
      <c r="D435" s="31" t="s">
        <v>448</v>
      </c>
      <c r="E435" s="31">
        <v>3</v>
      </c>
      <c r="F435" s="31" t="s">
        <v>466</v>
      </c>
      <c r="G435" s="19">
        <v>46447</v>
      </c>
    </row>
    <row r="436" spans="1:7" x14ac:dyDescent="0.35">
      <c r="A436" s="19">
        <v>46457</v>
      </c>
      <c r="B436" s="31">
        <v>20270311</v>
      </c>
      <c r="C436" s="31">
        <v>2027</v>
      </c>
      <c r="D436" s="31" t="s">
        <v>448</v>
      </c>
      <c r="E436" s="31">
        <v>3</v>
      </c>
      <c r="F436" s="31" t="s">
        <v>466</v>
      </c>
      <c r="G436" s="19">
        <v>46447</v>
      </c>
    </row>
    <row r="437" spans="1:7" x14ac:dyDescent="0.35">
      <c r="A437" s="19">
        <v>46458</v>
      </c>
      <c r="B437" s="31">
        <v>20270312</v>
      </c>
      <c r="C437" s="31">
        <v>2027</v>
      </c>
      <c r="D437" s="31" t="s">
        <v>448</v>
      </c>
      <c r="E437" s="31">
        <v>3</v>
      </c>
      <c r="F437" s="31" t="s">
        <v>466</v>
      </c>
      <c r="G437" s="19">
        <v>46447</v>
      </c>
    </row>
    <row r="438" spans="1:7" x14ac:dyDescent="0.35">
      <c r="A438" s="19">
        <v>46459</v>
      </c>
      <c r="B438" s="31">
        <v>20270313</v>
      </c>
      <c r="C438" s="31">
        <v>2027</v>
      </c>
      <c r="D438" s="31" t="s">
        <v>448</v>
      </c>
      <c r="E438" s="31">
        <v>3</v>
      </c>
      <c r="F438" s="31" t="s">
        <v>466</v>
      </c>
      <c r="G438" s="19">
        <v>46447</v>
      </c>
    </row>
    <row r="439" spans="1:7" x14ac:dyDescent="0.35">
      <c r="A439" s="19">
        <v>46460</v>
      </c>
      <c r="B439" s="31">
        <v>20270314</v>
      </c>
      <c r="C439" s="31">
        <v>2027</v>
      </c>
      <c r="D439" s="31" t="s">
        <v>448</v>
      </c>
      <c r="E439" s="31">
        <v>3</v>
      </c>
      <c r="F439" s="31" t="s">
        <v>466</v>
      </c>
      <c r="G439" s="19">
        <v>46447</v>
      </c>
    </row>
    <row r="440" spans="1:7" x14ac:dyDescent="0.35">
      <c r="A440" s="19">
        <v>46461</v>
      </c>
      <c r="B440" s="31">
        <v>20270315</v>
      </c>
      <c r="C440" s="31">
        <v>2027</v>
      </c>
      <c r="D440" s="31" t="s">
        <v>448</v>
      </c>
      <c r="E440" s="31">
        <v>3</v>
      </c>
      <c r="F440" s="31" t="s">
        <v>466</v>
      </c>
      <c r="G440" s="19">
        <v>46447</v>
      </c>
    </row>
    <row r="441" spans="1:7" x14ac:dyDescent="0.35">
      <c r="A441" s="19">
        <v>46462</v>
      </c>
      <c r="B441" s="31">
        <v>20270316</v>
      </c>
      <c r="C441" s="31">
        <v>2027</v>
      </c>
      <c r="D441" s="31" t="s">
        <v>448</v>
      </c>
      <c r="E441" s="31">
        <v>3</v>
      </c>
      <c r="F441" s="31" t="s">
        <v>466</v>
      </c>
      <c r="G441" s="19">
        <v>46447</v>
      </c>
    </row>
    <row r="442" spans="1:7" x14ac:dyDescent="0.35">
      <c r="A442" s="19">
        <v>46463</v>
      </c>
      <c r="B442" s="31">
        <v>20270317</v>
      </c>
      <c r="C442" s="31">
        <v>2027</v>
      </c>
      <c r="D442" s="31" t="s">
        <v>448</v>
      </c>
      <c r="E442" s="31">
        <v>3</v>
      </c>
      <c r="F442" s="31" t="s">
        <v>466</v>
      </c>
      <c r="G442" s="19">
        <v>46447</v>
      </c>
    </row>
    <row r="443" spans="1:7" x14ac:dyDescent="0.35">
      <c r="A443" s="19">
        <v>46464</v>
      </c>
      <c r="B443" s="31">
        <v>20270318</v>
      </c>
      <c r="C443" s="31">
        <v>2027</v>
      </c>
      <c r="D443" s="31" t="s">
        <v>448</v>
      </c>
      <c r="E443" s="31">
        <v>3</v>
      </c>
      <c r="F443" s="31" t="s">
        <v>466</v>
      </c>
      <c r="G443" s="19">
        <v>46447</v>
      </c>
    </row>
    <row r="444" spans="1:7" x14ac:dyDescent="0.35">
      <c r="A444" s="19">
        <v>46465</v>
      </c>
      <c r="B444" s="31">
        <v>20270319</v>
      </c>
      <c r="C444" s="31">
        <v>2027</v>
      </c>
      <c r="D444" s="31" t="s">
        <v>448</v>
      </c>
      <c r="E444" s="31">
        <v>3</v>
      </c>
      <c r="F444" s="31" t="s">
        <v>466</v>
      </c>
      <c r="G444" s="19">
        <v>46447</v>
      </c>
    </row>
    <row r="445" spans="1:7" x14ac:dyDescent="0.35">
      <c r="A445" s="19">
        <v>46466</v>
      </c>
      <c r="B445" s="31">
        <v>20270320</v>
      </c>
      <c r="C445" s="31">
        <v>2027</v>
      </c>
      <c r="D445" s="31" t="s">
        <v>448</v>
      </c>
      <c r="E445" s="31">
        <v>3</v>
      </c>
      <c r="F445" s="31" t="s">
        <v>466</v>
      </c>
      <c r="G445" s="19">
        <v>46447</v>
      </c>
    </row>
    <row r="446" spans="1:7" x14ac:dyDescent="0.35">
      <c r="A446" s="19">
        <v>46467</v>
      </c>
      <c r="B446" s="31">
        <v>20270321</v>
      </c>
      <c r="C446" s="31">
        <v>2027</v>
      </c>
      <c r="D446" s="31" t="s">
        <v>448</v>
      </c>
      <c r="E446" s="31">
        <v>3</v>
      </c>
      <c r="F446" s="31" t="s">
        <v>466</v>
      </c>
      <c r="G446" s="19">
        <v>46447</v>
      </c>
    </row>
    <row r="447" spans="1:7" x14ac:dyDescent="0.35">
      <c r="A447" s="19">
        <v>46468</v>
      </c>
      <c r="B447" s="31">
        <v>20270322</v>
      </c>
      <c r="C447" s="31">
        <v>2027</v>
      </c>
      <c r="D447" s="31" t="s">
        <v>448</v>
      </c>
      <c r="E447" s="31">
        <v>3</v>
      </c>
      <c r="F447" s="31" t="s">
        <v>466</v>
      </c>
      <c r="G447" s="19">
        <v>46447</v>
      </c>
    </row>
    <row r="448" spans="1:7" x14ac:dyDescent="0.35">
      <c r="A448" s="19">
        <v>46469</v>
      </c>
      <c r="B448" s="31">
        <v>20270323</v>
      </c>
      <c r="C448" s="31">
        <v>2027</v>
      </c>
      <c r="D448" s="31" t="s">
        <v>448</v>
      </c>
      <c r="E448" s="31">
        <v>3</v>
      </c>
      <c r="F448" s="31" t="s">
        <v>466</v>
      </c>
      <c r="G448" s="19">
        <v>46447</v>
      </c>
    </row>
    <row r="449" spans="1:7" x14ac:dyDescent="0.35">
      <c r="A449" s="19">
        <v>46470</v>
      </c>
      <c r="B449" s="31">
        <v>20270324</v>
      </c>
      <c r="C449" s="31">
        <v>2027</v>
      </c>
      <c r="D449" s="31" t="s">
        <v>448</v>
      </c>
      <c r="E449" s="31">
        <v>3</v>
      </c>
      <c r="F449" s="31" t="s">
        <v>466</v>
      </c>
      <c r="G449" s="19">
        <v>46447</v>
      </c>
    </row>
    <row r="450" spans="1:7" x14ac:dyDescent="0.35">
      <c r="A450" s="19">
        <v>46471</v>
      </c>
      <c r="B450" s="31">
        <v>20270325</v>
      </c>
      <c r="C450" s="31">
        <v>2027</v>
      </c>
      <c r="D450" s="31" t="s">
        <v>448</v>
      </c>
      <c r="E450" s="31">
        <v>3</v>
      </c>
      <c r="F450" s="31" t="s">
        <v>466</v>
      </c>
      <c r="G450" s="19">
        <v>46447</v>
      </c>
    </row>
    <row r="451" spans="1:7" x14ac:dyDescent="0.35">
      <c r="A451" s="19">
        <v>46472</v>
      </c>
      <c r="B451" s="31">
        <v>20270326</v>
      </c>
      <c r="C451" s="31">
        <v>2027</v>
      </c>
      <c r="D451" s="31" t="s">
        <v>448</v>
      </c>
      <c r="E451" s="31">
        <v>3</v>
      </c>
      <c r="F451" s="31" t="s">
        <v>466</v>
      </c>
      <c r="G451" s="19">
        <v>46447</v>
      </c>
    </row>
    <row r="452" spans="1:7" x14ac:dyDescent="0.35">
      <c r="A452" s="19">
        <v>46473</v>
      </c>
      <c r="B452" s="31">
        <v>20270327</v>
      </c>
      <c r="C452" s="31">
        <v>2027</v>
      </c>
      <c r="D452" s="31" t="s">
        <v>448</v>
      </c>
      <c r="E452" s="31">
        <v>3</v>
      </c>
      <c r="F452" s="31" t="s">
        <v>466</v>
      </c>
      <c r="G452" s="19">
        <v>46447</v>
      </c>
    </row>
    <row r="453" spans="1:7" x14ac:dyDescent="0.35">
      <c r="A453" s="19">
        <v>46474</v>
      </c>
      <c r="B453" s="31">
        <v>20270328</v>
      </c>
      <c r="C453" s="31">
        <v>2027</v>
      </c>
      <c r="D453" s="31" t="s">
        <v>448</v>
      </c>
      <c r="E453" s="31">
        <v>3</v>
      </c>
      <c r="F453" s="31" t="s">
        <v>466</v>
      </c>
      <c r="G453" s="19">
        <v>46447</v>
      </c>
    </row>
    <row r="454" spans="1:7" x14ac:dyDescent="0.35">
      <c r="A454" s="19">
        <v>46475</v>
      </c>
      <c r="B454" s="31">
        <v>20270329</v>
      </c>
      <c r="C454" s="31">
        <v>2027</v>
      </c>
      <c r="D454" s="31" t="s">
        <v>448</v>
      </c>
      <c r="E454" s="31">
        <v>3</v>
      </c>
      <c r="F454" s="31" t="s">
        <v>466</v>
      </c>
      <c r="G454" s="19">
        <v>46447</v>
      </c>
    </row>
    <row r="455" spans="1:7" x14ac:dyDescent="0.35">
      <c r="A455" s="19">
        <v>46476</v>
      </c>
      <c r="B455" s="31">
        <v>20270330</v>
      </c>
      <c r="C455" s="31">
        <v>2027</v>
      </c>
      <c r="D455" s="31" t="s">
        <v>448</v>
      </c>
      <c r="E455" s="31">
        <v>3</v>
      </c>
      <c r="F455" s="31" t="s">
        <v>466</v>
      </c>
      <c r="G455" s="19">
        <v>46447</v>
      </c>
    </row>
    <row r="456" spans="1:7" x14ac:dyDescent="0.35">
      <c r="A456" s="19">
        <v>46477</v>
      </c>
      <c r="B456" s="31">
        <v>20270331</v>
      </c>
      <c r="C456" s="31">
        <v>2027</v>
      </c>
      <c r="D456" s="31" t="s">
        <v>448</v>
      </c>
      <c r="E456" s="31">
        <v>3</v>
      </c>
      <c r="F456" s="31" t="s">
        <v>466</v>
      </c>
      <c r="G456" s="19">
        <v>46447</v>
      </c>
    </row>
    <row r="457" spans="1:7" x14ac:dyDescent="0.35">
      <c r="A457" s="19">
        <v>46478</v>
      </c>
      <c r="B457" s="31">
        <v>20270401</v>
      </c>
      <c r="C457" s="31">
        <v>2027</v>
      </c>
      <c r="D457" s="31" t="s">
        <v>452</v>
      </c>
      <c r="E457" s="31">
        <v>4</v>
      </c>
      <c r="F457" s="31" t="s">
        <v>467</v>
      </c>
      <c r="G457" s="19">
        <v>46478</v>
      </c>
    </row>
    <row r="458" spans="1:7" x14ac:dyDescent="0.35">
      <c r="A458" s="19">
        <v>46479</v>
      </c>
      <c r="B458" s="31">
        <v>20270402</v>
      </c>
      <c r="C458" s="31">
        <v>2027</v>
      </c>
      <c r="D458" s="31" t="s">
        <v>452</v>
      </c>
      <c r="E458" s="31">
        <v>4</v>
      </c>
      <c r="F458" s="31" t="s">
        <v>467</v>
      </c>
      <c r="G458" s="19">
        <v>46478</v>
      </c>
    </row>
    <row r="459" spans="1:7" x14ac:dyDescent="0.35">
      <c r="A459" s="19">
        <v>46480</v>
      </c>
      <c r="B459" s="31">
        <v>20270403</v>
      </c>
      <c r="C459" s="31">
        <v>2027</v>
      </c>
      <c r="D459" s="31" t="s">
        <v>452</v>
      </c>
      <c r="E459" s="31">
        <v>4</v>
      </c>
      <c r="F459" s="31" t="s">
        <v>467</v>
      </c>
      <c r="G459" s="19">
        <v>46478</v>
      </c>
    </row>
    <row r="460" spans="1:7" x14ac:dyDescent="0.35">
      <c r="A460" s="19">
        <v>46481</v>
      </c>
      <c r="B460" s="31">
        <v>20270404</v>
      </c>
      <c r="C460" s="31">
        <v>2027</v>
      </c>
      <c r="D460" s="31" t="s">
        <v>452</v>
      </c>
      <c r="E460" s="31">
        <v>4</v>
      </c>
      <c r="F460" s="31" t="s">
        <v>467</v>
      </c>
      <c r="G460" s="19">
        <v>46478</v>
      </c>
    </row>
    <row r="461" spans="1:7" x14ac:dyDescent="0.35">
      <c r="A461" s="19">
        <v>46482</v>
      </c>
      <c r="B461" s="31">
        <v>20270405</v>
      </c>
      <c r="C461" s="31">
        <v>2027</v>
      </c>
      <c r="D461" s="31" t="s">
        <v>452</v>
      </c>
      <c r="E461" s="31">
        <v>4</v>
      </c>
      <c r="F461" s="31" t="s">
        <v>467</v>
      </c>
      <c r="G461" s="19">
        <v>46478</v>
      </c>
    </row>
    <row r="462" spans="1:7" x14ac:dyDescent="0.35">
      <c r="A462" s="19">
        <v>46483</v>
      </c>
      <c r="B462" s="31">
        <v>20270406</v>
      </c>
      <c r="C462" s="31">
        <v>2027</v>
      </c>
      <c r="D462" s="31" t="s">
        <v>452</v>
      </c>
      <c r="E462" s="31">
        <v>4</v>
      </c>
      <c r="F462" s="31" t="s">
        <v>467</v>
      </c>
      <c r="G462" s="19">
        <v>46478</v>
      </c>
    </row>
    <row r="463" spans="1:7" x14ac:dyDescent="0.35">
      <c r="A463" s="19">
        <v>46484</v>
      </c>
      <c r="B463" s="31">
        <v>20270407</v>
      </c>
      <c r="C463" s="31">
        <v>2027</v>
      </c>
      <c r="D463" s="31" t="s">
        <v>452</v>
      </c>
      <c r="E463" s="31">
        <v>4</v>
      </c>
      <c r="F463" s="31" t="s">
        <v>467</v>
      </c>
      <c r="G463" s="19">
        <v>46478</v>
      </c>
    </row>
    <row r="464" spans="1:7" x14ac:dyDescent="0.35">
      <c r="A464" s="19">
        <v>46485</v>
      </c>
      <c r="B464" s="31">
        <v>20270408</v>
      </c>
      <c r="C464" s="31">
        <v>2027</v>
      </c>
      <c r="D464" s="31" t="s">
        <v>452</v>
      </c>
      <c r="E464" s="31">
        <v>4</v>
      </c>
      <c r="F464" s="31" t="s">
        <v>467</v>
      </c>
      <c r="G464" s="19">
        <v>46478</v>
      </c>
    </row>
    <row r="465" spans="1:7" x14ac:dyDescent="0.35">
      <c r="A465" s="19">
        <v>46486</v>
      </c>
      <c r="B465" s="31">
        <v>20270409</v>
      </c>
      <c r="C465" s="31">
        <v>2027</v>
      </c>
      <c r="D465" s="31" t="s">
        <v>452</v>
      </c>
      <c r="E465" s="31">
        <v>4</v>
      </c>
      <c r="F465" s="31" t="s">
        <v>467</v>
      </c>
      <c r="G465" s="19">
        <v>46478</v>
      </c>
    </row>
    <row r="466" spans="1:7" x14ac:dyDescent="0.35">
      <c r="A466" s="19">
        <v>46487</v>
      </c>
      <c r="B466" s="31">
        <v>20270410</v>
      </c>
      <c r="C466" s="31">
        <v>2027</v>
      </c>
      <c r="D466" s="31" t="s">
        <v>452</v>
      </c>
      <c r="E466" s="31">
        <v>4</v>
      </c>
      <c r="F466" s="31" t="s">
        <v>467</v>
      </c>
      <c r="G466" s="19">
        <v>46478</v>
      </c>
    </row>
    <row r="467" spans="1:7" x14ac:dyDescent="0.35">
      <c r="A467" s="19">
        <v>46488</v>
      </c>
      <c r="B467" s="31">
        <v>20270411</v>
      </c>
      <c r="C467" s="31">
        <v>2027</v>
      </c>
      <c r="D467" s="31" t="s">
        <v>452</v>
      </c>
      <c r="E467" s="31">
        <v>4</v>
      </c>
      <c r="F467" s="31" t="s">
        <v>467</v>
      </c>
      <c r="G467" s="19">
        <v>46478</v>
      </c>
    </row>
    <row r="468" spans="1:7" x14ac:dyDescent="0.35">
      <c r="A468" s="19">
        <v>46489</v>
      </c>
      <c r="B468" s="31">
        <v>20270412</v>
      </c>
      <c r="C468" s="31">
        <v>2027</v>
      </c>
      <c r="D468" s="31" t="s">
        <v>452</v>
      </c>
      <c r="E468" s="31">
        <v>4</v>
      </c>
      <c r="F468" s="31" t="s">
        <v>467</v>
      </c>
      <c r="G468" s="19">
        <v>46478</v>
      </c>
    </row>
    <row r="469" spans="1:7" x14ac:dyDescent="0.35">
      <c r="A469" s="19">
        <v>46490</v>
      </c>
      <c r="B469" s="31">
        <v>20270413</v>
      </c>
      <c r="C469" s="31">
        <v>2027</v>
      </c>
      <c r="D469" s="31" t="s">
        <v>452</v>
      </c>
      <c r="E469" s="31">
        <v>4</v>
      </c>
      <c r="F469" s="31" t="s">
        <v>467</v>
      </c>
      <c r="G469" s="19">
        <v>46478</v>
      </c>
    </row>
    <row r="470" spans="1:7" x14ac:dyDescent="0.35">
      <c r="A470" s="19">
        <v>46491</v>
      </c>
      <c r="B470" s="31">
        <v>20270414</v>
      </c>
      <c r="C470" s="31">
        <v>2027</v>
      </c>
      <c r="D470" s="31" t="s">
        <v>452</v>
      </c>
      <c r="E470" s="31">
        <v>4</v>
      </c>
      <c r="F470" s="31" t="s">
        <v>467</v>
      </c>
      <c r="G470" s="19">
        <v>46478</v>
      </c>
    </row>
    <row r="471" spans="1:7" x14ac:dyDescent="0.35">
      <c r="A471" s="19">
        <v>46492</v>
      </c>
      <c r="B471" s="31">
        <v>20270415</v>
      </c>
      <c r="C471" s="31">
        <v>2027</v>
      </c>
      <c r="D471" s="31" t="s">
        <v>452</v>
      </c>
      <c r="E471" s="31">
        <v>4</v>
      </c>
      <c r="F471" s="31" t="s">
        <v>467</v>
      </c>
      <c r="G471" s="19">
        <v>46478</v>
      </c>
    </row>
    <row r="472" spans="1:7" x14ac:dyDescent="0.35">
      <c r="A472" s="19">
        <v>46493</v>
      </c>
      <c r="B472" s="31">
        <v>20270416</v>
      </c>
      <c r="C472" s="31">
        <v>2027</v>
      </c>
      <c r="D472" s="31" t="s">
        <v>452</v>
      </c>
      <c r="E472" s="31">
        <v>4</v>
      </c>
      <c r="F472" s="31" t="s">
        <v>467</v>
      </c>
      <c r="G472" s="19">
        <v>46478</v>
      </c>
    </row>
    <row r="473" spans="1:7" x14ac:dyDescent="0.35">
      <c r="A473" s="19">
        <v>46494</v>
      </c>
      <c r="B473" s="31">
        <v>20270417</v>
      </c>
      <c r="C473" s="31">
        <v>2027</v>
      </c>
      <c r="D473" s="31" t="s">
        <v>452</v>
      </c>
      <c r="E473" s="31">
        <v>4</v>
      </c>
      <c r="F473" s="31" t="s">
        <v>467</v>
      </c>
      <c r="G473" s="19">
        <v>46478</v>
      </c>
    </row>
    <row r="474" spans="1:7" x14ac:dyDescent="0.35">
      <c r="A474" s="19">
        <v>46495</v>
      </c>
      <c r="B474" s="31">
        <v>20270418</v>
      </c>
      <c r="C474" s="31">
        <v>2027</v>
      </c>
      <c r="D474" s="31" t="s">
        <v>452</v>
      </c>
      <c r="E474" s="31">
        <v>4</v>
      </c>
      <c r="F474" s="31" t="s">
        <v>467</v>
      </c>
      <c r="G474" s="19">
        <v>46478</v>
      </c>
    </row>
    <row r="475" spans="1:7" x14ac:dyDescent="0.35">
      <c r="A475" s="19">
        <v>46496</v>
      </c>
      <c r="B475" s="31">
        <v>20270419</v>
      </c>
      <c r="C475" s="31">
        <v>2027</v>
      </c>
      <c r="D475" s="31" t="s">
        <v>452</v>
      </c>
      <c r="E475" s="31">
        <v>4</v>
      </c>
      <c r="F475" s="31" t="s">
        <v>467</v>
      </c>
      <c r="G475" s="19">
        <v>46478</v>
      </c>
    </row>
    <row r="476" spans="1:7" x14ac:dyDescent="0.35">
      <c r="A476" s="19">
        <v>46497</v>
      </c>
      <c r="B476" s="31">
        <v>20270420</v>
      </c>
      <c r="C476" s="31">
        <v>2027</v>
      </c>
      <c r="D476" s="31" t="s">
        <v>452</v>
      </c>
      <c r="E476" s="31">
        <v>4</v>
      </c>
      <c r="F476" s="31" t="s">
        <v>467</v>
      </c>
      <c r="G476" s="19">
        <v>46478</v>
      </c>
    </row>
    <row r="477" spans="1:7" x14ac:dyDescent="0.35">
      <c r="A477" s="19">
        <v>46498</v>
      </c>
      <c r="B477" s="31">
        <v>20270421</v>
      </c>
      <c r="C477" s="31">
        <v>2027</v>
      </c>
      <c r="D477" s="31" t="s">
        <v>452</v>
      </c>
      <c r="E477" s="31">
        <v>4</v>
      </c>
      <c r="F477" s="31" t="s">
        <v>467</v>
      </c>
      <c r="G477" s="19">
        <v>46478</v>
      </c>
    </row>
    <row r="478" spans="1:7" x14ac:dyDescent="0.35">
      <c r="A478" s="19">
        <v>46499</v>
      </c>
      <c r="B478" s="31">
        <v>20270422</v>
      </c>
      <c r="C478" s="31">
        <v>2027</v>
      </c>
      <c r="D478" s="31" t="s">
        <v>452</v>
      </c>
      <c r="E478" s="31">
        <v>4</v>
      </c>
      <c r="F478" s="31" t="s">
        <v>467</v>
      </c>
      <c r="G478" s="19">
        <v>46478</v>
      </c>
    </row>
    <row r="479" spans="1:7" x14ac:dyDescent="0.35">
      <c r="A479" s="19">
        <v>46500</v>
      </c>
      <c r="B479" s="31">
        <v>20270423</v>
      </c>
      <c r="C479" s="31">
        <v>2027</v>
      </c>
      <c r="D479" s="31" t="s">
        <v>452</v>
      </c>
      <c r="E479" s="31">
        <v>4</v>
      </c>
      <c r="F479" s="31" t="s">
        <v>467</v>
      </c>
      <c r="G479" s="19">
        <v>46478</v>
      </c>
    </row>
    <row r="480" spans="1:7" x14ac:dyDescent="0.35">
      <c r="A480" s="19">
        <v>46501</v>
      </c>
      <c r="B480" s="31">
        <v>20270424</v>
      </c>
      <c r="C480" s="31">
        <v>2027</v>
      </c>
      <c r="D480" s="31" t="s">
        <v>452</v>
      </c>
      <c r="E480" s="31">
        <v>4</v>
      </c>
      <c r="F480" s="31" t="s">
        <v>467</v>
      </c>
      <c r="G480" s="19">
        <v>46478</v>
      </c>
    </row>
    <row r="481" spans="1:7" x14ac:dyDescent="0.35">
      <c r="A481" s="19">
        <v>46502</v>
      </c>
      <c r="B481" s="31">
        <v>20270425</v>
      </c>
      <c r="C481" s="31">
        <v>2027</v>
      </c>
      <c r="D481" s="31" t="s">
        <v>452</v>
      </c>
      <c r="E481" s="31">
        <v>4</v>
      </c>
      <c r="F481" s="31" t="s">
        <v>467</v>
      </c>
      <c r="G481" s="19">
        <v>46478</v>
      </c>
    </row>
    <row r="482" spans="1:7" x14ac:dyDescent="0.35">
      <c r="A482" s="19">
        <v>46503</v>
      </c>
      <c r="B482" s="31">
        <v>20270426</v>
      </c>
      <c r="C482" s="31">
        <v>2027</v>
      </c>
      <c r="D482" s="31" t="s">
        <v>452</v>
      </c>
      <c r="E482" s="31">
        <v>4</v>
      </c>
      <c r="F482" s="31" t="s">
        <v>467</v>
      </c>
      <c r="G482" s="19">
        <v>46478</v>
      </c>
    </row>
    <row r="483" spans="1:7" x14ac:dyDescent="0.35">
      <c r="A483" s="19">
        <v>46504</v>
      </c>
      <c r="B483" s="31">
        <v>20270427</v>
      </c>
      <c r="C483" s="31">
        <v>2027</v>
      </c>
      <c r="D483" s="31" t="s">
        <v>452</v>
      </c>
      <c r="E483" s="31">
        <v>4</v>
      </c>
      <c r="F483" s="31" t="s">
        <v>467</v>
      </c>
      <c r="G483" s="19">
        <v>46478</v>
      </c>
    </row>
    <row r="484" spans="1:7" x14ac:dyDescent="0.35">
      <c r="A484" s="19">
        <v>46505</v>
      </c>
      <c r="B484" s="31">
        <v>20270428</v>
      </c>
      <c r="C484" s="31">
        <v>2027</v>
      </c>
      <c r="D484" s="31" t="s">
        <v>452</v>
      </c>
      <c r="E484" s="31">
        <v>4</v>
      </c>
      <c r="F484" s="31" t="s">
        <v>467</v>
      </c>
      <c r="G484" s="19">
        <v>46478</v>
      </c>
    </row>
    <row r="485" spans="1:7" x14ac:dyDescent="0.35">
      <c r="A485" s="19">
        <v>46506</v>
      </c>
      <c r="B485" s="31">
        <v>20270429</v>
      </c>
      <c r="C485" s="31">
        <v>2027</v>
      </c>
      <c r="D485" s="31" t="s">
        <v>452</v>
      </c>
      <c r="E485" s="31">
        <v>4</v>
      </c>
      <c r="F485" s="31" t="s">
        <v>467</v>
      </c>
      <c r="G485" s="19">
        <v>46478</v>
      </c>
    </row>
    <row r="486" spans="1:7" x14ac:dyDescent="0.35">
      <c r="A486" s="19">
        <v>46507</v>
      </c>
      <c r="B486" s="31">
        <v>20270430</v>
      </c>
      <c r="C486" s="31">
        <v>2027</v>
      </c>
      <c r="D486" s="31" t="s">
        <v>452</v>
      </c>
      <c r="E486" s="31">
        <v>4</v>
      </c>
      <c r="F486" s="31" t="s">
        <v>467</v>
      </c>
      <c r="G486" s="19">
        <v>46478</v>
      </c>
    </row>
    <row r="487" spans="1:7" x14ac:dyDescent="0.35">
      <c r="A487" s="19">
        <v>46508</v>
      </c>
      <c r="B487" s="31">
        <v>20270501</v>
      </c>
      <c r="C487" s="31">
        <v>2027</v>
      </c>
      <c r="D487" s="31" t="s">
        <v>452</v>
      </c>
      <c r="E487" s="31">
        <v>5</v>
      </c>
      <c r="F487" s="31" t="s">
        <v>468</v>
      </c>
      <c r="G487" s="19">
        <v>46508</v>
      </c>
    </row>
    <row r="488" spans="1:7" x14ac:dyDescent="0.35">
      <c r="A488" s="19">
        <v>46509</v>
      </c>
      <c r="B488" s="31">
        <v>20270502</v>
      </c>
      <c r="C488" s="31">
        <v>2027</v>
      </c>
      <c r="D488" s="31" t="s">
        <v>452</v>
      </c>
      <c r="E488" s="31">
        <v>5</v>
      </c>
      <c r="F488" s="31" t="s">
        <v>468</v>
      </c>
      <c r="G488" s="19">
        <v>46508</v>
      </c>
    </row>
    <row r="489" spans="1:7" x14ac:dyDescent="0.35">
      <c r="A489" s="19">
        <v>46510</v>
      </c>
      <c r="B489" s="31">
        <v>20270503</v>
      </c>
      <c r="C489" s="31">
        <v>2027</v>
      </c>
      <c r="D489" s="31" t="s">
        <v>452</v>
      </c>
      <c r="E489" s="31">
        <v>5</v>
      </c>
      <c r="F489" s="31" t="s">
        <v>468</v>
      </c>
      <c r="G489" s="19">
        <v>46508</v>
      </c>
    </row>
    <row r="490" spans="1:7" x14ac:dyDescent="0.35">
      <c r="A490" s="19">
        <v>46511</v>
      </c>
      <c r="B490" s="31">
        <v>20270504</v>
      </c>
      <c r="C490" s="31">
        <v>2027</v>
      </c>
      <c r="D490" s="31" t="s">
        <v>452</v>
      </c>
      <c r="E490" s="31">
        <v>5</v>
      </c>
      <c r="F490" s="31" t="s">
        <v>468</v>
      </c>
      <c r="G490" s="19">
        <v>46508</v>
      </c>
    </row>
    <row r="491" spans="1:7" x14ac:dyDescent="0.35">
      <c r="A491" s="19">
        <v>46512</v>
      </c>
      <c r="B491" s="31">
        <v>20270505</v>
      </c>
      <c r="C491" s="31">
        <v>2027</v>
      </c>
      <c r="D491" s="31" t="s">
        <v>452</v>
      </c>
      <c r="E491" s="31">
        <v>5</v>
      </c>
      <c r="F491" s="31" t="s">
        <v>468</v>
      </c>
      <c r="G491" s="19">
        <v>46508</v>
      </c>
    </row>
    <row r="492" spans="1:7" x14ac:dyDescent="0.35">
      <c r="A492" s="19">
        <v>46513</v>
      </c>
      <c r="B492" s="31">
        <v>20270506</v>
      </c>
      <c r="C492" s="31">
        <v>2027</v>
      </c>
      <c r="D492" s="31" t="s">
        <v>452</v>
      </c>
      <c r="E492" s="31">
        <v>5</v>
      </c>
      <c r="F492" s="31" t="s">
        <v>468</v>
      </c>
      <c r="G492" s="19">
        <v>46508</v>
      </c>
    </row>
    <row r="493" spans="1:7" x14ac:dyDescent="0.35">
      <c r="A493" s="19">
        <v>46514</v>
      </c>
      <c r="B493" s="31">
        <v>20270507</v>
      </c>
      <c r="C493" s="31">
        <v>2027</v>
      </c>
      <c r="D493" s="31" t="s">
        <v>452</v>
      </c>
      <c r="E493" s="31">
        <v>5</v>
      </c>
      <c r="F493" s="31" t="s">
        <v>468</v>
      </c>
      <c r="G493" s="19">
        <v>46508</v>
      </c>
    </row>
    <row r="494" spans="1:7" x14ac:dyDescent="0.35">
      <c r="A494" s="19">
        <v>46515</v>
      </c>
      <c r="B494" s="31">
        <v>20270508</v>
      </c>
      <c r="C494" s="31">
        <v>2027</v>
      </c>
      <c r="D494" s="31" t="s">
        <v>452</v>
      </c>
      <c r="E494" s="31">
        <v>5</v>
      </c>
      <c r="F494" s="31" t="s">
        <v>468</v>
      </c>
      <c r="G494" s="19">
        <v>46508</v>
      </c>
    </row>
    <row r="495" spans="1:7" x14ac:dyDescent="0.35">
      <c r="A495" s="19">
        <v>46516</v>
      </c>
      <c r="B495" s="31">
        <v>20270509</v>
      </c>
      <c r="C495" s="31">
        <v>2027</v>
      </c>
      <c r="D495" s="31" t="s">
        <v>452</v>
      </c>
      <c r="E495" s="31">
        <v>5</v>
      </c>
      <c r="F495" s="31" t="s">
        <v>468</v>
      </c>
      <c r="G495" s="19">
        <v>46508</v>
      </c>
    </row>
    <row r="496" spans="1:7" x14ac:dyDescent="0.35">
      <c r="A496" s="19">
        <v>46517</v>
      </c>
      <c r="B496" s="31">
        <v>20270510</v>
      </c>
      <c r="C496" s="31">
        <v>2027</v>
      </c>
      <c r="D496" s="31" t="s">
        <v>452</v>
      </c>
      <c r="E496" s="31">
        <v>5</v>
      </c>
      <c r="F496" s="31" t="s">
        <v>468</v>
      </c>
      <c r="G496" s="19">
        <v>46508</v>
      </c>
    </row>
    <row r="497" spans="1:7" x14ac:dyDescent="0.35">
      <c r="A497" s="19">
        <v>46518</v>
      </c>
      <c r="B497" s="31">
        <v>20270511</v>
      </c>
      <c r="C497" s="31">
        <v>2027</v>
      </c>
      <c r="D497" s="31" t="s">
        <v>452</v>
      </c>
      <c r="E497" s="31">
        <v>5</v>
      </c>
      <c r="F497" s="31" t="s">
        <v>468</v>
      </c>
      <c r="G497" s="19">
        <v>46508</v>
      </c>
    </row>
    <row r="498" spans="1:7" x14ac:dyDescent="0.35">
      <c r="A498" s="19">
        <v>46519</v>
      </c>
      <c r="B498" s="31">
        <v>20270512</v>
      </c>
      <c r="C498" s="31">
        <v>2027</v>
      </c>
      <c r="D498" s="31" t="s">
        <v>452</v>
      </c>
      <c r="E498" s="31">
        <v>5</v>
      </c>
      <c r="F498" s="31" t="s">
        <v>468</v>
      </c>
      <c r="G498" s="19">
        <v>46508</v>
      </c>
    </row>
    <row r="499" spans="1:7" x14ac:dyDescent="0.35">
      <c r="A499" s="19">
        <v>46520</v>
      </c>
      <c r="B499" s="31">
        <v>20270513</v>
      </c>
      <c r="C499" s="31">
        <v>2027</v>
      </c>
      <c r="D499" s="31" t="s">
        <v>452</v>
      </c>
      <c r="E499" s="31">
        <v>5</v>
      </c>
      <c r="F499" s="31" t="s">
        <v>468</v>
      </c>
      <c r="G499" s="19">
        <v>46508</v>
      </c>
    </row>
    <row r="500" spans="1:7" x14ac:dyDescent="0.35">
      <c r="A500" s="19">
        <v>46521</v>
      </c>
      <c r="B500" s="31">
        <v>20270514</v>
      </c>
      <c r="C500" s="31">
        <v>2027</v>
      </c>
      <c r="D500" s="31" t="s">
        <v>452</v>
      </c>
      <c r="E500" s="31">
        <v>5</v>
      </c>
      <c r="F500" s="31" t="s">
        <v>468</v>
      </c>
      <c r="G500" s="19">
        <v>46508</v>
      </c>
    </row>
    <row r="501" spans="1:7" x14ac:dyDescent="0.35">
      <c r="A501" s="19">
        <v>46522</v>
      </c>
      <c r="B501" s="31">
        <v>20270515</v>
      </c>
      <c r="C501" s="31">
        <v>2027</v>
      </c>
      <c r="D501" s="31" t="s">
        <v>452</v>
      </c>
      <c r="E501" s="31">
        <v>5</v>
      </c>
      <c r="F501" s="31" t="s">
        <v>468</v>
      </c>
      <c r="G501" s="19">
        <v>46508</v>
      </c>
    </row>
    <row r="502" spans="1:7" x14ac:dyDescent="0.35">
      <c r="A502" s="19">
        <v>46523</v>
      </c>
      <c r="B502" s="31">
        <v>20270516</v>
      </c>
      <c r="C502" s="31">
        <v>2027</v>
      </c>
      <c r="D502" s="31" t="s">
        <v>452</v>
      </c>
      <c r="E502" s="31">
        <v>5</v>
      </c>
      <c r="F502" s="31" t="s">
        <v>468</v>
      </c>
      <c r="G502" s="19">
        <v>46508</v>
      </c>
    </row>
    <row r="503" spans="1:7" x14ac:dyDescent="0.35">
      <c r="A503" s="19">
        <v>46524</v>
      </c>
      <c r="B503" s="31">
        <v>20270517</v>
      </c>
      <c r="C503" s="31">
        <v>2027</v>
      </c>
      <c r="D503" s="31" t="s">
        <v>452</v>
      </c>
      <c r="E503" s="31">
        <v>5</v>
      </c>
      <c r="F503" s="31" t="s">
        <v>468</v>
      </c>
      <c r="G503" s="19">
        <v>46508</v>
      </c>
    </row>
    <row r="504" spans="1:7" x14ac:dyDescent="0.35">
      <c r="A504" s="19">
        <v>46525</v>
      </c>
      <c r="B504" s="31">
        <v>20270518</v>
      </c>
      <c r="C504" s="31">
        <v>2027</v>
      </c>
      <c r="D504" s="31" t="s">
        <v>452</v>
      </c>
      <c r="E504" s="31">
        <v>5</v>
      </c>
      <c r="F504" s="31" t="s">
        <v>468</v>
      </c>
      <c r="G504" s="19">
        <v>46508</v>
      </c>
    </row>
    <row r="505" spans="1:7" x14ac:dyDescent="0.35">
      <c r="A505" s="19">
        <v>46526</v>
      </c>
      <c r="B505" s="31">
        <v>20270519</v>
      </c>
      <c r="C505" s="31">
        <v>2027</v>
      </c>
      <c r="D505" s="31" t="s">
        <v>452</v>
      </c>
      <c r="E505" s="31">
        <v>5</v>
      </c>
      <c r="F505" s="31" t="s">
        <v>468</v>
      </c>
      <c r="G505" s="19">
        <v>46508</v>
      </c>
    </row>
    <row r="506" spans="1:7" x14ac:dyDescent="0.35">
      <c r="A506" s="19">
        <v>46527</v>
      </c>
      <c r="B506" s="31">
        <v>20270520</v>
      </c>
      <c r="C506" s="31">
        <v>2027</v>
      </c>
      <c r="D506" s="31" t="s">
        <v>452</v>
      </c>
      <c r="E506" s="31">
        <v>5</v>
      </c>
      <c r="F506" s="31" t="s">
        <v>468</v>
      </c>
      <c r="G506" s="19">
        <v>46508</v>
      </c>
    </row>
    <row r="507" spans="1:7" x14ac:dyDescent="0.35">
      <c r="A507" s="19">
        <v>46528</v>
      </c>
      <c r="B507" s="31">
        <v>20270521</v>
      </c>
      <c r="C507" s="31">
        <v>2027</v>
      </c>
      <c r="D507" s="31" t="s">
        <v>452</v>
      </c>
      <c r="E507" s="31">
        <v>5</v>
      </c>
      <c r="F507" s="31" t="s">
        <v>468</v>
      </c>
      <c r="G507" s="19">
        <v>46508</v>
      </c>
    </row>
    <row r="508" spans="1:7" x14ac:dyDescent="0.35">
      <c r="A508" s="19">
        <v>46529</v>
      </c>
      <c r="B508" s="31">
        <v>20270522</v>
      </c>
      <c r="C508" s="31">
        <v>2027</v>
      </c>
      <c r="D508" s="31" t="s">
        <v>452</v>
      </c>
      <c r="E508" s="31">
        <v>5</v>
      </c>
      <c r="F508" s="31" t="s">
        <v>468</v>
      </c>
      <c r="G508" s="19">
        <v>46508</v>
      </c>
    </row>
    <row r="509" spans="1:7" x14ac:dyDescent="0.35">
      <c r="A509" s="19">
        <v>46530</v>
      </c>
      <c r="B509" s="31">
        <v>20270523</v>
      </c>
      <c r="C509" s="31">
        <v>2027</v>
      </c>
      <c r="D509" s="31" t="s">
        <v>452</v>
      </c>
      <c r="E509" s="31">
        <v>5</v>
      </c>
      <c r="F509" s="31" t="s">
        <v>468</v>
      </c>
      <c r="G509" s="19">
        <v>46508</v>
      </c>
    </row>
    <row r="510" spans="1:7" x14ac:dyDescent="0.35">
      <c r="A510" s="19">
        <v>46531</v>
      </c>
      <c r="B510" s="31">
        <v>20270524</v>
      </c>
      <c r="C510" s="31">
        <v>2027</v>
      </c>
      <c r="D510" s="31" t="s">
        <v>452</v>
      </c>
      <c r="E510" s="31">
        <v>5</v>
      </c>
      <c r="F510" s="31" t="s">
        <v>468</v>
      </c>
      <c r="G510" s="19">
        <v>46508</v>
      </c>
    </row>
    <row r="511" spans="1:7" x14ac:dyDescent="0.35">
      <c r="A511" s="19">
        <v>46532</v>
      </c>
      <c r="B511" s="31">
        <v>20270525</v>
      </c>
      <c r="C511" s="31">
        <v>2027</v>
      </c>
      <c r="D511" s="31" t="s">
        <v>452</v>
      </c>
      <c r="E511" s="31">
        <v>5</v>
      </c>
      <c r="F511" s="31" t="s">
        <v>468</v>
      </c>
      <c r="G511" s="19">
        <v>46508</v>
      </c>
    </row>
    <row r="512" spans="1:7" x14ac:dyDescent="0.35">
      <c r="A512" s="19">
        <v>46533</v>
      </c>
      <c r="B512" s="31">
        <v>20270526</v>
      </c>
      <c r="C512" s="31">
        <v>2027</v>
      </c>
      <c r="D512" s="31" t="s">
        <v>452</v>
      </c>
      <c r="E512" s="31">
        <v>5</v>
      </c>
      <c r="F512" s="31" t="s">
        <v>468</v>
      </c>
      <c r="G512" s="19">
        <v>46508</v>
      </c>
    </row>
    <row r="513" spans="1:7" x14ac:dyDescent="0.35">
      <c r="A513" s="19">
        <v>46534</v>
      </c>
      <c r="B513" s="31">
        <v>20270527</v>
      </c>
      <c r="C513" s="31">
        <v>2027</v>
      </c>
      <c r="D513" s="31" t="s">
        <v>452</v>
      </c>
      <c r="E513" s="31">
        <v>5</v>
      </c>
      <c r="F513" s="31" t="s">
        <v>468</v>
      </c>
      <c r="G513" s="19">
        <v>46508</v>
      </c>
    </row>
    <row r="514" spans="1:7" x14ac:dyDescent="0.35">
      <c r="A514" s="19">
        <v>46535</v>
      </c>
      <c r="B514" s="31">
        <v>20270528</v>
      </c>
      <c r="C514" s="31">
        <v>2027</v>
      </c>
      <c r="D514" s="31" t="s">
        <v>452</v>
      </c>
      <c r="E514" s="31">
        <v>5</v>
      </c>
      <c r="F514" s="31" t="s">
        <v>468</v>
      </c>
      <c r="G514" s="19">
        <v>46508</v>
      </c>
    </row>
    <row r="515" spans="1:7" x14ac:dyDescent="0.35">
      <c r="A515" s="19">
        <v>46536</v>
      </c>
      <c r="B515" s="31">
        <v>20270529</v>
      </c>
      <c r="C515" s="31">
        <v>2027</v>
      </c>
      <c r="D515" s="31" t="s">
        <v>452</v>
      </c>
      <c r="E515" s="31">
        <v>5</v>
      </c>
      <c r="F515" s="31" t="s">
        <v>468</v>
      </c>
      <c r="G515" s="19">
        <v>46508</v>
      </c>
    </row>
    <row r="516" spans="1:7" x14ac:dyDescent="0.35">
      <c r="A516" s="19">
        <v>46537</v>
      </c>
      <c r="B516" s="31">
        <v>20270530</v>
      </c>
      <c r="C516" s="31">
        <v>2027</v>
      </c>
      <c r="D516" s="31" t="s">
        <v>452</v>
      </c>
      <c r="E516" s="31">
        <v>5</v>
      </c>
      <c r="F516" s="31" t="s">
        <v>468</v>
      </c>
      <c r="G516" s="19">
        <v>46508</v>
      </c>
    </row>
    <row r="517" spans="1:7" x14ac:dyDescent="0.35">
      <c r="A517" s="19">
        <v>46538</v>
      </c>
      <c r="B517" s="31">
        <v>20270531</v>
      </c>
      <c r="C517" s="31">
        <v>2027</v>
      </c>
      <c r="D517" s="31" t="s">
        <v>452</v>
      </c>
      <c r="E517" s="31">
        <v>5</v>
      </c>
      <c r="F517" s="31" t="s">
        <v>468</v>
      </c>
      <c r="G517" s="19">
        <v>46508</v>
      </c>
    </row>
    <row r="518" spans="1:7" x14ac:dyDescent="0.35">
      <c r="A518" s="19">
        <v>46539</v>
      </c>
      <c r="B518" s="31">
        <v>20270601</v>
      </c>
      <c r="C518" s="31">
        <v>2027</v>
      </c>
      <c r="D518" s="31" t="s">
        <v>452</v>
      </c>
      <c r="E518" s="31">
        <v>6</v>
      </c>
      <c r="F518" s="31" t="s">
        <v>469</v>
      </c>
      <c r="G518" s="19">
        <v>46539</v>
      </c>
    </row>
    <row r="519" spans="1:7" x14ac:dyDescent="0.35">
      <c r="A519" s="19">
        <v>46540</v>
      </c>
      <c r="B519" s="31">
        <v>20270602</v>
      </c>
      <c r="C519" s="31">
        <v>2027</v>
      </c>
      <c r="D519" s="31" t="s">
        <v>452</v>
      </c>
      <c r="E519" s="31">
        <v>6</v>
      </c>
      <c r="F519" s="31" t="s">
        <v>469</v>
      </c>
      <c r="G519" s="19">
        <v>46539</v>
      </c>
    </row>
    <row r="520" spans="1:7" x14ac:dyDescent="0.35">
      <c r="A520" s="19">
        <v>46541</v>
      </c>
      <c r="B520" s="31">
        <v>20270603</v>
      </c>
      <c r="C520" s="31">
        <v>2027</v>
      </c>
      <c r="D520" s="31" t="s">
        <v>452</v>
      </c>
      <c r="E520" s="31">
        <v>6</v>
      </c>
      <c r="F520" s="31" t="s">
        <v>469</v>
      </c>
      <c r="G520" s="19">
        <v>46539</v>
      </c>
    </row>
    <row r="521" spans="1:7" x14ac:dyDescent="0.35">
      <c r="A521" s="19">
        <v>46542</v>
      </c>
      <c r="B521" s="31">
        <v>20270604</v>
      </c>
      <c r="C521" s="31">
        <v>2027</v>
      </c>
      <c r="D521" s="31" t="s">
        <v>452</v>
      </c>
      <c r="E521" s="31">
        <v>6</v>
      </c>
      <c r="F521" s="31" t="s">
        <v>469</v>
      </c>
      <c r="G521" s="19">
        <v>46539</v>
      </c>
    </row>
    <row r="522" spans="1:7" x14ac:dyDescent="0.35">
      <c r="A522" s="19">
        <v>46543</v>
      </c>
      <c r="B522" s="31">
        <v>20270605</v>
      </c>
      <c r="C522" s="31">
        <v>2027</v>
      </c>
      <c r="D522" s="31" t="s">
        <v>452</v>
      </c>
      <c r="E522" s="31">
        <v>6</v>
      </c>
      <c r="F522" s="31" t="s">
        <v>469</v>
      </c>
      <c r="G522" s="19">
        <v>46539</v>
      </c>
    </row>
    <row r="523" spans="1:7" x14ac:dyDescent="0.35">
      <c r="A523" s="19">
        <v>46544</v>
      </c>
      <c r="B523" s="31">
        <v>20270606</v>
      </c>
      <c r="C523" s="31">
        <v>2027</v>
      </c>
      <c r="D523" s="31" t="s">
        <v>452</v>
      </c>
      <c r="E523" s="31">
        <v>6</v>
      </c>
      <c r="F523" s="31" t="s">
        <v>469</v>
      </c>
      <c r="G523" s="19">
        <v>46539</v>
      </c>
    </row>
    <row r="524" spans="1:7" x14ac:dyDescent="0.35">
      <c r="A524" s="19">
        <v>46545</v>
      </c>
      <c r="B524" s="31">
        <v>20270607</v>
      </c>
      <c r="C524" s="31">
        <v>2027</v>
      </c>
      <c r="D524" s="31" t="s">
        <v>452</v>
      </c>
      <c r="E524" s="31">
        <v>6</v>
      </c>
      <c r="F524" s="31" t="s">
        <v>469</v>
      </c>
      <c r="G524" s="19">
        <v>46539</v>
      </c>
    </row>
    <row r="525" spans="1:7" x14ac:dyDescent="0.35">
      <c r="A525" s="19">
        <v>46546</v>
      </c>
      <c r="B525" s="31">
        <v>20270608</v>
      </c>
      <c r="C525" s="31">
        <v>2027</v>
      </c>
      <c r="D525" s="31" t="s">
        <v>452</v>
      </c>
      <c r="E525" s="31">
        <v>6</v>
      </c>
      <c r="F525" s="31" t="s">
        <v>469</v>
      </c>
      <c r="G525" s="19">
        <v>46539</v>
      </c>
    </row>
    <row r="526" spans="1:7" x14ac:dyDescent="0.35">
      <c r="A526" s="19">
        <v>46547</v>
      </c>
      <c r="B526" s="31">
        <v>20270609</v>
      </c>
      <c r="C526" s="31">
        <v>2027</v>
      </c>
      <c r="D526" s="31" t="s">
        <v>452</v>
      </c>
      <c r="E526" s="31">
        <v>6</v>
      </c>
      <c r="F526" s="31" t="s">
        <v>469</v>
      </c>
      <c r="G526" s="19">
        <v>46539</v>
      </c>
    </row>
    <row r="527" spans="1:7" x14ac:dyDescent="0.35">
      <c r="A527" s="19">
        <v>46548</v>
      </c>
      <c r="B527" s="31">
        <v>20270610</v>
      </c>
      <c r="C527" s="31">
        <v>2027</v>
      </c>
      <c r="D527" s="31" t="s">
        <v>452</v>
      </c>
      <c r="E527" s="31">
        <v>6</v>
      </c>
      <c r="F527" s="31" t="s">
        <v>469</v>
      </c>
      <c r="G527" s="19">
        <v>46539</v>
      </c>
    </row>
    <row r="528" spans="1:7" x14ac:dyDescent="0.35">
      <c r="A528" s="19">
        <v>46549</v>
      </c>
      <c r="B528" s="31">
        <v>20270611</v>
      </c>
      <c r="C528" s="31">
        <v>2027</v>
      </c>
      <c r="D528" s="31" t="s">
        <v>452</v>
      </c>
      <c r="E528" s="31">
        <v>6</v>
      </c>
      <c r="F528" s="31" t="s">
        <v>469</v>
      </c>
      <c r="G528" s="19">
        <v>46539</v>
      </c>
    </row>
    <row r="529" spans="1:7" x14ac:dyDescent="0.35">
      <c r="A529" s="19">
        <v>46550</v>
      </c>
      <c r="B529" s="31">
        <v>20270612</v>
      </c>
      <c r="C529" s="31">
        <v>2027</v>
      </c>
      <c r="D529" s="31" t="s">
        <v>452</v>
      </c>
      <c r="E529" s="31">
        <v>6</v>
      </c>
      <c r="F529" s="31" t="s">
        <v>469</v>
      </c>
      <c r="G529" s="19">
        <v>46539</v>
      </c>
    </row>
    <row r="530" spans="1:7" x14ac:dyDescent="0.35">
      <c r="A530" s="19">
        <v>46551</v>
      </c>
      <c r="B530" s="31">
        <v>20270613</v>
      </c>
      <c r="C530" s="31">
        <v>2027</v>
      </c>
      <c r="D530" s="31" t="s">
        <v>452</v>
      </c>
      <c r="E530" s="31">
        <v>6</v>
      </c>
      <c r="F530" s="31" t="s">
        <v>469</v>
      </c>
      <c r="G530" s="19">
        <v>46539</v>
      </c>
    </row>
    <row r="531" spans="1:7" x14ac:dyDescent="0.35">
      <c r="A531" s="19">
        <v>46552</v>
      </c>
      <c r="B531" s="31">
        <v>20270614</v>
      </c>
      <c r="C531" s="31">
        <v>2027</v>
      </c>
      <c r="D531" s="31" t="s">
        <v>452</v>
      </c>
      <c r="E531" s="31">
        <v>6</v>
      </c>
      <c r="F531" s="31" t="s">
        <v>469</v>
      </c>
      <c r="G531" s="19">
        <v>46539</v>
      </c>
    </row>
    <row r="532" spans="1:7" x14ac:dyDescent="0.35">
      <c r="A532" s="19">
        <v>46553</v>
      </c>
      <c r="B532" s="31">
        <v>20270615</v>
      </c>
      <c r="C532" s="31">
        <v>2027</v>
      </c>
      <c r="D532" s="31" t="s">
        <v>452</v>
      </c>
      <c r="E532" s="31">
        <v>6</v>
      </c>
      <c r="F532" s="31" t="s">
        <v>469</v>
      </c>
      <c r="G532" s="19">
        <v>46539</v>
      </c>
    </row>
    <row r="533" spans="1:7" x14ac:dyDescent="0.35">
      <c r="A533" s="19">
        <v>46554</v>
      </c>
      <c r="B533" s="31">
        <v>20270616</v>
      </c>
      <c r="C533" s="31">
        <v>2027</v>
      </c>
      <c r="D533" s="31" t="s">
        <v>452</v>
      </c>
      <c r="E533" s="31">
        <v>6</v>
      </c>
      <c r="F533" s="31" t="s">
        <v>469</v>
      </c>
      <c r="G533" s="19">
        <v>46539</v>
      </c>
    </row>
    <row r="534" spans="1:7" x14ac:dyDescent="0.35">
      <c r="A534" s="19">
        <v>46555</v>
      </c>
      <c r="B534" s="31">
        <v>20270617</v>
      </c>
      <c r="C534" s="31">
        <v>2027</v>
      </c>
      <c r="D534" s="31" t="s">
        <v>452</v>
      </c>
      <c r="E534" s="31">
        <v>6</v>
      </c>
      <c r="F534" s="31" t="s">
        <v>469</v>
      </c>
      <c r="G534" s="19">
        <v>46539</v>
      </c>
    </row>
    <row r="535" spans="1:7" x14ac:dyDescent="0.35">
      <c r="A535" s="19">
        <v>46556</v>
      </c>
      <c r="B535" s="31">
        <v>20270618</v>
      </c>
      <c r="C535" s="31">
        <v>2027</v>
      </c>
      <c r="D535" s="31" t="s">
        <v>452</v>
      </c>
      <c r="E535" s="31">
        <v>6</v>
      </c>
      <c r="F535" s="31" t="s">
        <v>469</v>
      </c>
      <c r="G535" s="19">
        <v>46539</v>
      </c>
    </row>
    <row r="536" spans="1:7" x14ac:dyDescent="0.35">
      <c r="A536" s="19">
        <v>46557</v>
      </c>
      <c r="B536" s="31">
        <v>20270619</v>
      </c>
      <c r="C536" s="31">
        <v>2027</v>
      </c>
      <c r="D536" s="31" t="s">
        <v>452</v>
      </c>
      <c r="E536" s="31">
        <v>6</v>
      </c>
      <c r="F536" s="31" t="s">
        <v>469</v>
      </c>
      <c r="G536" s="19">
        <v>46539</v>
      </c>
    </row>
    <row r="537" spans="1:7" x14ac:dyDescent="0.35">
      <c r="A537" s="19">
        <v>46558</v>
      </c>
      <c r="B537" s="31">
        <v>20270620</v>
      </c>
      <c r="C537" s="31">
        <v>2027</v>
      </c>
      <c r="D537" s="31" t="s">
        <v>452</v>
      </c>
      <c r="E537" s="31">
        <v>6</v>
      </c>
      <c r="F537" s="31" t="s">
        <v>469</v>
      </c>
      <c r="G537" s="19">
        <v>46539</v>
      </c>
    </row>
    <row r="538" spans="1:7" x14ac:dyDescent="0.35">
      <c r="A538" s="19">
        <v>46559</v>
      </c>
      <c r="B538" s="31">
        <v>20270621</v>
      </c>
      <c r="C538" s="31">
        <v>2027</v>
      </c>
      <c r="D538" s="31" t="s">
        <v>452</v>
      </c>
      <c r="E538" s="31">
        <v>6</v>
      </c>
      <c r="F538" s="31" t="s">
        <v>469</v>
      </c>
      <c r="G538" s="19">
        <v>46539</v>
      </c>
    </row>
    <row r="539" spans="1:7" x14ac:dyDescent="0.35">
      <c r="A539" s="19">
        <v>46560</v>
      </c>
      <c r="B539" s="31">
        <v>20270622</v>
      </c>
      <c r="C539" s="31">
        <v>2027</v>
      </c>
      <c r="D539" s="31" t="s">
        <v>452</v>
      </c>
      <c r="E539" s="31">
        <v>6</v>
      </c>
      <c r="F539" s="31" t="s">
        <v>469</v>
      </c>
      <c r="G539" s="19">
        <v>46539</v>
      </c>
    </row>
    <row r="540" spans="1:7" x14ac:dyDescent="0.35">
      <c r="A540" s="19">
        <v>46561</v>
      </c>
      <c r="B540" s="31">
        <v>20270623</v>
      </c>
      <c r="C540" s="31">
        <v>2027</v>
      </c>
      <c r="D540" s="31" t="s">
        <v>452</v>
      </c>
      <c r="E540" s="31">
        <v>6</v>
      </c>
      <c r="F540" s="31" t="s">
        <v>469</v>
      </c>
      <c r="G540" s="19">
        <v>46539</v>
      </c>
    </row>
    <row r="541" spans="1:7" x14ac:dyDescent="0.35">
      <c r="A541" s="19">
        <v>46562</v>
      </c>
      <c r="B541" s="31">
        <v>20270624</v>
      </c>
      <c r="C541" s="31">
        <v>2027</v>
      </c>
      <c r="D541" s="31" t="s">
        <v>452</v>
      </c>
      <c r="E541" s="31">
        <v>6</v>
      </c>
      <c r="F541" s="31" t="s">
        <v>469</v>
      </c>
      <c r="G541" s="19">
        <v>46539</v>
      </c>
    </row>
    <row r="542" spans="1:7" x14ac:dyDescent="0.35">
      <c r="A542" s="19">
        <v>46563</v>
      </c>
      <c r="B542" s="31">
        <v>20270625</v>
      </c>
      <c r="C542" s="31">
        <v>2027</v>
      </c>
      <c r="D542" s="31" t="s">
        <v>452</v>
      </c>
      <c r="E542" s="31">
        <v>6</v>
      </c>
      <c r="F542" s="31" t="s">
        <v>469</v>
      </c>
      <c r="G542" s="19">
        <v>46539</v>
      </c>
    </row>
    <row r="543" spans="1:7" x14ac:dyDescent="0.35">
      <c r="A543" s="19">
        <v>46564</v>
      </c>
      <c r="B543" s="31">
        <v>20270626</v>
      </c>
      <c r="C543" s="31">
        <v>2027</v>
      </c>
      <c r="D543" s="31" t="s">
        <v>452</v>
      </c>
      <c r="E543" s="31">
        <v>6</v>
      </c>
      <c r="F543" s="31" t="s">
        <v>469</v>
      </c>
      <c r="G543" s="19">
        <v>46539</v>
      </c>
    </row>
    <row r="544" spans="1:7" x14ac:dyDescent="0.35">
      <c r="A544" s="19">
        <v>46565</v>
      </c>
      <c r="B544" s="31">
        <v>20270627</v>
      </c>
      <c r="C544" s="31">
        <v>2027</v>
      </c>
      <c r="D544" s="31" t="s">
        <v>452</v>
      </c>
      <c r="E544" s="31">
        <v>6</v>
      </c>
      <c r="F544" s="31" t="s">
        <v>469</v>
      </c>
      <c r="G544" s="19">
        <v>46539</v>
      </c>
    </row>
    <row r="545" spans="1:7" x14ac:dyDescent="0.35">
      <c r="A545" s="19">
        <v>46566</v>
      </c>
      <c r="B545" s="31">
        <v>20270628</v>
      </c>
      <c r="C545" s="31">
        <v>2027</v>
      </c>
      <c r="D545" s="31" t="s">
        <v>452</v>
      </c>
      <c r="E545" s="31">
        <v>6</v>
      </c>
      <c r="F545" s="31" t="s">
        <v>469</v>
      </c>
      <c r="G545" s="19">
        <v>46539</v>
      </c>
    </row>
    <row r="546" spans="1:7" x14ac:dyDescent="0.35">
      <c r="A546" s="19">
        <v>46567</v>
      </c>
      <c r="B546" s="31">
        <v>20270629</v>
      </c>
      <c r="C546" s="31">
        <v>2027</v>
      </c>
      <c r="D546" s="31" t="s">
        <v>452</v>
      </c>
      <c r="E546" s="31">
        <v>6</v>
      </c>
      <c r="F546" s="31" t="s">
        <v>469</v>
      </c>
      <c r="G546" s="19">
        <v>46539</v>
      </c>
    </row>
    <row r="547" spans="1:7" x14ac:dyDescent="0.35">
      <c r="A547" s="19">
        <v>46568</v>
      </c>
      <c r="B547" s="31">
        <v>20270630</v>
      </c>
      <c r="C547" s="31">
        <v>2027</v>
      </c>
      <c r="D547" s="31" t="s">
        <v>452</v>
      </c>
      <c r="E547" s="31">
        <v>6</v>
      </c>
      <c r="F547" s="31" t="s">
        <v>469</v>
      </c>
      <c r="G547" s="19">
        <v>46539</v>
      </c>
    </row>
    <row r="548" spans="1:7" x14ac:dyDescent="0.35">
      <c r="A548" s="19">
        <v>46569</v>
      </c>
      <c r="B548" s="31">
        <v>20270701</v>
      </c>
      <c r="C548" s="31">
        <v>2027</v>
      </c>
      <c r="D548" s="31" t="s">
        <v>456</v>
      </c>
      <c r="E548" s="31">
        <v>7</v>
      </c>
      <c r="F548" s="31" t="s">
        <v>470</v>
      </c>
      <c r="G548" s="19">
        <v>46569</v>
      </c>
    </row>
    <row r="549" spans="1:7" x14ac:dyDescent="0.35">
      <c r="A549" s="19">
        <v>46570</v>
      </c>
      <c r="B549" s="31">
        <v>20270702</v>
      </c>
      <c r="C549" s="31">
        <v>2027</v>
      </c>
      <c r="D549" s="31" t="s">
        <v>456</v>
      </c>
      <c r="E549" s="31">
        <v>7</v>
      </c>
      <c r="F549" s="31" t="s">
        <v>470</v>
      </c>
      <c r="G549" s="19">
        <v>46569</v>
      </c>
    </row>
    <row r="550" spans="1:7" x14ac:dyDescent="0.35">
      <c r="A550" s="19">
        <v>46571</v>
      </c>
      <c r="B550" s="31">
        <v>20270703</v>
      </c>
      <c r="C550" s="31">
        <v>2027</v>
      </c>
      <c r="D550" s="31" t="s">
        <v>456</v>
      </c>
      <c r="E550" s="31">
        <v>7</v>
      </c>
      <c r="F550" s="31" t="s">
        <v>470</v>
      </c>
      <c r="G550" s="19">
        <v>46569</v>
      </c>
    </row>
    <row r="551" spans="1:7" x14ac:dyDescent="0.35">
      <c r="A551" s="19">
        <v>46572</v>
      </c>
      <c r="B551" s="31">
        <v>20270704</v>
      </c>
      <c r="C551" s="31">
        <v>2027</v>
      </c>
      <c r="D551" s="31" t="s">
        <v>456</v>
      </c>
      <c r="E551" s="31">
        <v>7</v>
      </c>
      <c r="F551" s="31" t="s">
        <v>470</v>
      </c>
      <c r="G551" s="19">
        <v>46569</v>
      </c>
    </row>
    <row r="552" spans="1:7" x14ac:dyDescent="0.35">
      <c r="A552" s="19">
        <v>46573</v>
      </c>
      <c r="B552" s="31">
        <v>20270705</v>
      </c>
      <c r="C552" s="31">
        <v>2027</v>
      </c>
      <c r="D552" s="31" t="s">
        <v>456</v>
      </c>
      <c r="E552" s="31">
        <v>7</v>
      </c>
      <c r="F552" s="31" t="s">
        <v>470</v>
      </c>
      <c r="G552" s="19">
        <v>46569</v>
      </c>
    </row>
    <row r="553" spans="1:7" x14ac:dyDescent="0.35">
      <c r="A553" s="19">
        <v>46574</v>
      </c>
      <c r="B553" s="31">
        <v>20270706</v>
      </c>
      <c r="C553" s="31">
        <v>2027</v>
      </c>
      <c r="D553" s="31" t="s">
        <v>456</v>
      </c>
      <c r="E553" s="31">
        <v>7</v>
      </c>
      <c r="F553" s="31" t="s">
        <v>470</v>
      </c>
      <c r="G553" s="19">
        <v>46569</v>
      </c>
    </row>
    <row r="554" spans="1:7" x14ac:dyDescent="0.35">
      <c r="A554" s="19">
        <v>46575</v>
      </c>
      <c r="B554" s="31">
        <v>20270707</v>
      </c>
      <c r="C554" s="31">
        <v>2027</v>
      </c>
      <c r="D554" s="31" t="s">
        <v>456</v>
      </c>
      <c r="E554" s="31">
        <v>7</v>
      </c>
      <c r="F554" s="31" t="s">
        <v>470</v>
      </c>
      <c r="G554" s="19">
        <v>46569</v>
      </c>
    </row>
    <row r="555" spans="1:7" x14ac:dyDescent="0.35">
      <c r="A555" s="19">
        <v>46576</v>
      </c>
      <c r="B555" s="31">
        <v>20270708</v>
      </c>
      <c r="C555" s="31">
        <v>2027</v>
      </c>
      <c r="D555" s="31" t="s">
        <v>456</v>
      </c>
      <c r="E555" s="31">
        <v>7</v>
      </c>
      <c r="F555" s="31" t="s">
        <v>470</v>
      </c>
      <c r="G555" s="19">
        <v>46569</v>
      </c>
    </row>
    <row r="556" spans="1:7" x14ac:dyDescent="0.35">
      <c r="A556" s="19">
        <v>46577</v>
      </c>
      <c r="B556" s="31">
        <v>20270709</v>
      </c>
      <c r="C556" s="31">
        <v>2027</v>
      </c>
      <c r="D556" s="31" t="s">
        <v>456</v>
      </c>
      <c r="E556" s="31">
        <v>7</v>
      </c>
      <c r="F556" s="31" t="s">
        <v>470</v>
      </c>
      <c r="G556" s="19">
        <v>46569</v>
      </c>
    </row>
    <row r="557" spans="1:7" x14ac:dyDescent="0.35">
      <c r="A557" s="19">
        <v>46578</v>
      </c>
      <c r="B557" s="31">
        <v>20270710</v>
      </c>
      <c r="C557" s="31">
        <v>2027</v>
      </c>
      <c r="D557" s="31" t="s">
        <v>456</v>
      </c>
      <c r="E557" s="31">
        <v>7</v>
      </c>
      <c r="F557" s="31" t="s">
        <v>470</v>
      </c>
      <c r="G557" s="19">
        <v>46569</v>
      </c>
    </row>
    <row r="558" spans="1:7" x14ac:dyDescent="0.35">
      <c r="A558" s="19">
        <v>46579</v>
      </c>
      <c r="B558" s="31">
        <v>20270711</v>
      </c>
      <c r="C558" s="31">
        <v>2027</v>
      </c>
      <c r="D558" s="31" t="s">
        <v>456</v>
      </c>
      <c r="E558" s="31">
        <v>7</v>
      </c>
      <c r="F558" s="31" t="s">
        <v>470</v>
      </c>
      <c r="G558" s="19">
        <v>46569</v>
      </c>
    </row>
    <row r="559" spans="1:7" x14ac:dyDescent="0.35">
      <c r="A559" s="19">
        <v>46580</v>
      </c>
      <c r="B559" s="31">
        <v>20270712</v>
      </c>
      <c r="C559" s="31">
        <v>2027</v>
      </c>
      <c r="D559" s="31" t="s">
        <v>456</v>
      </c>
      <c r="E559" s="31">
        <v>7</v>
      </c>
      <c r="F559" s="31" t="s">
        <v>470</v>
      </c>
      <c r="G559" s="19">
        <v>46569</v>
      </c>
    </row>
    <row r="560" spans="1:7" x14ac:dyDescent="0.35">
      <c r="A560" s="19">
        <v>46581</v>
      </c>
      <c r="B560" s="31">
        <v>20270713</v>
      </c>
      <c r="C560" s="31">
        <v>2027</v>
      </c>
      <c r="D560" s="31" t="s">
        <v>456</v>
      </c>
      <c r="E560" s="31">
        <v>7</v>
      </c>
      <c r="F560" s="31" t="s">
        <v>470</v>
      </c>
      <c r="G560" s="19">
        <v>46569</v>
      </c>
    </row>
    <row r="561" spans="1:7" x14ac:dyDescent="0.35">
      <c r="A561" s="19">
        <v>46582</v>
      </c>
      <c r="B561" s="31">
        <v>20270714</v>
      </c>
      <c r="C561" s="31">
        <v>2027</v>
      </c>
      <c r="D561" s="31" t="s">
        <v>456</v>
      </c>
      <c r="E561" s="31">
        <v>7</v>
      </c>
      <c r="F561" s="31" t="s">
        <v>470</v>
      </c>
      <c r="G561" s="19">
        <v>46569</v>
      </c>
    </row>
    <row r="562" spans="1:7" x14ac:dyDescent="0.35">
      <c r="A562" s="19">
        <v>46583</v>
      </c>
      <c r="B562" s="31">
        <v>20270715</v>
      </c>
      <c r="C562" s="31">
        <v>2027</v>
      </c>
      <c r="D562" s="31" t="s">
        <v>456</v>
      </c>
      <c r="E562" s="31">
        <v>7</v>
      </c>
      <c r="F562" s="31" t="s">
        <v>470</v>
      </c>
      <c r="G562" s="19">
        <v>46569</v>
      </c>
    </row>
    <row r="563" spans="1:7" x14ac:dyDescent="0.35">
      <c r="A563" s="19">
        <v>46584</v>
      </c>
      <c r="B563" s="31">
        <v>20270716</v>
      </c>
      <c r="C563" s="31">
        <v>2027</v>
      </c>
      <c r="D563" s="31" t="s">
        <v>456</v>
      </c>
      <c r="E563" s="31">
        <v>7</v>
      </c>
      <c r="F563" s="31" t="s">
        <v>470</v>
      </c>
      <c r="G563" s="19">
        <v>46569</v>
      </c>
    </row>
    <row r="564" spans="1:7" x14ac:dyDescent="0.35">
      <c r="A564" s="19">
        <v>46585</v>
      </c>
      <c r="B564" s="31">
        <v>20270717</v>
      </c>
      <c r="C564" s="31">
        <v>2027</v>
      </c>
      <c r="D564" s="31" t="s">
        <v>456</v>
      </c>
      <c r="E564" s="31">
        <v>7</v>
      </c>
      <c r="F564" s="31" t="s">
        <v>470</v>
      </c>
      <c r="G564" s="19">
        <v>46569</v>
      </c>
    </row>
    <row r="565" spans="1:7" x14ac:dyDescent="0.35">
      <c r="A565" s="19">
        <v>46586</v>
      </c>
      <c r="B565" s="31">
        <v>20270718</v>
      </c>
      <c r="C565" s="31">
        <v>2027</v>
      </c>
      <c r="D565" s="31" t="s">
        <v>456</v>
      </c>
      <c r="E565" s="31">
        <v>7</v>
      </c>
      <c r="F565" s="31" t="s">
        <v>470</v>
      </c>
      <c r="G565" s="19">
        <v>46569</v>
      </c>
    </row>
    <row r="566" spans="1:7" x14ac:dyDescent="0.35">
      <c r="A566" s="19">
        <v>46587</v>
      </c>
      <c r="B566" s="31">
        <v>20270719</v>
      </c>
      <c r="C566" s="31">
        <v>2027</v>
      </c>
      <c r="D566" s="31" t="s">
        <v>456</v>
      </c>
      <c r="E566" s="31">
        <v>7</v>
      </c>
      <c r="F566" s="31" t="s">
        <v>470</v>
      </c>
      <c r="G566" s="19">
        <v>46569</v>
      </c>
    </row>
    <row r="567" spans="1:7" x14ac:dyDescent="0.35">
      <c r="A567" s="19">
        <v>46588</v>
      </c>
      <c r="B567" s="31">
        <v>20270720</v>
      </c>
      <c r="C567" s="31">
        <v>2027</v>
      </c>
      <c r="D567" s="31" t="s">
        <v>456</v>
      </c>
      <c r="E567" s="31">
        <v>7</v>
      </c>
      <c r="F567" s="31" t="s">
        <v>470</v>
      </c>
      <c r="G567" s="19">
        <v>46569</v>
      </c>
    </row>
    <row r="568" spans="1:7" x14ac:dyDescent="0.35">
      <c r="A568" s="19">
        <v>46589</v>
      </c>
      <c r="B568" s="31">
        <v>20270721</v>
      </c>
      <c r="C568" s="31">
        <v>2027</v>
      </c>
      <c r="D568" s="31" t="s">
        <v>456</v>
      </c>
      <c r="E568" s="31">
        <v>7</v>
      </c>
      <c r="F568" s="31" t="s">
        <v>470</v>
      </c>
      <c r="G568" s="19">
        <v>46569</v>
      </c>
    </row>
    <row r="569" spans="1:7" x14ac:dyDescent="0.35">
      <c r="A569" s="19">
        <v>46590</v>
      </c>
      <c r="B569" s="31">
        <v>20270722</v>
      </c>
      <c r="C569" s="31">
        <v>2027</v>
      </c>
      <c r="D569" s="31" t="s">
        <v>456</v>
      </c>
      <c r="E569" s="31">
        <v>7</v>
      </c>
      <c r="F569" s="31" t="s">
        <v>470</v>
      </c>
      <c r="G569" s="19">
        <v>46569</v>
      </c>
    </row>
    <row r="570" spans="1:7" x14ac:dyDescent="0.35">
      <c r="A570" s="19">
        <v>46591</v>
      </c>
      <c r="B570" s="31">
        <v>20270723</v>
      </c>
      <c r="C570" s="31">
        <v>2027</v>
      </c>
      <c r="D570" s="31" t="s">
        <v>456</v>
      </c>
      <c r="E570" s="31">
        <v>7</v>
      </c>
      <c r="F570" s="31" t="s">
        <v>470</v>
      </c>
      <c r="G570" s="19">
        <v>46569</v>
      </c>
    </row>
    <row r="571" spans="1:7" x14ac:dyDescent="0.35">
      <c r="A571" s="19">
        <v>46592</v>
      </c>
      <c r="B571" s="31">
        <v>20270724</v>
      </c>
      <c r="C571" s="31">
        <v>2027</v>
      </c>
      <c r="D571" s="31" t="s">
        <v>456</v>
      </c>
      <c r="E571" s="31">
        <v>7</v>
      </c>
      <c r="F571" s="31" t="s">
        <v>470</v>
      </c>
      <c r="G571" s="19">
        <v>46569</v>
      </c>
    </row>
    <row r="572" spans="1:7" x14ac:dyDescent="0.35">
      <c r="A572" s="19">
        <v>46593</v>
      </c>
      <c r="B572" s="31">
        <v>20270725</v>
      </c>
      <c r="C572" s="31">
        <v>2027</v>
      </c>
      <c r="D572" s="31" t="s">
        <v>456</v>
      </c>
      <c r="E572" s="31">
        <v>7</v>
      </c>
      <c r="F572" s="31" t="s">
        <v>470</v>
      </c>
      <c r="G572" s="19">
        <v>46569</v>
      </c>
    </row>
    <row r="573" spans="1:7" x14ac:dyDescent="0.35">
      <c r="A573" s="19">
        <v>46594</v>
      </c>
      <c r="B573" s="31">
        <v>20270726</v>
      </c>
      <c r="C573" s="31">
        <v>2027</v>
      </c>
      <c r="D573" s="31" t="s">
        <v>456</v>
      </c>
      <c r="E573" s="31">
        <v>7</v>
      </c>
      <c r="F573" s="31" t="s">
        <v>470</v>
      </c>
      <c r="G573" s="19">
        <v>46569</v>
      </c>
    </row>
    <row r="574" spans="1:7" x14ac:dyDescent="0.35">
      <c r="A574" s="19">
        <v>46595</v>
      </c>
      <c r="B574" s="31">
        <v>20270727</v>
      </c>
      <c r="C574" s="31">
        <v>2027</v>
      </c>
      <c r="D574" s="31" t="s">
        <v>456</v>
      </c>
      <c r="E574" s="31">
        <v>7</v>
      </c>
      <c r="F574" s="31" t="s">
        <v>470</v>
      </c>
      <c r="G574" s="19">
        <v>46569</v>
      </c>
    </row>
    <row r="575" spans="1:7" x14ac:dyDescent="0.35">
      <c r="A575" s="19">
        <v>46596</v>
      </c>
      <c r="B575" s="31">
        <v>20270728</v>
      </c>
      <c r="C575" s="31">
        <v>2027</v>
      </c>
      <c r="D575" s="31" t="s">
        <v>456</v>
      </c>
      <c r="E575" s="31">
        <v>7</v>
      </c>
      <c r="F575" s="31" t="s">
        <v>470</v>
      </c>
      <c r="G575" s="19">
        <v>46569</v>
      </c>
    </row>
    <row r="576" spans="1:7" x14ac:dyDescent="0.35">
      <c r="A576" s="19">
        <v>46597</v>
      </c>
      <c r="B576" s="31">
        <v>20270729</v>
      </c>
      <c r="C576" s="31">
        <v>2027</v>
      </c>
      <c r="D576" s="31" t="s">
        <v>456</v>
      </c>
      <c r="E576" s="31">
        <v>7</v>
      </c>
      <c r="F576" s="31" t="s">
        <v>470</v>
      </c>
      <c r="G576" s="19">
        <v>46569</v>
      </c>
    </row>
    <row r="577" spans="1:7" x14ac:dyDescent="0.35">
      <c r="A577" s="19">
        <v>46598</v>
      </c>
      <c r="B577" s="31">
        <v>20270730</v>
      </c>
      <c r="C577" s="31">
        <v>2027</v>
      </c>
      <c r="D577" s="31" t="s">
        <v>456</v>
      </c>
      <c r="E577" s="31">
        <v>7</v>
      </c>
      <c r="F577" s="31" t="s">
        <v>470</v>
      </c>
      <c r="G577" s="19">
        <v>46569</v>
      </c>
    </row>
    <row r="578" spans="1:7" x14ac:dyDescent="0.35">
      <c r="A578" s="19">
        <v>46599</v>
      </c>
      <c r="B578" s="31">
        <v>20270731</v>
      </c>
      <c r="C578" s="31">
        <v>2027</v>
      </c>
      <c r="D578" s="31" t="s">
        <v>456</v>
      </c>
      <c r="E578" s="31">
        <v>7</v>
      </c>
      <c r="F578" s="31" t="s">
        <v>470</v>
      </c>
      <c r="G578" s="19">
        <v>46569</v>
      </c>
    </row>
    <row r="579" spans="1:7" x14ac:dyDescent="0.35">
      <c r="A579" s="19">
        <v>46600</v>
      </c>
      <c r="B579" s="31">
        <v>20270801</v>
      </c>
      <c r="C579" s="31">
        <v>2027</v>
      </c>
      <c r="D579" s="31" t="s">
        <v>456</v>
      </c>
      <c r="E579" s="31">
        <v>8</v>
      </c>
      <c r="F579" s="31" t="s">
        <v>471</v>
      </c>
      <c r="G579" s="19">
        <v>46600</v>
      </c>
    </row>
    <row r="580" spans="1:7" x14ac:dyDescent="0.35">
      <c r="A580" s="19">
        <v>46601</v>
      </c>
      <c r="B580" s="31">
        <v>20270802</v>
      </c>
      <c r="C580" s="31">
        <v>2027</v>
      </c>
      <c r="D580" s="31" t="s">
        <v>456</v>
      </c>
      <c r="E580" s="31">
        <v>8</v>
      </c>
      <c r="F580" s="31" t="s">
        <v>471</v>
      </c>
      <c r="G580" s="19">
        <v>46600</v>
      </c>
    </row>
    <row r="581" spans="1:7" x14ac:dyDescent="0.35">
      <c r="A581" s="19">
        <v>46602</v>
      </c>
      <c r="B581" s="31">
        <v>20270803</v>
      </c>
      <c r="C581" s="31">
        <v>2027</v>
      </c>
      <c r="D581" s="31" t="s">
        <v>456</v>
      </c>
      <c r="E581" s="31">
        <v>8</v>
      </c>
      <c r="F581" s="31" t="s">
        <v>471</v>
      </c>
      <c r="G581" s="19">
        <v>46600</v>
      </c>
    </row>
    <row r="582" spans="1:7" x14ac:dyDescent="0.35">
      <c r="A582" s="19">
        <v>46603</v>
      </c>
      <c r="B582" s="31">
        <v>20270804</v>
      </c>
      <c r="C582" s="31">
        <v>2027</v>
      </c>
      <c r="D582" s="31" t="s">
        <v>456</v>
      </c>
      <c r="E582" s="31">
        <v>8</v>
      </c>
      <c r="F582" s="31" t="s">
        <v>471</v>
      </c>
      <c r="G582" s="19">
        <v>46600</v>
      </c>
    </row>
    <row r="583" spans="1:7" x14ac:dyDescent="0.35">
      <c r="A583" s="19">
        <v>46604</v>
      </c>
      <c r="B583" s="31">
        <v>20270805</v>
      </c>
      <c r="C583" s="31">
        <v>2027</v>
      </c>
      <c r="D583" s="31" t="s">
        <v>456</v>
      </c>
      <c r="E583" s="31">
        <v>8</v>
      </c>
      <c r="F583" s="31" t="s">
        <v>471</v>
      </c>
      <c r="G583" s="19">
        <v>46600</v>
      </c>
    </row>
    <row r="584" spans="1:7" x14ac:dyDescent="0.35">
      <c r="A584" s="19">
        <v>46605</v>
      </c>
      <c r="B584" s="31">
        <v>20270806</v>
      </c>
      <c r="C584" s="31">
        <v>2027</v>
      </c>
      <c r="D584" s="31" t="s">
        <v>456</v>
      </c>
      <c r="E584" s="31">
        <v>8</v>
      </c>
      <c r="F584" s="31" t="s">
        <v>471</v>
      </c>
      <c r="G584" s="19">
        <v>46600</v>
      </c>
    </row>
    <row r="585" spans="1:7" x14ac:dyDescent="0.35">
      <c r="A585" s="19">
        <v>46606</v>
      </c>
      <c r="B585" s="31">
        <v>20270807</v>
      </c>
      <c r="C585" s="31">
        <v>2027</v>
      </c>
      <c r="D585" s="31" t="s">
        <v>456</v>
      </c>
      <c r="E585" s="31">
        <v>8</v>
      </c>
      <c r="F585" s="31" t="s">
        <v>471</v>
      </c>
      <c r="G585" s="19">
        <v>46600</v>
      </c>
    </row>
    <row r="586" spans="1:7" x14ac:dyDescent="0.35">
      <c r="A586" s="19">
        <v>46607</v>
      </c>
      <c r="B586" s="31">
        <v>20270808</v>
      </c>
      <c r="C586" s="31">
        <v>2027</v>
      </c>
      <c r="D586" s="31" t="s">
        <v>456</v>
      </c>
      <c r="E586" s="31">
        <v>8</v>
      </c>
      <c r="F586" s="31" t="s">
        <v>471</v>
      </c>
      <c r="G586" s="19">
        <v>46600</v>
      </c>
    </row>
    <row r="587" spans="1:7" x14ac:dyDescent="0.35">
      <c r="A587" s="19">
        <v>46608</v>
      </c>
      <c r="B587" s="31">
        <v>20270809</v>
      </c>
      <c r="C587" s="31">
        <v>2027</v>
      </c>
      <c r="D587" s="31" t="s">
        <v>456</v>
      </c>
      <c r="E587" s="31">
        <v>8</v>
      </c>
      <c r="F587" s="31" t="s">
        <v>471</v>
      </c>
      <c r="G587" s="19">
        <v>46600</v>
      </c>
    </row>
    <row r="588" spans="1:7" x14ac:dyDescent="0.35">
      <c r="A588" s="19">
        <v>46609</v>
      </c>
      <c r="B588" s="31">
        <v>20270810</v>
      </c>
      <c r="C588" s="31">
        <v>2027</v>
      </c>
      <c r="D588" s="31" t="s">
        <v>456</v>
      </c>
      <c r="E588" s="31">
        <v>8</v>
      </c>
      <c r="F588" s="31" t="s">
        <v>471</v>
      </c>
      <c r="G588" s="19">
        <v>46600</v>
      </c>
    </row>
    <row r="589" spans="1:7" x14ac:dyDescent="0.35">
      <c r="A589" s="19">
        <v>46610</v>
      </c>
      <c r="B589" s="31">
        <v>20270811</v>
      </c>
      <c r="C589" s="31">
        <v>2027</v>
      </c>
      <c r="D589" s="31" t="s">
        <v>456</v>
      </c>
      <c r="E589" s="31">
        <v>8</v>
      </c>
      <c r="F589" s="31" t="s">
        <v>471</v>
      </c>
      <c r="G589" s="19">
        <v>46600</v>
      </c>
    </row>
    <row r="590" spans="1:7" x14ac:dyDescent="0.35">
      <c r="A590" s="19">
        <v>46611</v>
      </c>
      <c r="B590" s="31">
        <v>20270812</v>
      </c>
      <c r="C590" s="31">
        <v>2027</v>
      </c>
      <c r="D590" s="31" t="s">
        <v>456</v>
      </c>
      <c r="E590" s="31">
        <v>8</v>
      </c>
      <c r="F590" s="31" t="s">
        <v>471</v>
      </c>
      <c r="G590" s="19">
        <v>46600</v>
      </c>
    </row>
    <row r="591" spans="1:7" x14ac:dyDescent="0.35">
      <c r="A591" s="19">
        <v>46612</v>
      </c>
      <c r="B591" s="31">
        <v>20270813</v>
      </c>
      <c r="C591" s="31">
        <v>2027</v>
      </c>
      <c r="D591" s="31" t="s">
        <v>456</v>
      </c>
      <c r="E591" s="31">
        <v>8</v>
      </c>
      <c r="F591" s="31" t="s">
        <v>471</v>
      </c>
      <c r="G591" s="19">
        <v>46600</v>
      </c>
    </row>
    <row r="592" spans="1:7" x14ac:dyDescent="0.35">
      <c r="A592" s="19">
        <v>46613</v>
      </c>
      <c r="B592" s="31">
        <v>20270814</v>
      </c>
      <c r="C592" s="31">
        <v>2027</v>
      </c>
      <c r="D592" s="31" t="s">
        <v>456</v>
      </c>
      <c r="E592" s="31">
        <v>8</v>
      </c>
      <c r="F592" s="31" t="s">
        <v>471</v>
      </c>
      <c r="G592" s="19">
        <v>46600</v>
      </c>
    </row>
    <row r="593" spans="1:7" x14ac:dyDescent="0.35">
      <c r="A593" s="19">
        <v>46614</v>
      </c>
      <c r="B593" s="31">
        <v>20270815</v>
      </c>
      <c r="C593" s="31">
        <v>2027</v>
      </c>
      <c r="D593" s="31" t="s">
        <v>456</v>
      </c>
      <c r="E593" s="31">
        <v>8</v>
      </c>
      <c r="F593" s="31" t="s">
        <v>471</v>
      </c>
      <c r="G593" s="19">
        <v>46600</v>
      </c>
    </row>
    <row r="594" spans="1:7" x14ac:dyDescent="0.35">
      <c r="A594" s="19">
        <v>46615</v>
      </c>
      <c r="B594" s="31">
        <v>20270816</v>
      </c>
      <c r="C594" s="31">
        <v>2027</v>
      </c>
      <c r="D594" s="31" t="s">
        <v>456</v>
      </c>
      <c r="E594" s="31">
        <v>8</v>
      </c>
      <c r="F594" s="31" t="s">
        <v>471</v>
      </c>
      <c r="G594" s="19">
        <v>46600</v>
      </c>
    </row>
    <row r="595" spans="1:7" x14ac:dyDescent="0.35">
      <c r="A595" s="19">
        <v>46616</v>
      </c>
      <c r="B595" s="31">
        <v>20270817</v>
      </c>
      <c r="C595" s="31">
        <v>2027</v>
      </c>
      <c r="D595" s="31" t="s">
        <v>456</v>
      </c>
      <c r="E595" s="31">
        <v>8</v>
      </c>
      <c r="F595" s="31" t="s">
        <v>471</v>
      </c>
      <c r="G595" s="19">
        <v>46600</v>
      </c>
    </row>
    <row r="596" spans="1:7" x14ac:dyDescent="0.35">
      <c r="A596" s="19">
        <v>46617</v>
      </c>
      <c r="B596" s="31">
        <v>20270818</v>
      </c>
      <c r="C596" s="31">
        <v>2027</v>
      </c>
      <c r="D596" s="31" t="s">
        <v>456</v>
      </c>
      <c r="E596" s="31">
        <v>8</v>
      </c>
      <c r="F596" s="31" t="s">
        <v>471</v>
      </c>
      <c r="G596" s="19">
        <v>46600</v>
      </c>
    </row>
    <row r="597" spans="1:7" x14ac:dyDescent="0.35">
      <c r="A597" s="19">
        <v>46618</v>
      </c>
      <c r="B597" s="31">
        <v>20270819</v>
      </c>
      <c r="C597" s="31">
        <v>2027</v>
      </c>
      <c r="D597" s="31" t="s">
        <v>456</v>
      </c>
      <c r="E597" s="31">
        <v>8</v>
      </c>
      <c r="F597" s="31" t="s">
        <v>471</v>
      </c>
      <c r="G597" s="19">
        <v>46600</v>
      </c>
    </row>
    <row r="598" spans="1:7" x14ac:dyDescent="0.35">
      <c r="A598" s="19">
        <v>46619</v>
      </c>
      <c r="B598" s="31">
        <v>20270820</v>
      </c>
      <c r="C598" s="31">
        <v>2027</v>
      </c>
      <c r="D598" s="31" t="s">
        <v>456</v>
      </c>
      <c r="E598" s="31">
        <v>8</v>
      </c>
      <c r="F598" s="31" t="s">
        <v>471</v>
      </c>
      <c r="G598" s="19">
        <v>46600</v>
      </c>
    </row>
    <row r="599" spans="1:7" x14ac:dyDescent="0.35">
      <c r="A599" s="19">
        <v>46620</v>
      </c>
      <c r="B599" s="31">
        <v>20270821</v>
      </c>
      <c r="C599" s="31">
        <v>2027</v>
      </c>
      <c r="D599" s="31" t="s">
        <v>456</v>
      </c>
      <c r="E599" s="31">
        <v>8</v>
      </c>
      <c r="F599" s="31" t="s">
        <v>471</v>
      </c>
      <c r="G599" s="19">
        <v>46600</v>
      </c>
    </row>
    <row r="600" spans="1:7" x14ac:dyDescent="0.35">
      <c r="A600" s="19">
        <v>46621</v>
      </c>
      <c r="B600" s="31">
        <v>20270822</v>
      </c>
      <c r="C600" s="31">
        <v>2027</v>
      </c>
      <c r="D600" s="31" t="s">
        <v>456</v>
      </c>
      <c r="E600" s="31">
        <v>8</v>
      </c>
      <c r="F600" s="31" t="s">
        <v>471</v>
      </c>
      <c r="G600" s="19">
        <v>46600</v>
      </c>
    </row>
    <row r="601" spans="1:7" x14ac:dyDescent="0.35">
      <c r="A601" s="19">
        <v>46622</v>
      </c>
      <c r="B601" s="31">
        <v>20270823</v>
      </c>
      <c r="C601" s="31">
        <v>2027</v>
      </c>
      <c r="D601" s="31" t="s">
        <v>456</v>
      </c>
      <c r="E601" s="31">
        <v>8</v>
      </c>
      <c r="F601" s="31" t="s">
        <v>471</v>
      </c>
      <c r="G601" s="19">
        <v>46600</v>
      </c>
    </row>
    <row r="602" spans="1:7" x14ac:dyDescent="0.35">
      <c r="A602" s="19">
        <v>46623</v>
      </c>
      <c r="B602" s="31">
        <v>20270824</v>
      </c>
      <c r="C602" s="31">
        <v>2027</v>
      </c>
      <c r="D602" s="31" t="s">
        <v>456</v>
      </c>
      <c r="E602" s="31">
        <v>8</v>
      </c>
      <c r="F602" s="31" t="s">
        <v>471</v>
      </c>
      <c r="G602" s="19">
        <v>46600</v>
      </c>
    </row>
    <row r="603" spans="1:7" x14ac:dyDescent="0.35">
      <c r="A603" s="19">
        <v>46624</v>
      </c>
      <c r="B603" s="31">
        <v>20270825</v>
      </c>
      <c r="C603" s="31">
        <v>2027</v>
      </c>
      <c r="D603" s="31" t="s">
        <v>456</v>
      </c>
      <c r="E603" s="31">
        <v>8</v>
      </c>
      <c r="F603" s="31" t="s">
        <v>471</v>
      </c>
      <c r="G603" s="19">
        <v>46600</v>
      </c>
    </row>
    <row r="604" spans="1:7" x14ac:dyDescent="0.35">
      <c r="A604" s="19">
        <v>46625</v>
      </c>
      <c r="B604" s="31">
        <v>20270826</v>
      </c>
      <c r="C604" s="31">
        <v>2027</v>
      </c>
      <c r="D604" s="31" t="s">
        <v>456</v>
      </c>
      <c r="E604" s="31">
        <v>8</v>
      </c>
      <c r="F604" s="31" t="s">
        <v>471</v>
      </c>
      <c r="G604" s="19">
        <v>46600</v>
      </c>
    </row>
    <row r="605" spans="1:7" x14ac:dyDescent="0.35">
      <c r="A605" s="19">
        <v>46626</v>
      </c>
      <c r="B605" s="31">
        <v>20270827</v>
      </c>
      <c r="C605" s="31">
        <v>2027</v>
      </c>
      <c r="D605" s="31" t="s">
        <v>456</v>
      </c>
      <c r="E605" s="31">
        <v>8</v>
      </c>
      <c r="F605" s="31" t="s">
        <v>471</v>
      </c>
      <c r="G605" s="19">
        <v>46600</v>
      </c>
    </row>
    <row r="606" spans="1:7" x14ac:dyDescent="0.35">
      <c r="A606" s="19">
        <v>46627</v>
      </c>
      <c r="B606" s="31">
        <v>20270828</v>
      </c>
      <c r="C606" s="31">
        <v>2027</v>
      </c>
      <c r="D606" s="31" t="s">
        <v>456</v>
      </c>
      <c r="E606" s="31">
        <v>8</v>
      </c>
      <c r="F606" s="31" t="s">
        <v>471</v>
      </c>
      <c r="G606" s="19">
        <v>46600</v>
      </c>
    </row>
    <row r="607" spans="1:7" x14ac:dyDescent="0.35">
      <c r="A607" s="19">
        <v>46628</v>
      </c>
      <c r="B607" s="31">
        <v>20270829</v>
      </c>
      <c r="C607" s="31">
        <v>2027</v>
      </c>
      <c r="D607" s="31" t="s">
        <v>456</v>
      </c>
      <c r="E607" s="31">
        <v>8</v>
      </c>
      <c r="F607" s="31" t="s">
        <v>471</v>
      </c>
      <c r="G607" s="19">
        <v>46600</v>
      </c>
    </row>
    <row r="608" spans="1:7" x14ac:dyDescent="0.35">
      <c r="A608" s="19">
        <v>46629</v>
      </c>
      <c r="B608" s="31">
        <v>20270830</v>
      </c>
      <c r="C608" s="31">
        <v>2027</v>
      </c>
      <c r="D608" s="31" t="s">
        <v>456</v>
      </c>
      <c r="E608" s="31">
        <v>8</v>
      </c>
      <c r="F608" s="31" t="s">
        <v>471</v>
      </c>
      <c r="G608" s="19">
        <v>46600</v>
      </c>
    </row>
    <row r="609" spans="1:7" x14ac:dyDescent="0.35">
      <c r="A609" s="19">
        <v>46630</v>
      </c>
      <c r="B609" s="31">
        <v>20270831</v>
      </c>
      <c r="C609" s="31">
        <v>2027</v>
      </c>
      <c r="D609" s="31" t="s">
        <v>456</v>
      </c>
      <c r="E609" s="31">
        <v>8</v>
      </c>
      <c r="F609" s="31" t="s">
        <v>471</v>
      </c>
      <c r="G609" s="19">
        <v>46600</v>
      </c>
    </row>
    <row r="610" spans="1:7" x14ac:dyDescent="0.35">
      <c r="A610" s="19">
        <v>46631</v>
      </c>
      <c r="B610" s="31">
        <v>20270901</v>
      </c>
      <c r="C610" s="31">
        <v>2027</v>
      </c>
      <c r="D610" s="31" t="s">
        <v>456</v>
      </c>
      <c r="E610" s="31">
        <v>9</v>
      </c>
      <c r="F610" s="31" t="s">
        <v>472</v>
      </c>
      <c r="G610" s="19">
        <v>46631</v>
      </c>
    </row>
    <row r="611" spans="1:7" x14ac:dyDescent="0.35">
      <c r="A611" s="19">
        <v>46632</v>
      </c>
      <c r="B611" s="31">
        <v>20270902</v>
      </c>
      <c r="C611" s="31">
        <v>2027</v>
      </c>
      <c r="D611" s="31" t="s">
        <v>456</v>
      </c>
      <c r="E611" s="31">
        <v>9</v>
      </c>
      <c r="F611" s="31" t="s">
        <v>472</v>
      </c>
      <c r="G611" s="19">
        <v>46631</v>
      </c>
    </row>
    <row r="612" spans="1:7" x14ac:dyDescent="0.35">
      <c r="A612" s="19">
        <v>46633</v>
      </c>
      <c r="B612" s="31">
        <v>20270903</v>
      </c>
      <c r="C612" s="31">
        <v>2027</v>
      </c>
      <c r="D612" s="31" t="s">
        <v>456</v>
      </c>
      <c r="E612" s="31">
        <v>9</v>
      </c>
      <c r="F612" s="31" t="s">
        <v>472</v>
      </c>
      <c r="G612" s="19">
        <v>46631</v>
      </c>
    </row>
    <row r="613" spans="1:7" x14ac:dyDescent="0.35">
      <c r="A613" s="19">
        <v>46634</v>
      </c>
      <c r="B613" s="31">
        <v>20270904</v>
      </c>
      <c r="C613" s="31">
        <v>2027</v>
      </c>
      <c r="D613" s="31" t="s">
        <v>456</v>
      </c>
      <c r="E613" s="31">
        <v>9</v>
      </c>
      <c r="F613" s="31" t="s">
        <v>472</v>
      </c>
      <c r="G613" s="19">
        <v>46631</v>
      </c>
    </row>
    <row r="614" spans="1:7" x14ac:dyDescent="0.35">
      <c r="A614" s="19">
        <v>46635</v>
      </c>
      <c r="B614" s="31">
        <v>20270905</v>
      </c>
      <c r="C614" s="31">
        <v>2027</v>
      </c>
      <c r="D614" s="31" t="s">
        <v>456</v>
      </c>
      <c r="E614" s="31">
        <v>9</v>
      </c>
      <c r="F614" s="31" t="s">
        <v>472</v>
      </c>
      <c r="G614" s="19">
        <v>46631</v>
      </c>
    </row>
    <row r="615" spans="1:7" x14ac:dyDescent="0.35">
      <c r="A615" s="19">
        <v>46636</v>
      </c>
      <c r="B615" s="31">
        <v>20270906</v>
      </c>
      <c r="C615" s="31">
        <v>2027</v>
      </c>
      <c r="D615" s="31" t="s">
        <v>456</v>
      </c>
      <c r="E615" s="31">
        <v>9</v>
      </c>
      <c r="F615" s="31" t="s">
        <v>472</v>
      </c>
      <c r="G615" s="19">
        <v>46631</v>
      </c>
    </row>
    <row r="616" spans="1:7" x14ac:dyDescent="0.35">
      <c r="A616" s="19">
        <v>46637</v>
      </c>
      <c r="B616" s="31">
        <v>20270907</v>
      </c>
      <c r="C616" s="31">
        <v>2027</v>
      </c>
      <c r="D616" s="31" t="s">
        <v>456</v>
      </c>
      <c r="E616" s="31">
        <v>9</v>
      </c>
      <c r="F616" s="31" t="s">
        <v>472</v>
      </c>
      <c r="G616" s="19">
        <v>46631</v>
      </c>
    </row>
    <row r="617" spans="1:7" x14ac:dyDescent="0.35">
      <c r="A617" s="19">
        <v>46638</v>
      </c>
      <c r="B617" s="31">
        <v>20270908</v>
      </c>
      <c r="C617" s="31">
        <v>2027</v>
      </c>
      <c r="D617" s="31" t="s">
        <v>456</v>
      </c>
      <c r="E617" s="31">
        <v>9</v>
      </c>
      <c r="F617" s="31" t="s">
        <v>472</v>
      </c>
      <c r="G617" s="19">
        <v>46631</v>
      </c>
    </row>
    <row r="618" spans="1:7" x14ac:dyDescent="0.35">
      <c r="A618" s="19">
        <v>46639</v>
      </c>
      <c r="B618" s="31">
        <v>20270909</v>
      </c>
      <c r="C618" s="31">
        <v>2027</v>
      </c>
      <c r="D618" s="31" t="s">
        <v>456</v>
      </c>
      <c r="E618" s="31">
        <v>9</v>
      </c>
      <c r="F618" s="31" t="s">
        <v>472</v>
      </c>
      <c r="G618" s="19">
        <v>46631</v>
      </c>
    </row>
    <row r="619" spans="1:7" x14ac:dyDescent="0.35">
      <c r="A619" s="19">
        <v>46640</v>
      </c>
      <c r="B619" s="31">
        <v>20270910</v>
      </c>
      <c r="C619" s="31">
        <v>2027</v>
      </c>
      <c r="D619" s="31" t="s">
        <v>456</v>
      </c>
      <c r="E619" s="31">
        <v>9</v>
      </c>
      <c r="F619" s="31" t="s">
        <v>472</v>
      </c>
      <c r="G619" s="19">
        <v>46631</v>
      </c>
    </row>
    <row r="620" spans="1:7" x14ac:dyDescent="0.35">
      <c r="A620" s="19">
        <v>46641</v>
      </c>
      <c r="B620" s="31">
        <v>20270911</v>
      </c>
      <c r="C620" s="31">
        <v>2027</v>
      </c>
      <c r="D620" s="31" t="s">
        <v>456</v>
      </c>
      <c r="E620" s="31">
        <v>9</v>
      </c>
      <c r="F620" s="31" t="s">
        <v>472</v>
      </c>
      <c r="G620" s="19">
        <v>46631</v>
      </c>
    </row>
    <row r="621" spans="1:7" x14ac:dyDescent="0.35">
      <c r="A621" s="19">
        <v>46642</v>
      </c>
      <c r="B621" s="31">
        <v>20270912</v>
      </c>
      <c r="C621" s="31">
        <v>2027</v>
      </c>
      <c r="D621" s="31" t="s">
        <v>456</v>
      </c>
      <c r="E621" s="31">
        <v>9</v>
      </c>
      <c r="F621" s="31" t="s">
        <v>472</v>
      </c>
      <c r="G621" s="19">
        <v>46631</v>
      </c>
    </row>
    <row r="622" spans="1:7" x14ac:dyDescent="0.35">
      <c r="A622" s="19">
        <v>46643</v>
      </c>
      <c r="B622" s="31">
        <v>20270913</v>
      </c>
      <c r="C622" s="31">
        <v>2027</v>
      </c>
      <c r="D622" s="31" t="s">
        <v>456</v>
      </c>
      <c r="E622" s="31">
        <v>9</v>
      </c>
      <c r="F622" s="31" t="s">
        <v>472</v>
      </c>
      <c r="G622" s="19">
        <v>46631</v>
      </c>
    </row>
    <row r="623" spans="1:7" x14ac:dyDescent="0.35">
      <c r="A623" s="19">
        <v>46644</v>
      </c>
      <c r="B623" s="31">
        <v>20270914</v>
      </c>
      <c r="C623" s="31">
        <v>2027</v>
      </c>
      <c r="D623" s="31" t="s">
        <v>456</v>
      </c>
      <c r="E623" s="31">
        <v>9</v>
      </c>
      <c r="F623" s="31" t="s">
        <v>472</v>
      </c>
      <c r="G623" s="19">
        <v>46631</v>
      </c>
    </row>
    <row r="624" spans="1:7" x14ac:dyDescent="0.35">
      <c r="A624" s="19">
        <v>46645</v>
      </c>
      <c r="B624" s="31">
        <v>20270915</v>
      </c>
      <c r="C624" s="31">
        <v>2027</v>
      </c>
      <c r="D624" s="31" t="s">
        <v>456</v>
      </c>
      <c r="E624" s="31">
        <v>9</v>
      </c>
      <c r="F624" s="31" t="s">
        <v>472</v>
      </c>
      <c r="G624" s="19">
        <v>46631</v>
      </c>
    </row>
    <row r="625" spans="1:7" x14ac:dyDescent="0.35">
      <c r="A625" s="19">
        <v>46646</v>
      </c>
      <c r="B625" s="31">
        <v>20270916</v>
      </c>
      <c r="C625" s="31">
        <v>2027</v>
      </c>
      <c r="D625" s="31" t="s">
        <v>456</v>
      </c>
      <c r="E625" s="31">
        <v>9</v>
      </c>
      <c r="F625" s="31" t="s">
        <v>472</v>
      </c>
      <c r="G625" s="19">
        <v>46631</v>
      </c>
    </row>
    <row r="626" spans="1:7" x14ac:dyDescent="0.35">
      <c r="A626" s="19">
        <v>46647</v>
      </c>
      <c r="B626" s="31">
        <v>20270917</v>
      </c>
      <c r="C626" s="31">
        <v>2027</v>
      </c>
      <c r="D626" s="31" t="s">
        <v>456</v>
      </c>
      <c r="E626" s="31">
        <v>9</v>
      </c>
      <c r="F626" s="31" t="s">
        <v>472</v>
      </c>
      <c r="G626" s="19">
        <v>46631</v>
      </c>
    </row>
    <row r="627" spans="1:7" x14ac:dyDescent="0.35">
      <c r="A627" s="19">
        <v>46648</v>
      </c>
      <c r="B627" s="31">
        <v>20270918</v>
      </c>
      <c r="C627" s="31">
        <v>2027</v>
      </c>
      <c r="D627" s="31" t="s">
        <v>456</v>
      </c>
      <c r="E627" s="31">
        <v>9</v>
      </c>
      <c r="F627" s="31" t="s">
        <v>472</v>
      </c>
      <c r="G627" s="19">
        <v>46631</v>
      </c>
    </row>
    <row r="628" spans="1:7" x14ac:dyDescent="0.35">
      <c r="A628" s="19">
        <v>46649</v>
      </c>
      <c r="B628" s="31">
        <v>20270919</v>
      </c>
      <c r="C628" s="31">
        <v>2027</v>
      </c>
      <c r="D628" s="31" t="s">
        <v>456</v>
      </c>
      <c r="E628" s="31">
        <v>9</v>
      </c>
      <c r="F628" s="31" t="s">
        <v>472</v>
      </c>
      <c r="G628" s="19">
        <v>46631</v>
      </c>
    </row>
    <row r="629" spans="1:7" x14ac:dyDescent="0.35">
      <c r="A629" s="19">
        <v>46650</v>
      </c>
      <c r="B629" s="31">
        <v>20270920</v>
      </c>
      <c r="C629" s="31">
        <v>2027</v>
      </c>
      <c r="D629" s="31" t="s">
        <v>456</v>
      </c>
      <c r="E629" s="31">
        <v>9</v>
      </c>
      <c r="F629" s="31" t="s">
        <v>472</v>
      </c>
      <c r="G629" s="19">
        <v>46631</v>
      </c>
    </row>
    <row r="630" spans="1:7" x14ac:dyDescent="0.35">
      <c r="A630" s="19">
        <v>46651</v>
      </c>
      <c r="B630" s="31">
        <v>20270921</v>
      </c>
      <c r="C630" s="31">
        <v>2027</v>
      </c>
      <c r="D630" s="31" t="s">
        <v>456</v>
      </c>
      <c r="E630" s="31">
        <v>9</v>
      </c>
      <c r="F630" s="31" t="s">
        <v>472</v>
      </c>
      <c r="G630" s="19">
        <v>46631</v>
      </c>
    </row>
    <row r="631" spans="1:7" x14ac:dyDescent="0.35">
      <c r="A631" s="19">
        <v>46652</v>
      </c>
      <c r="B631" s="31">
        <v>20270922</v>
      </c>
      <c r="C631" s="31">
        <v>2027</v>
      </c>
      <c r="D631" s="31" t="s">
        <v>456</v>
      </c>
      <c r="E631" s="31">
        <v>9</v>
      </c>
      <c r="F631" s="31" t="s">
        <v>472</v>
      </c>
      <c r="G631" s="19">
        <v>46631</v>
      </c>
    </row>
    <row r="632" spans="1:7" x14ac:dyDescent="0.35">
      <c r="A632" s="19">
        <v>46653</v>
      </c>
      <c r="B632" s="31">
        <v>20270923</v>
      </c>
      <c r="C632" s="31">
        <v>2027</v>
      </c>
      <c r="D632" s="31" t="s">
        <v>456</v>
      </c>
      <c r="E632" s="31">
        <v>9</v>
      </c>
      <c r="F632" s="31" t="s">
        <v>472</v>
      </c>
      <c r="G632" s="19">
        <v>46631</v>
      </c>
    </row>
    <row r="633" spans="1:7" x14ac:dyDescent="0.35">
      <c r="A633" s="19">
        <v>46654</v>
      </c>
      <c r="B633" s="31">
        <v>20270924</v>
      </c>
      <c r="C633" s="31">
        <v>2027</v>
      </c>
      <c r="D633" s="31" t="s">
        <v>456</v>
      </c>
      <c r="E633" s="31">
        <v>9</v>
      </c>
      <c r="F633" s="31" t="s">
        <v>472</v>
      </c>
      <c r="G633" s="19">
        <v>46631</v>
      </c>
    </row>
    <row r="634" spans="1:7" x14ac:dyDescent="0.35">
      <c r="A634" s="19">
        <v>46655</v>
      </c>
      <c r="B634" s="31">
        <v>20270925</v>
      </c>
      <c r="C634" s="31">
        <v>2027</v>
      </c>
      <c r="D634" s="31" t="s">
        <v>456</v>
      </c>
      <c r="E634" s="31">
        <v>9</v>
      </c>
      <c r="F634" s="31" t="s">
        <v>472</v>
      </c>
      <c r="G634" s="19">
        <v>46631</v>
      </c>
    </row>
    <row r="635" spans="1:7" x14ac:dyDescent="0.35">
      <c r="A635" s="19">
        <v>46656</v>
      </c>
      <c r="B635" s="31">
        <v>20270926</v>
      </c>
      <c r="C635" s="31">
        <v>2027</v>
      </c>
      <c r="D635" s="31" t="s">
        <v>456</v>
      </c>
      <c r="E635" s="31">
        <v>9</v>
      </c>
      <c r="F635" s="31" t="s">
        <v>472</v>
      </c>
      <c r="G635" s="19">
        <v>46631</v>
      </c>
    </row>
    <row r="636" spans="1:7" x14ac:dyDescent="0.35">
      <c r="A636" s="19">
        <v>46657</v>
      </c>
      <c r="B636" s="31">
        <v>20270927</v>
      </c>
      <c r="C636" s="31">
        <v>2027</v>
      </c>
      <c r="D636" s="31" t="s">
        <v>456</v>
      </c>
      <c r="E636" s="31">
        <v>9</v>
      </c>
      <c r="F636" s="31" t="s">
        <v>472</v>
      </c>
      <c r="G636" s="19">
        <v>46631</v>
      </c>
    </row>
    <row r="637" spans="1:7" x14ac:dyDescent="0.35">
      <c r="A637" s="19">
        <v>46658</v>
      </c>
      <c r="B637" s="31">
        <v>20270928</v>
      </c>
      <c r="C637" s="31">
        <v>2027</v>
      </c>
      <c r="D637" s="31" t="s">
        <v>456</v>
      </c>
      <c r="E637" s="31">
        <v>9</v>
      </c>
      <c r="F637" s="31" t="s">
        <v>472</v>
      </c>
      <c r="G637" s="19">
        <v>46631</v>
      </c>
    </row>
    <row r="638" spans="1:7" x14ac:dyDescent="0.35">
      <c r="A638" s="19">
        <v>46659</v>
      </c>
      <c r="B638" s="31">
        <v>20270929</v>
      </c>
      <c r="C638" s="31">
        <v>2027</v>
      </c>
      <c r="D638" s="31" t="s">
        <v>456</v>
      </c>
      <c r="E638" s="31">
        <v>9</v>
      </c>
      <c r="F638" s="31" t="s">
        <v>472</v>
      </c>
      <c r="G638" s="19">
        <v>46631</v>
      </c>
    </row>
    <row r="639" spans="1:7" x14ac:dyDescent="0.35">
      <c r="A639" s="19">
        <v>46660</v>
      </c>
      <c r="B639" s="31">
        <v>20270930</v>
      </c>
      <c r="C639" s="31">
        <v>2027</v>
      </c>
      <c r="D639" s="31" t="s">
        <v>456</v>
      </c>
      <c r="E639" s="31">
        <v>9</v>
      </c>
      <c r="F639" s="31" t="s">
        <v>472</v>
      </c>
      <c r="G639" s="19">
        <v>46631</v>
      </c>
    </row>
    <row r="640" spans="1:7" x14ac:dyDescent="0.35">
      <c r="A640" s="19">
        <v>46661</v>
      </c>
      <c r="B640" s="31">
        <v>20271001</v>
      </c>
      <c r="C640" s="31">
        <v>2027</v>
      </c>
      <c r="D640" s="31" t="s">
        <v>460</v>
      </c>
      <c r="E640" s="31">
        <v>10</v>
      </c>
      <c r="F640" s="31" t="s">
        <v>473</v>
      </c>
      <c r="G640" s="19">
        <v>46661</v>
      </c>
    </row>
    <row r="641" spans="1:7" x14ac:dyDescent="0.35">
      <c r="A641" s="19">
        <v>46662</v>
      </c>
      <c r="B641" s="31">
        <v>20271002</v>
      </c>
      <c r="C641" s="31">
        <v>2027</v>
      </c>
      <c r="D641" s="31" t="s">
        <v>460</v>
      </c>
      <c r="E641" s="31">
        <v>10</v>
      </c>
      <c r="F641" s="31" t="s">
        <v>473</v>
      </c>
      <c r="G641" s="19">
        <v>46661</v>
      </c>
    </row>
    <row r="642" spans="1:7" x14ac:dyDescent="0.35">
      <c r="A642" s="19">
        <v>46663</v>
      </c>
      <c r="B642" s="31">
        <v>20271003</v>
      </c>
      <c r="C642" s="31">
        <v>2027</v>
      </c>
      <c r="D642" s="31" t="s">
        <v>460</v>
      </c>
      <c r="E642" s="31">
        <v>10</v>
      </c>
      <c r="F642" s="31" t="s">
        <v>473</v>
      </c>
      <c r="G642" s="19">
        <v>46661</v>
      </c>
    </row>
    <row r="643" spans="1:7" x14ac:dyDescent="0.35">
      <c r="A643" s="19">
        <v>46664</v>
      </c>
      <c r="B643" s="31">
        <v>20271004</v>
      </c>
      <c r="C643" s="31">
        <v>2027</v>
      </c>
      <c r="D643" s="31" t="s">
        <v>460</v>
      </c>
      <c r="E643" s="31">
        <v>10</v>
      </c>
      <c r="F643" s="31" t="s">
        <v>473</v>
      </c>
      <c r="G643" s="19">
        <v>46661</v>
      </c>
    </row>
    <row r="644" spans="1:7" x14ac:dyDescent="0.35">
      <c r="A644" s="19">
        <v>46665</v>
      </c>
      <c r="B644" s="31">
        <v>20271005</v>
      </c>
      <c r="C644" s="31">
        <v>2027</v>
      </c>
      <c r="D644" s="31" t="s">
        <v>460</v>
      </c>
      <c r="E644" s="31">
        <v>10</v>
      </c>
      <c r="F644" s="31" t="s">
        <v>473</v>
      </c>
      <c r="G644" s="19">
        <v>46661</v>
      </c>
    </row>
    <row r="645" spans="1:7" x14ac:dyDescent="0.35">
      <c r="A645" s="19">
        <v>46666</v>
      </c>
      <c r="B645" s="31">
        <v>20271006</v>
      </c>
      <c r="C645" s="31">
        <v>2027</v>
      </c>
      <c r="D645" s="31" t="s">
        <v>460</v>
      </c>
      <c r="E645" s="31">
        <v>10</v>
      </c>
      <c r="F645" s="31" t="s">
        <v>473</v>
      </c>
      <c r="G645" s="19">
        <v>46661</v>
      </c>
    </row>
    <row r="646" spans="1:7" x14ac:dyDescent="0.35">
      <c r="A646" s="19">
        <v>46667</v>
      </c>
      <c r="B646" s="31">
        <v>20271007</v>
      </c>
      <c r="C646" s="31">
        <v>2027</v>
      </c>
      <c r="D646" s="31" t="s">
        <v>460</v>
      </c>
      <c r="E646" s="31">
        <v>10</v>
      </c>
      <c r="F646" s="31" t="s">
        <v>473</v>
      </c>
      <c r="G646" s="19">
        <v>46661</v>
      </c>
    </row>
    <row r="647" spans="1:7" x14ac:dyDescent="0.35">
      <c r="A647" s="19">
        <v>46668</v>
      </c>
      <c r="B647" s="31">
        <v>20271008</v>
      </c>
      <c r="C647" s="31">
        <v>2027</v>
      </c>
      <c r="D647" s="31" t="s">
        <v>460</v>
      </c>
      <c r="E647" s="31">
        <v>10</v>
      </c>
      <c r="F647" s="31" t="s">
        <v>473</v>
      </c>
      <c r="G647" s="19">
        <v>46661</v>
      </c>
    </row>
    <row r="648" spans="1:7" x14ac:dyDescent="0.35">
      <c r="A648" s="19">
        <v>46669</v>
      </c>
      <c r="B648" s="31">
        <v>20271009</v>
      </c>
      <c r="C648" s="31">
        <v>2027</v>
      </c>
      <c r="D648" s="31" t="s">
        <v>460</v>
      </c>
      <c r="E648" s="31">
        <v>10</v>
      </c>
      <c r="F648" s="31" t="s">
        <v>473</v>
      </c>
      <c r="G648" s="19">
        <v>46661</v>
      </c>
    </row>
    <row r="649" spans="1:7" x14ac:dyDescent="0.35">
      <c r="A649" s="19">
        <v>46670</v>
      </c>
      <c r="B649" s="31">
        <v>20271010</v>
      </c>
      <c r="C649" s="31">
        <v>2027</v>
      </c>
      <c r="D649" s="31" t="s">
        <v>460</v>
      </c>
      <c r="E649" s="31">
        <v>10</v>
      </c>
      <c r="F649" s="31" t="s">
        <v>473</v>
      </c>
      <c r="G649" s="19">
        <v>46661</v>
      </c>
    </row>
    <row r="650" spans="1:7" x14ac:dyDescent="0.35">
      <c r="A650" s="19">
        <v>46671</v>
      </c>
      <c r="B650" s="31">
        <v>20271011</v>
      </c>
      <c r="C650" s="31">
        <v>2027</v>
      </c>
      <c r="D650" s="31" t="s">
        <v>460</v>
      </c>
      <c r="E650" s="31">
        <v>10</v>
      </c>
      <c r="F650" s="31" t="s">
        <v>473</v>
      </c>
      <c r="G650" s="19">
        <v>46661</v>
      </c>
    </row>
    <row r="651" spans="1:7" x14ac:dyDescent="0.35">
      <c r="A651" s="19">
        <v>46672</v>
      </c>
      <c r="B651" s="31">
        <v>20271012</v>
      </c>
      <c r="C651" s="31">
        <v>2027</v>
      </c>
      <c r="D651" s="31" t="s">
        <v>460</v>
      </c>
      <c r="E651" s="31">
        <v>10</v>
      </c>
      <c r="F651" s="31" t="s">
        <v>473</v>
      </c>
      <c r="G651" s="19">
        <v>46661</v>
      </c>
    </row>
    <row r="652" spans="1:7" x14ac:dyDescent="0.35">
      <c r="A652" s="19">
        <v>46673</v>
      </c>
      <c r="B652" s="31">
        <v>20271013</v>
      </c>
      <c r="C652" s="31">
        <v>2027</v>
      </c>
      <c r="D652" s="31" t="s">
        <v>460</v>
      </c>
      <c r="E652" s="31">
        <v>10</v>
      </c>
      <c r="F652" s="31" t="s">
        <v>473</v>
      </c>
      <c r="G652" s="19">
        <v>46661</v>
      </c>
    </row>
    <row r="653" spans="1:7" x14ac:dyDescent="0.35">
      <c r="A653" s="19">
        <v>46674</v>
      </c>
      <c r="B653" s="31">
        <v>20271014</v>
      </c>
      <c r="C653" s="31">
        <v>2027</v>
      </c>
      <c r="D653" s="31" t="s">
        <v>460</v>
      </c>
      <c r="E653" s="31">
        <v>10</v>
      </c>
      <c r="F653" s="31" t="s">
        <v>473</v>
      </c>
      <c r="G653" s="19">
        <v>46661</v>
      </c>
    </row>
    <row r="654" spans="1:7" x14ac:dyDescent="0.35">
      <c r="A654" s="19">
        <v>46675</v>
      </c>
      <c r="B654" s="31">
        <v>20271015</v>
      </c>
      <c r="C654" s="31">
        <v>2027</v>
      </c>
      <c r="D654" s="31" t="s">
        <v>460</v>
      </c>
      <c r="E654" s="31">
        <v>10</v>
      </c>
      <c r="F654" s="31" t="s">
        <v>473</v>
      </c>
      <c r="G654" s="19">
        <v>46661</v>
      </c>
    </row>
    <row r="655" spans="1:7" x14ac:dyDescent="0.35">
      <c r="A655" s="19">
        <v>46676</v>
      </c>
      <c r="B655" s="31">
        <v>20271016</v>
      </c>
      <c r="C655" s="31">
        <v>2027</v>
      </c>
      <c r="D655" s="31" t="s">
        <v>460</v>
      </c>
      <c r="E655" s="31">
        <v>10</v>
      </c>
      <c r="F655" s="31" t="s">
        <v>473</v>
      </c>
      <c r="G655" s="19">
        <v>46661</v>
      </c>
    </row>
    <row r="656" spans="1:7" x14ac:dyDescent="0.35">
      <c r="A656" s="19">
        <v>46677</v>
      </c>
      <c r="B656" s="31">
        <v>20271017</v>
      </c>
      <c r="C656" s="31">
        <v>2027</v>
      </c>
      <c r="D656" s="31" t="s">
        <v>460</v>
      </c>
      <c r="E656" s="31">
        <v>10</v>
      </c>
      <c r="F656" s="31" t="s">
        <v>473</v>
      </c>
      <c r="G656" s="19">
        <v>46661</v>
      </c>
    </row>
    <row r="657" spans="1:7" x14ac:dyDescent="0.35">
      <c r="A657" s="19">
        <v>46678</v>
      </c>
      <c r="B657" s="31">
        <v>20271018</v>
      </c>
      <c r="C657" s="31">
        <v>2027</v>
      </c>
      <c r="D657" s="31" t="s">
        <v>460</v>
      </c>
      <c r="E657" s="31">
        <v>10</v>
      </c>
      <c r="F657" s="31" t="s">
        <v>473</v>
      </c>
      <c r="G657" s="19">
        <v>46661</v>
      </c>
    </row>
    <row r="658" spans="1:7" x14ac:dyDescent="0.35">
      <c r="A658" s="19">
        <v>46679</v>
      </c>
      <c r="B658" s="31">
        <v>20271019</v>
      </c>
      <c r="C658" s="31">
        <v>2027</v>
      </c>
      <c r="D658" s="31" t="s">
        <v>460</v>
      </c>
      <c r="E658" s="31">
        <v>10</v>
      </c>
      <c r="F658" s="31" t="s">
        <v>473</v>
      </c>
      <c r="G658" s="19">
        <v>46661</v>
      </c>
    </row>
    <row r="659" spans="1:7" x14ac:dyDescent="0.35">
      <c r="A659" s="19">
        <v>46680</v>
      </c>
      <c r="B659" s="31">
        <v>20271020</v>
      </c>
      <c r="C659" s="31">
        <v>2027</v>
      </c>
      <c r="D659" s="31" t="s">
        <v>460</v>
      </c>
      <c r="E659" s="31">
        <v>10</v>
      </c>
      <c r="F659" s="31" t="s">
        <v>473</v>
      </c>
      <c r="G659" s="19">
        <v>46661</v>
      </c>
    </row>
    <row r="660" spans="1:7" x14ac:dyDescent="0.35">
      <c r="A660" s="19">
        <v>46681</v>
      </c>
      <c r="B660" s="31">
        <v>20271021</v>
      </c>
      <c r="C660" s="31">
        <v>2027</v>
      </c>
      <c r="D660" s="31" t="s">
        <v>460</v>
      </c>
      <c r="E660" s="31">
        <v>10</v>
      </c>
      <c r="F660" s="31" t="s">
        <v>473</v>
      </c>
      <c r="G660" s="19">
        <v>46661</v>
      </c>
    </row>
    <row r="661" spans="1:7" x14ac:dyDescent="0.35">
      <c r="A661" s="19">
        <v>46682</v>
      </c>
      <c r="B661" s="31">
        <v>20271022</v>
      </c>
      <c r="C661" s="31">
        <v>2027</v>
      </c>
      <c r="D661" s="31" t="s">
        <v>460</v>
      </c>
      <c r="E661" s="31">
        <v>10</v>
      </c>
      <c r="F661" s="31" t="s">
        <v>473</v>
      </c>
      <c r="G661" s="19">
        <v>46661</v>
      </c>
    </row>
    <row r="662" spans="1:7" x14ac:dyDescent="0.35">
      <c r="A662" s="19">
        <v>46683</v>
      </c>
      <c r="B662" s="31">
        <v>20271023</v>
      </c>
      <c r="C662" s="31">
        <v>2027</v>
      </c>
      <c r="D662" s="31" t="s">
        <v>460</v>
      </c>
      <c r="E662" s="31">
        <v>10</v>
      </c>
      <c r="F662" s="31" t="s">
        <v>473</v>
      </c>
      <c r="G662" s="19">
        <v>46661</v>
      </c>
    </row>
    <row r="663" spans="1:7" x14ac:dyDescent="0.35">
      <c r="A663" s="19">
        <v>46684</v>
      </c>
      <c r="B663" s="31">
        <v>20271024</v>
      </c>
      <c r="C663" s="31">
        <v>2027</v>
      </c>
      <c r="D663" s="31" t="s">
        <v>460</v>
      </c>
      <c r="E663" s="31">
        <v>10</v>
      </c>
      <c r="F663" s="31" t="s">
        <v>473</v>
      </c>
      <c r="G663" s="19">
        <v>46661</v>
      </c>
    </row>
    <row r="664" spans="1:7" x14ac:dyDescent="0.35">
      <c r="A664" s="19">
        <v>46685</v>
      </c>
      <c r="B664" s="31">
        <v>20271025</v>
      </c>
      <c r="C664" s="31">
        <v>2027</v>
      </c>
      <c r="D664" s="31" t="s">
        <v>460</v>
      </c>
      <c r="E664" s="31">
        <v>10</v>
      </c>
      <c r="F664" s="31" t="s">
        <v>473</v>
      </c>
      <c r="G664" s="19">
        <v>46661</v>
      </c>
    </row>
    <row r="665" spans="1:7" x14ac:dyDescent="0.35">
      <c r="A665" s="19">
        <v>46686</v>
      </c>
      <c r="B665" s="31">
        <v>20271026</v>
      </c>
      <c r="C665" s="31">
        <v>2027</v>
      </c>
      <c r="D665" s="31" t="s">
        <v>460</v>
      </c>
      <c r="E665" s="31">
        <v>10</v>
      </c>
      <c r="F665" s="31" t="s">
        <v>473</v>
      </c>
      <c r="G665" s="19">
        <v>46661</v>
      </c>
    </row>
    <row r="666" spans="1:7" x14ac:dyDescent="0.35">
      <c r="A666" s="19">
        <v>46687</v>
      </c>
      <c r="B666" s="31">
        <v>20271027</v>
      </c>
      <c r="C666" s="31">
        <v>2027</v>
      </c>
      <c r="D666" s="31" t="s">
        <v>460</v>
      </c>
      <c r="E666" s="31">
        <v>10</v>
      </c>
      <c r="F666" s="31" t="s">
        <v>473</v>
      </c>
      <c r="G666" s="19">
        <v>46661</v>
      </c>
    </row>
    <row r="667" spans="1:7" x14ac:dyDescent="0.35">
      <c r="A667" s="19">
        <v>46688</v>
      </c>
      <c r="B667" s="31">
        <v>20271028</v>
      </c>
      <c r="C667" s="31">
        <v>2027</v>
      </c>
      <c r="D667" s="31" t="s">
        <v>460</v>
      </c>
      <c r="E667" s="31">
        <v>10</v>
      </c>
      <c r="F667" s="31" t="s">
        <v>473</v>
      </c>
      <c r="G667" s="19">
        <v>46661</v>
      </c>
    </row>
    <row r="668" spans="1:7" x14ac:dyDescent="0.35">
      <c r="A668" s="19">
        <v>46689</v>
      </c>
      <c r="B668" s="31">
        <v>20271029</v>
      </c>
      <c r="C668" s="31">
        <v>2027</v>
      </c>
      <c r="D668" s="31" t="s">
        <v>460</v>
      </c>
      <c r="E668" s="31">
        <v>10</v>
      </c>
      <c r="F668" s="31" t="s">
        <v>473</v>
      </c>
      <c r="G668" s="19">
        <v>46661</v>
      </c>
    </row>
    <row r="669" spans="1:7" x14ac:dyDescent="0.35">
      <c r="A669" s="19">
        <v>46690</v>
      </c>
      <c r="B669" s="31">
        <v>20271030</v>
      </c>
      <c r="C669" s="31">
        <v>2027</v>
      </c>
      <c r="D669" s="31" t="s">
        <v>460</v>
      </c>
      <c r="E669" s="31">
        <v>10</v>
      </c>
      <c r="F669" s="31" t="s">
        <v>473</v>
      </c>
      <c r="G669" s="19">
        <v>46661</v>
      </c>
    </row>
    <row r="670" spans="1:7" x14ac:dyDescent="0.35">
      <c r="A670" s="19">
        <v>46691</v>
      </c>
      <c r="B670" s="31">
        <v>20271031</v>
      </c>
      <c r="C670" s="31">
        <v>2027</v>
      </c>
      <c r="D670" s="31" t="s">
        <v>460</v>
      </c>
      <c r="E670" s="31">
        <v>10</v>
      </c>
      <c r="F670" s="31" t="s">
        <v>473</v>
      </c>
      <c r="G670" s="19">
        <v>46661</v>
      </c>
    </row>
    <row r="671" spans="1:7" x14ac:dyDescent="0.35">
      <c r="A671" s="19">
        <v>46692</v>
      </c>
      <c r="B671" s="31">
        <v>20271101</v>
      </c>
      <c r="C671" s="31">
        <v>2027</v>
      </c>
      <c r="D671" s="31" t="s">
        <v>460</v>
      </c>
      <c r="E671" s="31">
        <v>11</v>
      </c>
      <c r="F671" s="31" t="s">
        <v>474</v>
      </c>
      <c r="G671" s="19">
        <v>46692</v>
      </c>
    </row>
    <row r="672" spans="1:7" x14ac:dyDescent="0.35">
      <c r="A672" s="19">
        <v>46693</v>
      </c>
      <c r="B672" s="31">
        <v>20271102</v>
      </c>
      <c r="C672" s="31">
        <v>2027</v>
      </c>
      <c r="D672" s="31" t="s">
        <v>460</v>
      </c>
      <c r="E672" s="31">
        <v>11</v>
      </c>
      <c r="F672" s="31" t="s">
        <v>474</v>
      </c>
      <c r="G672" s="19">
        <v>46692</v>
      </c>
    </row>
    <row r="673" spans="1:7" x14ac:dyDescent="0.35">
      <c r="A673" s="19">
        <v>46694</v>
      </c>
      <c r="B673" s="31">
        <v>20271103</v>
      </c>
      <c r="C673" s="31">
        <v>2027</v>
      </c>
      <c r="D673" s="31" t="s">
        <v>460</v>
      </c>
      <c r="E673" s="31">
        <v>11</v>
      </c>
      <c r="F673" s="31" t="s">
        <v>474</v>
      </c>
      <c r="G673" s="19">
        <v>46692</v>
      </c>
    </row>
    <row r="674" spans="1:7" x14ac:dyDescent="0.35">
      <c r="A674" s="19">
        <v>46695</v>
      </c>
      <c r="B674" s="31">
        <v>20271104</v>
      </c>
      <c r="C674" s="31">
        <v>2027</v>
      </c>
      <c r="D674" s="31" t="s">
        <v>460</v>
      </c>
      <c r="E674" s="31">
        <v>11</v>
      </c>
      <c r="F674" s="31" t="s">
        <v>474</v>
      </c>
      <c r="G674" s="19">
        <v>46692</v>
      </c>
    </row>
    <row r="675" spans="1:7" x14ac:dyDescent="0.35">
      <c r="A675" s="19">
        <v>46696</v>
      </c>
      <c r="B675" s="31">
        <v>20271105</v>
      </c>
      <c r="C675" s="31">
        <v>2027</v>
      </c>
      <c r="D675" s="31" t="s">
        <v>460</v>
      </c>
      <c r="E675" s="31">
        <v>11</v>
      </c>
      <c r="F675" s="31" t="s">
        <v>474</v>
      </c>
      <c r="G675" s="19">
        <v>46692</v>
      </c>
    </row>
    <row r="676" spans="1:7" x14ac:dyDescent="0.35">
      <c r="A676" s="19">
        <v>46697</v>
      </c>
      <c r="B676" s="31">
        <v>20271106</v>
      </c>
      <c r="C676" s="31">
        <v>2027</v>
      </c>
      <c r="D676" s="31" t="s">
        <v>460</v>
      </c>
      <c r="E676" s="31">
        <v>11</v>
      </c>
      <c r="F676" s="31" t="s">
        <v>474</v>
      </c>
      <c r="G676" s="19">
        <v>46692</v>
      </c>
    </row>
    <row r="677" spans="1:7" x14ac:dyDescent="0.35">
      <c r="A677" s="19">
        <v>46698</v>
      </c>
      <c r="B677" s="31">
        <v>20271107</v>
      </c>
      <c r="C677" s="31">
        <v>2027</v>
      </c>
      <c r="D677" s="31" t="s">
        <v>460</v>
      </c>
      <c r="E677" s="31">
        <v>11</v>
      </c>
      <c r="F677" s="31" t="s">
        <v>474</v>
      </c>
      <c r="G677" s="19">
        <v>46692</v>
      </c>
    </row>
    <row r="678" spans="1:7" x14ac:dyDescent="0.35">
      <c r="A678" s="19">
        <v>46699</v>
      </c>
      <c r="B678" s="31">
        <v>20271108</v>
      </c>
      <c r="C678" s="31">
        <v>2027</v>
      </c>
      <c r="D678" s="31" t="s">
        <v>460</v>
      </c>
      <c r="E678" s="31">
        <v>11</v>
      </c>
      <c r="F678" s="31" t="s">
        <v>474</v>
      </c>
      <c r="G678" s="19">
        <v>46692</v>
      </c>
    </row>
    <row r="679" spans="1:7" x14ac:dyDescent="0.35">
      <c r="A679" s="19">
        <v>46700</v>
      </c>
      <c r="B679" s="31">
        <v>20271109</v>
      </c>
      <c r="C679" s="31">
        <v>2027</v>
      </c>
      <c r="D679" s="31" t="s">
        <v>460</v>
      </c>
      <c r="E679" s="31">
        <v>11</v>
      </c>
      <c r="F679" s="31" t="s">
        <v>474</v>
      </c>
      <c r="G679" s="19">
        <v>46692</v>
      </c>
    </row>
    <row r="680" spans="1:7" x14ac:dyDescent="0.35">
      <c r="A680" s="19">
        <v>46701</v>
      </c>
      <c r="B680" s="31">
        <v>20271110</v>
      </c>
      <c r="C680" s="31">
        <v>2027</v>
      </c>
      <c r="D680" s="31" t="s">
        <v>460</v>
      </c>
      <c r="E680" s="31">
        <v>11</v>
      </c>
      <c r="F680" s="31" t="s">
        <v>474</v>
      </c>
      <c r="G680" s="19">
        <v>46692</v>
      </c>
    </row>
    <row r="681" spans="1:7" x14ac:dyDescent="0.35">
      <c r="A681" s="19">
        <v>46702</v>
      </c>
      <c r="B681" s="31">
        <v>20271111</v>
      </c>
      <c r="C681" s="31">
        <v>2027</v>
      </c>
      <c r="D681" s="31" t="s">
        <v>460</v>
      </c>
      <c r="E681" s="31">
        <v>11</v>
      </c>
      <c r="F681" s="31" t="s">
        <v>474</v>
      </c>
      <c r="G681" s="19">
        <v>46692</v>
      </c>
    </row>
    <row r="682" spans="1:7" x14ac:dyDescent="0.35">
      <c r="A682" s="19">
        <v>46703</v>
      </c>
      <c r="B682" s="31">
        <v>20271112</v>
      </c>
      <c r="C682" s="31">
        <v>2027</v>
      </c>
      <c r="D682" s="31" t="s">
        <v>460</v>
      </c>
      <c r="E682" s="31">
        <v>11</v>
      </c>
      <c r="F682" s="31" t="s">
        <v>474</v>
      </c>
      <c r="G682" s="19">
        <v>46692</v>
      </c>
    </row>
    <row r="683" spans="1:7" x14ac:dyDescent="0.35">
      <c r="A683" s="19">
        <v>46704</v>
      </c>
      <c r="B683" s="31">
        <v>20271113</v>
      </c>
      <c r="C683" s="31">
        <v>2027</v>
      </c>
      <c r="D683" s="31" t="s">
        <v>460</v>
      </c>
      <c r="E683" s="31">
        <v>11</v>
      </c>
      <c r="F683" s="31" t="s">
        <v>474</v>
      </c>
      <c r="G683" s="19">
        <v>46692</v>
      </c>
    </row>
    <row r="684" spans="1:7" x14ac:dyDescent="0.35">
      <c r="A684" s="19">
        <v>46705</v>
      </c>
      <c r="B684" s="31">
        <v>20271114</v>
      </c>
      <c r="C684" s="31">
        <v>2027</v>
      </c>
      <c r="D684" s="31" t="s">
        <v>460</v>
      </c>
      <c r="E684" s="31">
        <v>11</v>
      </c>
      <c r="F684" s="31" t="s">
        <v>474</v>
      </c>
      <c r="G684" s="19">
        <v>46692</v>
      </c>
    </row>
    <row r="685" spans="1:7" x14ac:dyDescent="0.35">
      <c r="A685" s="19">
        <v>46706</v>
      </c>
      <c r="B685" s="31">
        <v>20271115</v>
      </c>
      <c r="C685" s="31">
        <v>2027</v>
      </c>
      <c r="D685" s="31" t="s">
        <v>460</v>
      </c>
      <c r="E685" s="31">
        <v>11</v>
      </c>
      <c r="F685" s="31" t="s">
        <v>474</v>
      </c>
      <c r="G685" s="19">
        <v>46692</v>
      </c>
    </row>
    <row r="686" spans="1:7" x14ac:dyDescent="0.35">
      <c r="A686" s="19">
        <v>46707</v>
      </c>
      <c r="B686" s="31">
        <v>20271116</v>
      </c>
      <c r="C686" s="31">
        <v>2027</v>
      </c>
      <c r="D686" s="31" t="s">
        <v>460</v>
      </c>
      <c r="E686" s="31">
        <v>11</v>
      </c>
      <c r="F686" s="31" t="s">
        <v>474</v>
      </c>
      <c r="G686" s="19">
        <v>46692</v>
      </c>
    </row>
    <row r="687" spans="1:7" x14ac:dyDescent="0.35">
      <c r="A687" s="19">
        <v>46708</v>
      </c>
      <c r="B687" s="31">
        <v>20271117</v>
      </c>
      <c r="C687" s="31">
        <v>2027</v>
      </c>
      <c r="D687" s="31" t="s">
        <v>460</v>
      </c>
      <c r="E687" s="31">
        <v>11</v>
      </c>
      <c r="F687" s="31" t="s">
        <v>474</v>
      </c>
      <c r="G687" s="19">
        <v>46692</v>
      </c>
    </row>
    <row r="688" spans="1:7" x14ac:dyDescent="0.35">
      <c r="A688" s="19">
        <v>46709</v>
      </c>
      <c r="B688" s="31">
        <v>20271118</v>
      </c>
      <c r="C688" s="31">
        <v>2027</v>
      </c>
      <c r="D688" s="31" t="s">
        <v>460</v>
      </c>
      <c r="E688" s="31">
        <v>11</v>
      </c>
      <c r="F688" s="31" t="s">
        <v>474</v>
      </c>
      <c r="G688" s="19">
        <v>46692</v>
      </c>
    </row>
    <row r="689" spans="1:7" x14ac:dyDescent="0.35">
      <c r="A689" s="19">
        <v>46710</v>
      </c>
      <c r="B689" s="31">
        <v>20271119</v>
      </c>
      <c r="C689" s="31">
        <v>2027</v>
      </c>
      <c r="D689" s="31" t="s">
        <v>460</v>
      </c>
      <c r="E689" s="31">
        <v>11</v>
      </c>
      <c r="F689" s="31" t="s">
        <v>474</v>
      </c>
      <c r="G689" s="19">
        <v>46692</v>
      </c>
    </row>
    <row r="690" spans="1:7" x14ac:dyDescent="0.35">
      <c r="A690" s="19">
        <v>46711</v>
      </c>
      <c r="B690" s="31">
        <v>20271120</v>
      </c>
      <c r="C690" s="31">
        <v>2027</v>
      </c>
      <c r="D690" s="31" t="s">
        <v>460</v>
      </c>
      <c r="E690" s="31">
        <v>11</v>
      </c>
      <c r="F690" s="31" t="s">
        <v>474</v>
      </c>
      <c r="G690" s="19">
        <v>46692</v>
      </c>
    </row>
    <row r="691" spans="1:7" x14ac:dyDescent="0.35">
      <c r="A691" s="19">
        <v>46712</v>
      </c>
      <c r="B691" s="31">
        <v>20271121</v>
      </c>
      <c r="C691" s="31">
        <v>2027</v>
      </c>
      <c r="D691" s="31" t="s">
        <v>460</v>
      </c>
      <c r="E691" s="31">
        <v>11</v>
      </c>
      <c r="F691" s="31" t="s">
        <v>474</v>
      </c>
      <c r="G691" s="19">
        <v>46692</v>
      </c>
    </row>
    <row r="692" spans="1:7" x14ac:dyDescent="0.35">
      <c r="A692" s="19">
        <v>46713</v>
      </c>
      <c r="B692" s="31">
        <v>20271122</v>
      </c>
      <c r="C692" s="31">
        <v>2027</v>
      </c>
      <c r="D692" s="31" t="s">
        <v>460</v>
      </c>
      <c r="E692" s="31">
        <v>11</v>
      </c>
      <c r="F692" s="31" t="s">
        <v>474</v>
      </c>
      <c r="G692" s="19">
        <v>46692</v>
      </c>
    </row>
    <row r="693" spans="1:7" x14ac:dyDescent="0.35">
      <c r="A693" s="19">
        <v>46714</v>
      </c>
      <c r="B693" s="31">
        <v>20271123</v>
      </c>
      <c r="C693" s="31">
        <v>2027</v>
      </c>
      <c r="D693" s="31" t="s">
        <v>460</v>
      </c>
      <c r="E693" s="31">
        <v>11</v>
      </c>
      <c r="F693" s="31" t="s">
        <v>474</v>
      </c>
      <c r="G693" s="19">
        <v>46692</v>
      </c>
    </row>
    <row r="694" spans="1:7" x14ac:dyDescent="0.35">
      <c r="A694" s="19">
        <v>46715</v>
      </c>
      <c r="B694" s="31">
        <v>20271124</v>
      </c>
      <c r="C694" s="31">
        <v>2027</v>
      </c>
      <c r="D694" s="31" t="s">
        <v>460</v>
      </c>
      <c r="E694" s="31">
        <v>11</v>
      </c>
      <c r="F694" s="31" t="s">
        <v>474</v>
      </c>
      <c r="G694" s="19">
        <v>46692</v>
      </c>
    </row>
    <row r="695" spans="1:7" x14ac:dyDescent="0.35">
      <c r="A695" s="19">
        <v>46716</v>
      </c>
      <c r="B695" s="31">
        <v>20271125</v>
      </c>
      <c r="C695" s="31">
        <v>2027</v>
      </c>
      <c r="D695" s="31" t="s">
        <v>460</v>
      </c>
      <c r="E695" s="31">
        <v>11</v>
      </c>
      <c r="F695" s="31" t="s">
        <v>474</v>
      </c>
      <c r="G695" s="19">
        <v>46692</v>
      </c>
    </row>
    <row r="696" spans="1:7" x14ac:dyDescent="0.35">
      <c r="A696" s="19">
        <v>46717</v>
      </c>
      <c r="B696" s="31">
        <v>20271126</v>
      </c>
      <c r="C696" s="31">
        <v>2027</v>
      </c>
      <c r="D696" s="31" t="s">
        <v>460</v>
      </c>
      <c r="E696" s="31">
        <v>11</v>
      </c>
      <c r="F696" s="31" t="s">
        <v>474</v>
      </c>
      <c r="G696" s="19">
        <v>46692</v>
      </c>
    </row>
    <row r="697" spans="1:7" x14ac:dyDescent="0.35">
      <c r="A697" s="19">
        <v>46718</v>
      </c>
      <c r="B697" s="31">
        <v>20271127</v>
      </c>
      <c r="C697" s="31">
        <v>2027</v>
      </c>
      <c r="D697" s="31" t="s">
        <v>460</v>
      </c>
      <c r="E697" s="31">
        <v>11</v>
      </c>
      <c r="F697" s="31" t="s">
        <v>474</v>
      </c>
      <c r="G697" s="19">
        <v>46692</v>
      </c>
    </row>
    <row r="698" spans="1:7" x14ac:dyDescent="0.35">
      <c r="A698" s="19">
        <v>46719</v>
      </c>
      <c r="B698" s="31">
        <v>20271128</v>
      </c>
      <c r="C698" s="31">
        <v>2027</v>
      </c>
      <c r="D698" s="31" t="s">
        <v>460</v>
      </c>
      <c r="E698" s="31">
        <v>11</v>
      </c>
      <c r="F698" s="31" t="s">
        <v>474</v>
      </c>
      <c r="G698" s="19">
        <v>46692</v>
      </c>
    </row>
    <row r="699" spans="1:7" x14ac:dyDescent="0.35">
      <c r="A699" s="19">
        <v>46720</v>
      </c>
      <c r="B699" s="31">
        <v>20271129</v>
      </c>
      <c r="C699" s="31">
        <v>2027</v>
      </c>
      <c r="D699" s="31" t="s">
        <v>460</v>
      </c>
      <c r="E699" s="31">
        <v>11</v>
      </c>
      <c r="F699" s="31" t="s">
        <v>474</v>
      </c>
      <c r="G699" s="19">
        <v>46692</v>
      </c>
    </row>
    <row r="700" spans="1:7" x14ac:dyDescent="0.35">
      <c r="A700" s="19">
        <v>46721</v>
      </c>
      <c r="B700" s="31">
        <v>20271130</v>
      </c>
      <c r="C700" s="31">
        <v>2027</v>
      </c>
      <c r="D700" s="31" t="s">
        <v>460</v>
      </c>
      <c r="E700" s="31">
        <v>11</v>
      </c>
      <c r="F700" s="31" t="s">
        <v>474</v>
      </c>
      <c r="G700" s="19">
        <v>46692</v>
      </c>
    </row>
    <row r="701" spans="1:7" x14ac:dyDescent="0.35">
      <c r="A701" s="19">
        <v>46722</v>
      </c>
      <c r="B701" s="31">
        <v>20271201</v>
      </c>
      <c r="C701" s="31">
        <v>2027</v>
      </c>
      <c r="D701" s="31" t="s">
        <v>460</v>
      </c>
      <c r="E701" s="31">
        <v>12</v>
      </c>
      <c r="F701" s="31" t="s">
        <v>475</v>
      </c>
      <c r="G701" s="19">
        <v>46722</v>
      </c>
    </row>
    <row r="702" spans="1:7" x14ac:dyDescent="0.35">
      <c r="A702" s="19">
        <v>46723</v>
      </c>
      <c r="B702" s="31">
        <v>20271202</v>
      </c>
      <c r="C702" s="31">
        <v>2027</v>
      </c>
      <c r="D702" s="31" t="s">
        <v>460</v>
      </c>
      <c r="E702" s="31">
        <v>12</v>
      </c>
      <c r="F702" s="31" t="s">
        <v>475</v>
      </c>
      <c r="G702" s="19">
        <v>46722</v>
      </c>
    </row>
    <row r="703" spans="1:7" x14ac:dyDescent="0.35">
      <c r="A703" s="19">
        <v>46724</v>
      </c>
      <c r="B703" s="31">
        <v>20271203</v>
      </c>
      <c r="C703" s="31">
        <v>2027</v>
      </c>
      <c r="D703" s="31" t="s">
        <v>460</v>
      </c>
      <c r="E703" s="31">
        <v>12</v>
      </c>
      <c r="F703" s="31" t="s">
        <v>475</v>
      </c>
      <c r="G703" s="19">
        <v>46722</v>
      </c>
    </row>
    <row r="704" spans="1:7" x14ac:dyDescent="0.35">
      <c r="A704" s="19">
        <v>46725</v>
      </c>
      <c r="B704" s="31">
        <v>20271204</v>
      </c>
      <c r="C704" s="31">
        <v>2027</v>
      </c>
      <c r="D704" s="31" t="s">
        <v>460</v>
      </c>
      <c r="E704" s="31">
        <v>12</v>
      </c>
      <c r="F704" s="31" t="s">
        <v>475</v>
      </c>
      <c r="G704" s="19">
        <v>46722</v>
      </c>
    </row>
    <row r="705" spans="1:7" x14ac:dyDescent="0.35">
      <c r="A705" s="19">
        <v>46726</v>
      </c>
      <c r="B705" s="31">
        <v>20271205</v>
      </c>
      <c r="C705" s="31">
        <v>2027</v>
      </c>
      <c r="D705" s="31" t="s">
        <v>460</v>
      </c>
      <c r="E705" s="31">
        <v>12</v>
      </c>
      <c r="F705" s="31" t="s">
        <v>475</v>
      </c>
      <c r="G705" s="19">
        <v>46722</v>
      </c>
    </row>
    <row r="706" spans="1:7" x14ac:dyDescent="0.35">
      <c r="A706" s="19">
        <v>46727</v>
      </c>
      <c r="B706" s="31">
        <v>20271206</v>
      </c>
      <c r="C706" s="31">
        <v>2027</v>
      </c>
      <c r="D706" s="31" t="s">
        <v>460</v>
      </c>
      <c r="E706" s="31">
        <v>12</v>
      </c>
      <c r="F706" s="31" t="s">
        <v>475</v>
      </c>
      <c r="G706" s="19">
        <v>46722</v>
      </c>
    </row>
    <row r="707" spans="1:7" x14ac:dyDescent="0.35">
      <c r="A707" s="19">
        <v>46728</v>
      </c>
      <c r="B707" s="31">
        <v>20271207</v>
      </c>
      <c r="C707" s="31">
        <v>2027</v>
      </c>
      <c r="D707" s="31" t="s">
        <v>460</v>
      </c>
      <c r="E707" s="31">
        <v>12</v>
      </c>
      <c r="F707" s="31" t="s">
        <v>475</v>
      </c>
      <c r="G707" s="19">
        <v>46722</v>
      </c>
    </row>
    <row r="708" spans="1:7" x14ac:dyDescent="0.35">
      <c r="A708" s="19">
        <v>46729</v>
      </c>
      <c r="B708" s="31">
        <v>20271208</v>
      </c>
      <c r="C708" s="31">
        <v>2027</v>
      </c>
      <c r="D708" s="31" t="s">
        <v>460</v>
      </c>
      <c r="E708" s="31">
        <v>12</v>
      </c>
      <c r="F708" s="31" t="s">
        <v>475</v>
      </c>
      <c r="G708" s="19">
        <v>46722</v>
      </c>
    </row>
    <row r="709" spans="1:7" x14ac:dyDescent="0.35">
      <c r="A709" s="19">
        <v>46730</v>
      </c>
      <c r="B709" s="31">
        <v>20271209</v>
      </c>
      <c r="C709" s="31">
        <v>2027</v>
      </c>
      <c r="D709" s="31" t="s">
        <v>460</v>
      </c>
      <c r="E709" s="31">
        <v>12</v>
      </c>
      <c r="F709" s="31" t="s">
        <v>475</v>
      </c>
      <c r="G709" s="19">
        <v>46722</v>
      </c>
    </row>
    <row r="710" spans="1:7" x14ac:dyDescent="0.35">
      <c r="A710" s="19">
        <v>46731</v>
      </c>
      <c r="B710" s="31">
        <v>20271210</v>
      </c>
      <c r="C710" s="31">
        <v>2027</v>
      </c>
      <c r="D710" s="31" t="s">
        <v>460</v>
      </c>
      <c r="E710" s="31">
        <v>12</v>
      </c>
      <c r="F710" s="31" t="s">
        <v>475</v>
      </c>
      <c r="G710" s="19">
        <v>46722</v>
      </c>
    </row>
    <row r="711" spans="1:7" x14ac:dyDescent="0.35">
      <c r="A711" s="19">
        <v>46732</v>
      </c>
      <c r="B711" s="31">
        <v>20271211</v>
      </c>
      <c r="C711" s="31">
        <v>2027</v>
      </c>
      <c r="D711" s="31" t="s">
        <v>460</v>
      </c>
      <c r="E711" s="31">
        <v>12</v>
      </c>
      <c r="F711" s="31" t="s">
        <v>475</v>
      </c>
      <c r="G711" s="19">
        <v>46722</v>
      </c>
    </row>
    <row r="712" spans="1:7" x14ac:dyDescent="0.35">
      <c r="A712" s="19">
        <v>46733</v>
      </c>
      <c r="B712" s="31">
        <v>20271212</v>
      </c>
      <c r="C712" s="31">
        <v>2027</v>
      </c>
      <c r="D712" s="31" t="s">
        <v>460</v>
      </c>
      <c r="E712" s="31">
        <v>12</v>
      </c>
      <c r="F712" s="31" t="s">
        <v>475</v>
      </c>
      <c r="G712" s="19">
        <v>46722</v>
      </c>
    </row>
    <row r="713" spans="1:7" x14ac:dyDescent="0.35">
      <c r="A713" s="19">
        <v>46734</v>
      </c>
      <c r="B713" s="31">
        <v>20271213</v>
      </c>
      <c r="C713" s="31">
        <v>2027</v>
      </c>
      <c r="D713" s="31" t="s">
        <v>460</v>
      </c>
      <c r="E713" s="31">
        <v>12</v>
      </c>
      <c r="F713" s="31" t="s">
        <v>475</v>
      </c>
      <c r="G713" s="19">
        <v>46722</v>
      </c>
    </row>
    <row r="714" spans="1:7" x14ac:dyDescent="0.35">
      <c r="A714" s="19">
        <v>46735</v>
      </c>
      <c r="B714" s="31">
        <v>20271214</v>
      </c>
      <c r="C714" s="31">
        <v>2027</v>
      </c>
      <c r="D714" s="31" t="s">
        <v>460</v>
      </c>
      <c r="E714" s="31">
        <v>12</v>
      </c>
      <c r="F714" s="31" t="s">
        <v>475</v>
      </c>
      <c r="G714" s="19">
        <v>46722</v>
      </c>
    </row>
    <row r="715" spans="1:7" x14ac:dyDescent="0.35">
      <c r="A715" s="19">
        <v>46736</v>
      </c>
      <c r="B715" s="31">
        <v>20271215</v>
      </c>
      <c r="C715" s="31">
        <v>2027</v>
      </c>
      <c r="D715" s="31" t="s">
        <v>460</v>
      </c>
      <c r="E715" s="31">
        <v>12</v>
      </c>
      <c r="F715" s="31" t="s">
        <v>475</v>
      </c>
      <c r="G715" s="19">
        <v>46722</v>
      </c>
    </row>
    <row r="716" spans="1:7" x14ac:dyDescent="0.35">
      <c r="A716" s="19">
        <v>46737</v>
      </c>
      <c r="B716" s="31">
        <v>20271216</v>
      </c>
      <c r="C716" s="31">
        <v>2027</v>
      </c>
      <c r="D716" s="31" t="s">
        <v>460</v>
      </c>
      <c r="E716" s="31">
        <v>12</v>
      </c>
      <c r="F716" s="31" t="s">
        <v>475</v>
      </c>
      <c r="G716" s="19">
        <v>46722</v>
      </c>
    </row>
    <row r="717" spans="1:7" x14ac:dyDescent="0.35">
      <c r="A717" s="19">
        <v>46738</v>
      </c>
      <c r="B717" s="31">
        <v>20271217</v>
      </c>
      <c r="C717" s="31">
        <v>2027</v>
      </c>
      <c r="D717" s="31" t="s">
        <v>460</v>
      </c>
      <c r="E717" s="31">
        <v>12</v>
      </c>
      <c r="F717" s="31" t="s">
        <v>475</v>
      </c>
      <c r="G717" s="19">
        <v>46722</v>
      </c>
    </row>
    <row r="718" spans="1:7" x14ac:dyDescent="0.35">
      <c r="A718" s="19">
        <v>46739</v>
      </c>
      <c r="B718" s="31">
        <v>20271218</v>
      </c>
      <c r="C718" s="31">
        <v>2027</v>
      </c>
      <c r="D718" s="31" t="s">
        <v>460</v>
      </c>
      <c r="E718" s="31">
        <v>12</v>
      </c>
      <c r="F718" s="31" t="s">
        <v>475</v>
      </c>
      <c r="G718" s="19">
        <v>46722</v>
      </c>
    </row>
    <row r="719" spans="1:7" x14ac:dyDescent="0.35">
      <c r="A719" s="19">
        <v>46740</v>
      </c>
      <c r="B719" s="31">
        <v>20271219</v>
      </c>
      <c r="C719" s="31">
        <v>2027</v>
      </c>
      <c r="D719" s="31" t="s">
        <v>460</v>
      </c>
      <c r="E719" s="31">
        <v>12</v>
      </c>
      <c r="F719" s="31" t="s">
        <v>475</v>
      </c>
      <c r="G719" s="19">
        <v>46722</v>
      </c>
    </row>
    <row r="720" spans="1:7" x14ac:dyDescent="0.35">
      <c r="A720" s="19">
        <v>46741</v>
      </c>
      <c r="B720" s="31">
        <v>20271220</v>
      </c>
      <c r="C720" s="31">
        <v>2027</v>
      </c>
      <c r="D720" s="31" t="s">
        <v>460</v>
      </c>
      <c r="E720" s="31">
        <v>12</v>
      </c>
      <c r="F720" s="31" t="s">
        <v>475</v>
      </c>
      <c r="G720" s="19">
        <v>46722</v>
      </c>
    </row>
    <row r="721" spans="1:7" x14ac:dyDescent="0.35">
      <c r="A721" s="19">
        <v>46742</v>
      </c>
      <c r="B721" s="31">
        <v>20271221</v>
      </c>
      <c r="C721" s="31">
        <v>2027</v>
      </c>
      <c r="D721" s="31" t="s">
        <v>460</v>
      </c>
      <c r="E721" s="31">
        <v>12</v>
      </c>
      <c r="F721" s="31" t="s">
        <v>475</v>
      </c>
      <c r="G721" s="19">
        <v>46722</v>
      </c>
    </row>
    <row r="722" spans="1:7" x14ac:dyDescent="0.35">
      <c r="A722" s="19">
        <v>46743</v>
      </c>
      <c r="B722" s="31">
        <v>20271222</v>
      </c>
      <c r="C722" s="31">
        <v>2027</v>
      </c>
      <c r="D722" s="31" t="s">
        <v>460</v>
      </c>
      <c r="E722" s="31">
        <v>12</v>
      </c>
      <c r="F722" s="31" t="s">
        <v>475</v>
      </c>
      <c r="G722" s="19">
        <v>46722</v>
      </c>
    </row>
    <row r="723" spans="1:7" x14ac:dyDescent="0.35">
      <c r="A723" s="19">
        <v>46744</v>
      </c>
      <c r="B723" s="31">
        <v>20271223</v>
      </c>
      <c r="C723" s="31">
        <v>2027</v>
      </c>
      <c r="D723" s="31" t="s">
        <v>460</v>
      </c>
      <c r="E723" s="31">
        <v>12</v>
      </c>
      <c r="F723" s="31" t="s">
        <v>475</v>
      </c>
      <c r="G723" s="19">
        <v>46722</v>
      </c>
    </row>
    <row r="724" spans="1:7" x14ac:dyDescent="0.35">
      <c r="A724" s="19">
        <v>46745</v>
      </c>
      <c r="B724" s="31">
        <v>20271224</v>
      </c>
      <c r="C724" s="31">
        <v>2027</v>
      </c>
      <c r="D724" s="31" t="s">
        <v>460</v>
      </c>
      <c r="E724" s="31">
        <v>12</v>
      </c>
      <c r="F724" s="31" t="s">
        <v>475</v>
      </c>
      <c r="G724" s="19">
        <v>46722</v>
      </c>
    </row>
    <row r="725" spans="1:7" x14ac:dyDescent="0.35">
      <c r="A725" s="19">
        <v>46746</v>
      </c>
      <c r="B725" s="31">
        <v>20271225</v>
      </c>
      <c r="C725" s="31">
        <v>2027</v>
      </c>
      <c r="D725" s="31" t="s">
        <v>460</v>
      </c>
      <c r="E725" s="31">
        <v>12</v>
      </c>
      <c r="F725" s="31" t="s">
        <v>475</v>
      </c>
      <c r="G725" s="19">
        <v>46722</v>
      </c>
    </row>
    <row r="726" spans="1:7" x14ac:dyDescent="0.35">
      <c r="A726" s="19">
        <v>46747</v>
      </c>
      <c r="B726" s="31">
        <v>20271226</v>
      </c>
      <c r="C726" s="31">
        <v>2027</v>
      </c>
      <c r="D726" s="31" t="s">
        <v>460</v>
      </c>
      <c r="E726" s="31">
        <v>12</v>
      </c>
      <c r="F726" s="31" t="s">
        <v>475</v>
      </c>
      <c r="G726" s="19">
        <v>46722</v>
      </c>
    </row>
    <row r="727" spans="1:7" x14ac:dyDescent="0.35">
      <c r="A727" s="19">
        <v>46748</v>
      </c>
      <c r="B727" s="31">
        <v>20271227</v>
      </c>
      <c r="C727" s="31">
        <v>2027</v>
      </c>
      <c r="D727" s="31" t="s">
        <v>460</v>
      </c>
      <c r="E727" s="31">
        <v>12</v>
      </c>
      <c r="F727" s="31" t="s">
        <v>475</v>
      </c>
      <c r="G727" s="19">
        <v>46722</v>
      </c>
    </row>
    <row r="728" spans="1:7" x14ac:dyDescent="0.35">
      <c r="A728" s="19">
        <v>46749</v>
      </c>
      <c r="B728" s="31">
        <v>20271228</v>
      </c>
      <c r="C728" s="31">
        <v>2027</v>
      </c>
      <c r="D728" s="31" t="s">
        <v>460</v>
      </c>
      <c r="E728" s="31">
        <v>12</v>
      </c>
      <c r="F728" s="31" t="s">
        <v>475</v>
      </c>
      <c r="G728" s="19">
        <v>46722</v>
      </c>
    </row>
    <row r="729" spans="1:7" x14ac:dyDescent="0.35">
      <c r="A729" s="19">
        <v>46750</v>
      </c>
      <c r="B729" s="31">
        <v>20271229</v>
      </c>
      <c r="C729" s="31">
        <v>2027</v>
      </c>
      <c r="D729" s="31" t="s">
        <v>460</v>
      </c>
      <c r="E729" s="31">
        <v>12</v>
      </c>
      <c r="F729" s="31" t="s">
        <v>475</v>
      </c>
      <c r="G729" s="19">
        <v>46722</v>
      </c>
    </row>
    <row r="730" spans="1:7" x14ac:dyDescent="0.35">
      <c r="A730" s="19">
        <v>46751</v>
      </c>
      <c r="B730" s="31">
        <v>20271230</v>
      </c>
      <c r="C730" s="31">
        <v>2027</v>
      </c>
      <c r="D730" s="31" t="s">
        <v>460</v>
      </c>
      <c r="E730" s="31">
        <v>12</v>
      </c>
      <c r="F730" s="31" t="s">
        <v>475</v>
      </c>
      <c r="G730" s="19">
        <v>46722</v>
      </c>
    </row>
    <row r="731" spans="1:7" x14ac:dyDescent="0.35">
      <c r="A731" s="19">
        <v>46752</v>
      </c>
      <c r="B731" s="31">
        <v>20271231</v>
      </c>
      <c r="C731" s="31">
        <v>2027</v>
      </c>
      <c r="D731" s="31" t="s">
        <v>460</v>
      </c>
      <c r="E731" s="31">
        <v>12</v>
      </c>
      <c r="F731" s="31" t="s">
        <v>475</v>
      </c>
      <c r="G731" s="19">
        <v>46722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A7272-F3A7-4ED3-8B78-1C780A261CCF}">
  <dimension ref="A1:H41"/>
  <sheetViews>
    <sheetView workbookViewId="0">
      <selection sqref="A1:H1"/>
    </sheetView>
  </sheetViews>
  <sheetFormatPr defaultRowHeight="14.5" x14ac:dyDescent="0.35"/>
  <cols>
    <col min="1" max="1" width="21.36328125" bestFit="1" customWidth="1"/>
    <col min="2" max="2" width="10.1796875" bestFit="1" customWidth="1"/>
    <col min="3" max="3" width="23.453125" bestFit="1" customWidth="1"/>
    <col min="4" max="4" width="10.1796875" bestFit="1" customWidth="1"/>
    <col min="5" max="5" width="38.54296875" bestFit="1" customWidth="1"/>
    <col min="6" max="6" width="10.90625" bestFit="1" customWidth="1"/>
    <col min="7" max="7" width="47.1796875" bestFit="1" customWidth="1"/>
    <col min="8" max="8" width="14.81640625" bestFit="1" customWidth="1"/>
  </cols>
  <sheetData>
    <row r="1" spans="1:8" s="17" customFormat="1" x14ac:dyDescent="0.35">
      <c r="A1" s="18" t="s">
        <v>146</v>
      </c>
      <c r="B1" s="18" t="s">
        <v>7</v>
      </c>
      <c r="C1" s="18" t="s">
        <v>8</v>
      </c>
      <c r="D1" s="18" t="s">
        <v>201</v>
      </c>
      <c r="E1" s="18" t="s">
        <v>202</v>
      </c>
      <c r="F1" s="18" t="s">
        <v>476</v>
      </c>
      <c r="G1" s="18" t="s">
        <v>477</v>
      </c>
      <c r="H1" s="18" t="s">
        <v>478</v>
      </c>
    </row>
    <row r="2" spans="1:8" x14ac:dyDescent="0.35">
      <c r="A2" s="1" t="s">
        <v>332</v>
      </c>
      <c r="B2" s="1" t="s">
        <v>16</v>
      </c>
      <c r="C2" s="1" t="s">
        <v>17</v>
      </c>
      <c r="D2" s="1" t="s">
        <v>203</v>
      </c>
      <c r="E2" s="1" t="s">
        <v>204</v>
      </c>
      <c r="F2" s="1" t="s">
        <v>332</v>
      </c>
      <c r="G2" s="1" t="s">
        <v>479</v>
      </c>
      <c r="H2" s="1" t="s">
        <v>39</v>
      </c>
    </row>
    <row r="3" spans="1:8" x14ac:dyDescent="0.35">
      <c r="A3" s="1" t="s">
        <v>480</v>
      </c>
      <c r="B3" s="1" t="s">
        <v>16</v>
      </c>
      <c r="C3" s="1" t="s">
        <v>17</v>
      </c>
      <c r="D3" s="1" t="s">
        <v>203</v>
      </c>
      <c r="E3" s="1" t="s">
        <v>204</v>
      </c>
      <c r="F3" s="1" t="s">
        <v>480</v>
      </c>
      <c r="G3" s="1" t="s">
        <v>481</v>
      </c>
      <c r="H3" s="1" t="s">
        <v>30</v>
      </c>
    </row>
    <row r="4" spans="1:8" x14ac:dyDescent="0.35">
      <c r="A4" s="1" t="s">
        <v>339</v>
      </c>
      <c r="B4" s="1" t="s">
        <v>16</v>
      </c>
      <c r="C4" s="1" t="s">
        <v>17</v>
      </c>
      <c r="D4" s="1" t="s">
        <v>205</v>
      </c>
      <c r="E4" s="1" t="s">
        <v>206</v>
      </c>
      <c r="F4" s="1" t="s">
        <v>339</v>
      </c>
      <c r="G4" s="1" t="s">
        <v>482</v>
      </c>
      <c r="H4" s="1" t="s">
        <v>39</v>
      </c>
    </row>
    <row r="5" spans="1:8" x14ac:dyDescent="0.35">
      <c r="A5" s="1" t="s">
        <v>483</v>
      </c>
      <c r="B5" s="1" t="s">
        <v>16</v>
      </c>
      <c r="C5" s="1" t="s">
        <v>17</v>
      </c>
      <c r="D5" s="1" t="s">
        <v>205</v>
      </c>
      <c r="E5" s="1" t="s">
        <v>206</v>
      </c>
      <c r="F5" s="1" t="s">
        <v>483</v>
      </c>
      <c r="G5" s="1" t="s">
        <v>484</v>
      </c>
      <c r="H5" s="1" t="s">
        <v>30</v>
      </c>
    </row>
    <row r="6" spans="1:8" x14ac:dyDescent="0.35">
      <c r="A6" s="1" t="s">
        <v>342</v>
      </c>
      <c r="B6" s="1" t="s">
        <v>16</v>
      </c>
      <c r="C6" s="1" t="s">
        <v>17</v>
      </c>
      <c r="D6" s="1" t="s">
        <v>207</v>
      </c>
      <c r="E6" s="1" t="s">
        <v>208</v>
      </c>
      <c r="F6" s="1" t="s">
        <v>342</v>
      </c>
      <c r="G6" s="1" t="s">
        <v>485</v>
      </c>
      <c r="H6" s="1" t="s">
        <v>39</v>
      </c>
    </row>
    <row r="7" spans="1:8" x14ac:dyDescent="0.35">
      <c r="A7" s="1" t="s">
        <v>486</v>
      </c>
      <c r="B7" s="1" t="s">
        <v>16</v>
      </c>
      <c r="C7" s="1" t="s">
        <v>17</v>
      </c>
      <c r="D7" s="1" t="s">
        <v>207</v>
      </c>
      <c r="E7" s="1" t="s">
        <v>208</v>
      </c>
      <c r="F7" s="1" t="s">
        <v>486</v>
      </c>
      <c r="G7" s="1" t="s">
        <v>487</v>
      </c>
      <c r="H7" s="1" t="s">
        <v>30</v>
      </c>
    </row>
    <row r="8" spans="1:8" x14ac:dyDescent="0.35">
      <c r="A8" s="1" t="s">
        <v>347</v>
      </c>
      <c r="B8" s="1" t="s">
        <v>18</v>
      </c>
      <c r="C8" s="1" t="s">
        <v>19</v>
      </c>
      <c r="D8" s="1" t="s">
        <v>209</v>
      </c>
      <c r="E8" s="1" t="s">
        <v>210</v>
      </c>
      <c r="F8" s="1" t="s">
        <v>347</v>
      </c>
      <c r="G8" s="1" t="s">
        <v>488</v>
      </c>
      <c r="H8" s="1" t="s">
        <v>39</v>
      </c>
    </row>
    <row r="9" spans="1:8" x14ac:dyDescent="0.35">
      <c r="A9" s="1" t="s">
        <v>489</v>
      </c>
      <c r="B9" s="1" t="s">
        <v>18</v>
      </c>
      <c r="C9" s="1" t="s">
        <v>19</v>
      </c>
      <c r="D9" s="1" t="s">
        <v>209</v>
      </c>
      <c r="E9" s="1" t="s">
        <v>210</v>
      </c>
      <c r="F9" s="1" t="s">
        <v>489</v>
      </c>
      <c r="G9" s="1" t="s">
        <v>490</v>
      </c>
      <c r="H9" s="1" t="s">
        <v>30</v>
      </c>
    </row>
    <row r="10" spans="1:8" x14ac:dyDescent="0.35">
      <c r="A10" s="1" t="s">
        <v>349</v>
      </c>
      <c r="B10" s="1" t="s">
        <v>18</v>
      </c>
      <c r="C10" s="1" t="s">
        <v>19</v>
      </c>
      <c r="D10" s="1" t="s">
        <v>211</v>
      </c>
      <c r="E10" s="1" t="s">
        <v>212</v>
      </c>
      <c r="F10" s="1" t="s">
        <v>349</v>
      </c>
      <c r="G10" s="1" t="s">
        <v>491</v>
      </c>
      <c r="H10" s="1" t="s">
        <v>39</v>
      </c>
    </row>
    <row r="11" spans="1:8" x14ac:dyDescent="0.35">
      <c r="A11" s="1" t="s">
        <v>492</v>
      </c>
      <c r="B11" s="1" t="s">
        <v>18</v>
      </c>
      <c r="C11" s="1" t="s">
        <v>19</v>
      </c>
      <c r="D11" s="1" t="s">
        <v>211</v>
      </c>
      <c r="E11" s="1" t="s">
        <v>212</v>
      </c>
      <c r="F11" s="1" t="s">
        <v>492</v>
      </c>
      <c r="G11" s="1" t="s">
        <v>493</v>
      </c>
      <c r="H11" s="1" t="s">
        <v>30</v>
      </c>
    </row>
    <row r="12" spans="1:8" x14ac:dyDescent="0.35">
      <c r="A12" s="1" t="s">
        <v>351</v>
      </c>
      <c r="B12" s="1" t="s">
        <v>18</v>
      </c>
      <c r="C12" s="1" t="s">
        <v>19</v>
      </c>
      <c r="D12" s="1" t="s">
        <v>213</v>
      </c>
      <c r="E12" s="1" t="s">
        <v>214</v>
      </c>
      <c r="F12" s="1" t="s">
        <v>351</v>
      </c>
      <c r="G12" s="1" t="s">
        <v>494</v>
      </c>
      <c r="H12" s="1" t="s">
        <v>39</v>
      </c>
    </row>
    <row r="13" spans="1:8" x14ac:dyDescent="0.35">
      <c r="A13" s="1" t="s">
        <v>495</v>
      </c>
      <c r="B13" s="1" t="s">
        <v>18</v>
      </c>
      <c r="C13" s="1" t="s">
        <v>19</v>
      </c>
      <c r="D13" s="1" t="s">
        <v>213</v>
      </c>
      <c r="E13" s="1" t="s">
        <v>214</v>
      </c>
      <c r="F13" s="1" t="s">
        <v>495</v>
      </c>
      <c r="G13" s="1" t="s">
        <v>496</v>
      </c>
      <c r="H13" s="1" t="s">
        <v>30</v>
      </c>
    </row>
    <row r="14" spans="1:8" x14ac:dyDescent="0.35">
      <c r="A14" s="1" t="s">
        <v>354</v>
      </c>
      <c r="B14" s="1" t="s">
        <v>20</v>
      </c>
      <c r="C14" s="1" t="s">
        <v>21</v>
      </c>
      <c r="D14" s="1" t="s">
        <v>215</v>
      </c>
      <c r="E14" s="1" t="s">
        <v>216</v>
      </c>
      <c r="F14" s="1" t="s">
        <v>354</v>
      </c>
      <c r="G14" s="1" t="s">
        <v>497</v>
      </c>
      <c r="H14" s="1" t="s">
        <v>39</v>
      </c>
    </row>
    <row r="15" spans="1:8" x14ac:dyDescent="0.35">
      <c r="A15" s="1" t="s">
        <v>498</v>
      </c>
      <c r="B15" s="1" t="s">
        <v>20</v>
      </c>
      <c r="C15" s="1" t="s">
        <v>21</v>
      </c>
      <c r="D15" s="1" t="s">
        <v>215</v>
      </c>
      <c r="E15" s="1" t="s">
        <v>216</v>
      </c>
      <c r="F15" s="1" t="s">
        <v>498</v>
      </c>
      <c r="G15" s="1" t="s">
        <v>499</v>
      </c>
      <c r="H15" s="1" t="s">
        <v>30</v>
      </c>
    </row>
    <row r="16" spans="1:8" x14ac:dyDescent="0.35">
      <c r="A16" s="1" t="s">
        <v>356</v>
      </c>
      <c r="B16" s="1" t="s">
        <v>20</v>
      </c>
      <c r="C16" s="1" t="s">
        <v>21</v>
      </c>
      <c r="D16" s="1" t="s">
        <v>217</v>
      </c>
      <c r="E16" s="1" t="s">
        <v>218</v>
      </c>
      <c r="F16" s="1" t="s">
        <v>356</v>
      </c>
      <c r="G16" s="1" t="s">
        <v>500</v>
      </c>
      <c r="H16" s="1" t="s">
        <v>39</v>
      </c>
    </row>
    <row r="17" spans="1:8" x14ac:dyDescent="0.35">
      <c r="A17" s="1" t="s">
        <v>501</v>
      </c>
      <c r="B17" s="1" t="s">
        <v>20</v>
      </c>
      <c r="C17" s="1" t="s">
        <v>21</v>
      </c>
      <c r="D17" s="1" t="s">
        <v>217</v>
      </c>
      <c r="E17" s="1" t="s">
        <v>218</v>
      </c>
      <c r="F17" s="1" t="s">
        <v>501</v>
      </c>
      <c r="G17" s="1" t="s">
        <v>502</v>
      </c>
      <c r="H17" s="1" t="s">
        <v>30</v>
      </c>
    </row>
    <row r="18" spans="1:8" x14ac:dyDescent="0.35">
      <c r="A18" s="1" t="s">
        <v>358</v>
      </c>
      <c r="B18" s="1" t="s">
        <v>20</v>
      </c>
      <c r="C18" s="1" t="s">
        <v>21</v>
      </c>
      <c r="D18" s="1" t="s">
        <v>219</v>
      </c>
      <c r="E18" s="1" t="s">
        <v>220</v>
      </c>
      <c r="F18" s="1" t="s">
        <v>358</v>
      </c>
      <c r="G18" s="1" t="s">
        <v>503</v>
      </c>
      <c r="H18" s="1" t="s">
        <v>39</v>
      </c>
    </row>
    <row r="19" spans="1:8" x14ac:dyDescent="0.35">
      <c r="A19" s="1" t="s">
        <v>504</v>
      </c>
      <c r="B19" s="1" t="s">
        <v>20</v>
      </c>
      <c r="C19" s="1" t="s">
        <v>21</v>
      </c>
      <c r="D19" s="1" t="s">
        <v>219</v>
      </c>
      <c r="E19" s="1" t="s">
        <v>220</v>
      </c>
      <c r="F19" s="1" t="s">
        <v>504</v>
      </c>
      <c r="G19" s="1" t="s">
        <v>505</v>
      </c>
      <c r="H19" s="1" t="s">
        <v>30</v>
      </c>
    </row>
    <row r="20" spans="1:8" x14ac:dyDescent="0.35">
      <c r="A20" s="1" t="s">
        <v>360</v>
      </c>
      <c r="B20" s="1" t="s">
        <v>22</v>
      </c>
      <c r="C20" s="1" t="s">
        <v>23</v>
      </c>
      <c r="D20" s="1" t="s">
        <v>221</v>
      </c>
      <c r="E20" s="1" t="s">
        <v>222</v>
      </c>
      <c r="F20" s="1" t="s">
        <v>360</v>
      </c>
      <c r="G20" s="1" t="s">
        <v>506</v>
      </c>
      <c r="H20" s="1" t="s">
        <v>39</v>
      </c>
    </row>
    <row r="21" spans="1:8" x14ac:dyDescent="0.35">
      <c r="A21" s="1" t="s">
        <v>507</v>
      </c>
      <c r="B21" s="1" t="s">
        <v>22</v>
      </c>
      <c r="C21" s="1" t="s">
        <v>23</v>
      </c>
      <c r="D21" s="1" t="s">
        <v>221</v>
      </c>
      <c r="E21" s="1" t="s">
        <v>222</v>
      </c>
      <c r="F21" s="1" t="s">
        <v>507</v>
      </c>
      <c r="G21" s="1" t="s">
        <v>508</v>
      </c>
      <c r="H21" s="1" t="s">
        <v>30</v>
      </c>
    </row>
    <row r="22" spans="1:8" x14ac:dyDescent="0.35">
      <c r="A22" s="1" t="s">
        <v>362</v>
      </c>
      <c r="B22" s="1" t="s">
        <v>22</v>
      </c>
      <c r="C22" s="1" t="s">
        <v>23</v>
      </c>
      <c r="D22" s="1" t="s">
        <v>223</v>
      </c>
      <c r="E22" s="1" t="s">
        <v>224</v>
      </c>
      <c r="F22" s="1" t="s">
        <v>362</v>
      </c>
      <c r="G22" s="1" t="s">
        <v>509</v>
      </c>
      <c r="H22" s="1" t="s">
        <v>39</v>
      </c>
    </row>
    <row r="23" spans="1:8" x14ac:dyDescent="0.35">
      <c r="A23" s="1" t="s">
        <v>510</v>
      </c>
      <c r="B23" s="1" t="s">
        <v>22</v>
      </c>
      <c r="C23" s="1" t="s">
        <v>23</v>
      </c>
      <c r="D23" s="1" t="s">
        <v>223</v>
      </c>
      <c r="E23" s="1" t="s">
        <v>224</v>
      </c>
      <c r="F23" s="1" t="s">
        <v>510</v>
      </c>
      <c r="G23" s="1" t="s">
        <v>511</v>
      </c>
      <c r="H23" s="1" t="s">
        <v>30</v>
      </c>
    </row>
    <row r="24" spans="1:8" x14ac:dyDescent="0.35">
      <c r="A24" s="1" t="s">
        <v>364</v>
      </c>
      <c r="B24" s="1" t="s">
        <v>22</v>
      </c>
      <c r="C24" s="1" t="s">
        <v>23</v>
      </c>
      <c r="D24" s="1" t="s">
        <v>225</v>
      </c>
      <c r="E24" s="1" t="s">
        <v>226</v>
      </c>
      <c r="F24" s="1" t="s">
        <v>364</v>
      </c>
      <c r="G24" s="1" t="s">
        <v>512</v>
      </c>
      <c r="H24" s="1" t="s">
        <v>39</v>
      </c>
    </row>
    <row r="25" spans="1:8" x14ac:dyDescent="0.35">
      <c r="A25" s="1" t="s">
        <v>513</v>
      </c>
      <c r="B25" s="1" t="s">
        <v>22</v>
      </c>
      <c r="C25" s="1" t="s">
        <v>23</v>
      </c>
      <c r="D25" s="1" t="s">
        <v>225</v>
      </c>
      <c r="E25" s="1" t="s">
        <v>226</v>
      </c>
      <c r="F25" s="1" t="s">
        <v>513</v>
      </c>
      <c r="G25" s="1" t="s">
        <v>514</v>
      </c>
      <c r="H25" s="1" t="s">
        <v>30</v>
      </c>
    </row>
    <row r="26" spans="1:8" x14ac:dyDescent="0.35">
      <c r="A26" s="1" t="s">
        <v>366</v>
      </c>
      <c r="B26" s="1" t="s">
        <v>24</v>
      </c>
      <c r="C26" s="1" t="s">
        <v>25</v>
      </c>
      <c r="D26" s="1" t="s">
        <v>227</v>
      </c>
      <c r="E26" s="1" t="s">
        <v>228</v>
      </c>
      <c r="F26" s="1" t="s">
        <v>366</v>
      </c>
      <c r="G26" s="1" t="s">
        <v>515</v>
      </c>
      <c r="H26" s="1" t="s">
        <v>39</v>
      </c>
    </row>
    <row r="27" spans="1:8" x14ac:dyDescent="0.35">
      <c r="A27" s="1" t="s">
        <v>516</v>
      </c>
      <c r="B27" s="1" t="s">
        <v>24</v>
      </c>
      <c r="C27" s="1" t="s">
        <v>25</v>
      </c>
      <c r="D27" s="1" t="s">
        <v>227</v>
      </c>
      <c r="E27" s="1" t="s">
        <v>228</v>
      </c>
      <c r="F27" s="1" t="s">
        <v>516</v>
      </c>
      <c r="G27" s="1" t="s">
        <v>517</v>
      </c>
      <c r="H27" s="1" t="s">
        <v>30</v>
      </c>
    </row>
    <row r="28" spans="1:8" x14ac:dyDescent="0.35">
      <c r="A28" s="1" t="s">
        <v>368</v>
      </c>
      <c r="B28" s="1" t="s">
        <v>24</v>
      </c>
      <c r="C28" s="1" t="s">
        <v>25</v>
      </c>
      <c r="D28" s="1" t="s">
        <v>229</v>
      </c>
      <c r="E28" s="1" t="s">
        <v>230</v>
      </c>
      <c r="F28" s="1" t="s">
        <v>368</v>
      </c>
      <c r="G28" s="1" t="s">
        <v>518</v>
      </c>
      <c r="H28" s="1" t="s">
        <v>39</v>
      </c>
    </row>
    <row r="29" spans="1:8" x14ac:dyDescent="0.35">
      <c r="A29" s="1" t="s">
        <v>519</v>
      </c>
      <c r="B29" s="1" t="s">
        <v>24</v>
      </c>
      <c r="C29" s="1" t="s">
        <v>25</v>
      </c>
      <c r="D29" s="1" t="s">
        <v>229</v>
      </c>
      <c r="E29" s="1" t="s">
        <v>230</v>
      </c>
      <c r="F29" s="1" t="s">
        <v>519</v>
      </c>
      <c r="G29" s="1" t="s">
        <v>520</v>
      </c>
      <c r="H29" s="1" t="s">
        <v>30</v>
      </c>
    </row>
    <row r="30" spans="1:8" x14ac:dyDescent="0.35">
      <c r="A30" s="1" t="s">
        <v>370</v>
      </c>
      <c r="B30" s="1" t="s">
        <v>24</v>
      </c>
      <c r="C30" s="1" t="s">
        <v>25</v>
      </c>
      <c r="D30" s="1" t="s">
        <v>231</v>
      </c>
      <c r="E30" s="1" t="s">
        <v>232</v>
      </c>
      <c r="F30" s="1" t="s">
        <v>370</v>
      </c>
      <c r="G30" s="1" t="s">
        <v>521</v>
      </c>
      <c r="H30" s="1" t="s">
        <v>39</v>
      </c>
    </row>
    <row r="31" spans="1:8" x14ac:dyDescent="0.35">
      <c r="A31" s="1" t="s">
        <v>522</v>
      </c>
      <c r="B31" s="1" t="s">
        <v>24</v>
      </c>
      <c r="C31" s="1" t="s">
        <v>25</v>
      </c>
      <c r="D31" s="1" t="s">
        <v>231</v>
      </c>
      <c r="E31" s="1" t="s">
        <v>232</v>
      </c>
      <c r="F31" s="1" t="s">
        <v>522</v>
      </c>
      <c r="G31" s="1" t="s">
        <v>523</v>
      </c>
      <c r="H31" s="1" t="s">
        <v>30</v>
      </c>
    </row>
    <row r="32" spans="1:8" x14ac:dyDescent="0.35">
      <c r="A32" s="1" t="s">
        <v>372</v>
      </c>
      <c r="B32" s="1" t="s">
        <v>26</v>
      </c>
      <c r="C32" s="1" t="s">
        <v>27</v>
      </c>
      <c r="D32" s="1" t="s">
        <v>233</v>
      </c>
      <c r="E32" s="1" t="s">
        <v>234</v>
      </c>
      <c r="F32" s="1" t="s">
        <v>372</v>
      </c>
      <c r="G32" s="1" t="s">
        <v>524</v>
      </c>
      <c r="H32" s="1" t="s">
        <v>39</v>
      </c>
    </row>
    <row r="33" spans="1:8" x14ac:dyDescent="0.35">
      <c r="A33" s="1" t="s">
        <v>525</v>
      </c>
      <c r="B33" s="1" t="s">
        <v>26</v>
      </c>
      <c r="C33" s="1" t="s">
        <v>27</v>
      </c>
      <c r="D33" s="1" t="s">
        <v>233</v>
      </c>
      <c r="E33" s="1" t="s">
        <v>234</v>
      </c>
      <c r="F33" s="1" t="s">
        <v>525</v>
      </c>
      <c r="G33" s="1" t="s">
        <v>526</v>
      </c>
      <c r="H33" s="1" t="s">
        <v>30</v>
      </c>
    </row>
    <row r="34" spans="1:8" x14ac:dyDescent="0.35">
      <c r="A34" s="1" t="s">
        <v>527</v>
      </c>
      <c r="B34" s="1" t="s">
        <v>26</v>
      </c>
      <c r="C34" s="1" t="s">
        <v>27</v>
      </c>
      <c r="D34" s="1" t="s">
        <v>235</v>
      </c>
      <c r="E34" s="1" t="s">
        <v>236</v>
      </c>
      <c r="F34" s="1" t="s">
        <v>527</v>
      </c>
      <c r="G34" s="1" t="s">
        <v>528</v>
      </c>
      <c r="H34" s="1" t="s">
        <v>39</v>
      </c>
    </row>
    <row r="35" spans="1:8" x14ac:dyDescent="0.35">
      <c r="A35" s="1" t="s">
        <v>529</v>
      </c>
      <c r="B35" s="1" t="s">
        <v>26</v>
      </c>
      <c r="C35" s="1" t="s">
        <v>27</v>
      </c>
      <c r="D35" s="1" t="s">
        <v>235</v>
      </c>
      <c r="E35" s="1" t="s">
        <v>236</v>
      </c>
      <c r="F35" s="1" t="s">
        <v>529</v>
      </c>
      <c r="G35" s="1" t="s">
        <v>530</v>
      </c>
      <c r="H35" s="1" t="s">
        <v>30</v>
      </c>
    </row>
    <row r="36" spans="1:8" x14ac:dyDescent="0.35">
      <c r="A36" s="1" t="s">
        <v>531</v>
      </c>
      <c r="B36" s="1" t="s">
        <v>26</v>
      </c>
      <c r="C36" s="1" t="s">
        <v>27</v>
      </c>
      <c r="D36" s="1" t="s">
        <v>237</v>
      </c>
      <c r="E36" s="1" t="s">
        <v>238</v>
      </c>
      <c r="F36" s="1" t="s">
        <v>531</v>
      </c>
      <c r="G36" s="1" t="s">
        <v>532</v>
      </c>
      <c r="H36" s="1" t="s">
        <v>39</v>
      </c>
    </row>
    <row r="37" spans="1:8" x14ac:dyDescent="0.35">
      <c r="A37" s="1" t="s">
        <v>533</v>
      </c>
      <c r="B37" s="1" t="s">
        <v>26</v>
      </c>
      <c r="C37" s="1" t="s">
        <v>27</v>
      </c>
      <c r="D37" s="1" t="s">
        <v>237</v>
      </c>
      <c r="E37" s="1" t="s">
        <v>238</v>
      </c>
      <c r="F37" s="1" t="s">
        <v>533</v>
      </c>
      <c r="G37" s="1" t="s">
        <v>534</v>
      </c>
      <c r="H37" s="1" t="s">
        <v>30</v>
      </c>
    </row>
    <row r="38" spans="1:8" x14ac:dyDescent="0.35">
      <c r="A38" s="1" t="s">
        <v>535</v>
      </c>
      <c r="B38" s="1" t="s">
        <v>28</v>
      </c>
      <c r="C38" s="1" t="s">
        <v>29</v>
      </c>
      <c r="D38" s="1" t="s">
        <v>239</v>
      </c>
      <c r="E38" s="1" t="s">
        <v>240</v>
      </c>
      <c r="F38" s="1" t="s">
        <v>535</v>
      </c>
      <c r="G38" s="1" t="s">
        <v>536</v>
      </c>
      <c r="H38" s="1" t="s">
        <v>39</v>
      </c>
    </row>
    <row r="39" spans="1:8" x14ac:dyDescent="0.35">
      <c r="A39" s="1" t="s">
        <v>537</v>
      </c>
      <c r="B39" s="1" t="s">
        <v>28</v>
      </c>
      <c r="C39" s="1" t="s">
        <v>29</v>
      </c>
      <c r="D39" s="1" t="s">
        <v>239</v>
      </c>
      <c r="E39" s="1" t="s">
        <v>240</v>
      </c>
      <c r="F39" s="1" t="s">
        <v>537</v>
      </c>
      <c r="G39" s="1" t="s">
        <v>538</v>
      </c>
      <c r="H39" s="1" t="s">
        <v>30</v>
      </c>
    </row>
    <row r="40" spans="1:8" x14ac:dyDescent="0.35">
      <c r="A40" s="1" t="s">
        <v>539</v>
      </c>
      <c r="B40" s="1" t="s">
        <v>28</v>
      </c>
      <c r="C40" s="1" t="s">
        <v>29</v>
      </c>
      <c r="D40" s="1" t="s">
        <v>241</v>
      </c>
      <c r="E40" s="1" t="s">
        <v>242</v>
      </c>
      <c r="F40" s="1" t="s">
        <v>539</v>
      </c>
      <c r="G40" s="1" t="s">
        <v>540</v>
      </c>
      <c r="H40" s="1" t="s">
        <v>39</v>
      </c>
    </row>
    <row r="41" spans="1:8" x14ac:dyDescent="0.35">
      <c r="A41" s="1" t="s">
        <v>541</v>
      </c>
      <c r="B41" s="1" t="s">
        <v>28</v>
      </c>
      <c r="C41" s="1" t="s">
        <v>29</v>
      </c>
      <c r="D41" s="1" t="s">
        <v>241</v>
      </c>
      <c r="E41" s="1" t="s">
        <v>242</v>
      </c>
      <c r="F41" s="1" t="s">
        <v>541</v>
      </c>
      <c r="G41" s="1" t="s">
        <v>542</v>
      </c>
      <c r="H41" s="1" t="s">
        <v>30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EC904-C5EB-49D8-A690-BC317D013FD7}">
  <dimension ref="A1:H47"/>
  <sheetViews>
    <sheetView workbookViewId="0">
      <selection sqref="A1:H1"/>
    </sheetView>
  </sheetViews>
  <sheetFormatPr defaultRowHeight="14.5" x14ac:dyDescent="0.35"/>
  <cols>
    <col min="1" max="1" width="8.26953125" bestFit="1" customWidth="1"/>
    <col min="2" max="2" width="17" bestFit="1" customWidth="1"/>
    <col min="3" max="3" width="37.1796875" bestFit="1" customWidth="1"/>
    <col min="4" max="4" width="13.7265625" bestFit="1" customWidth="1"/>
    <col min="5" max="5" width="14.26953125" bestFit="1" customWidth="1"/>
    <col min="6" max="6" width="12.08984375" bestFit="1" customWidth="1"/>
    <col min="7" max="7" width="21.54296875" bestFit="1" customWidth="1"/>
    <col min="8" max="8" width="12" bestFit="1" customWidth="1"/>
  </cols>
  <sheetData>
    <row r="1" spans="1:8" s="17" customFormat="1" x14ac:dyDescent="0.35">
      <c r="A1" s="18" t="s">
        <v>148</v>
      </c>
      <c r="B1" s="18" t="s">
        <v>421</v>
      </c>
      <c r="C1" s="18" t="s">
        <v>323</v>
      </c>
      <c r="D1" s="18" t="s">
        <v>422</v>
      </c>
      <c r="E1" s="18" t="s">
        <v>423</v>
      </c>
      <c r="F1" s="18" t="s">
        <v>373</v>
      </c>
      <c r="G1" s="18" t="s">
        <v>374</v>
      </c>
      <c r="H1" s="18" t="s">
        <v>424</v>
      </c>
    </row>
    <row r="2" spans="1:8" x14ac:dyDescent="0.35">
      <c r="A2" s="31">
        <v>3030</v>
      </c>
      <c r="B2" s="31">
        <v>303</v>
      </c>
      <c r="C2" s="1" t="s">
        <v>425</v>
      </c>
      <c r="D2" s="1">
        <v>3</v>
      </c>
      <c r="E2" s="1">
        <v>30</v>
      </c>
      <c r="F2" s="1" t="s">
        <v>376</v>
      </c>
      <c r="G2" s="1" t="s">
        <v>377</v>
      </c>
      <c r="H2" s="1" t="s">
        <v>426</v>
      </c>
    </row>
    <row r="3" spans="1:8" x14ac:dyDescent="0.35">
      <c r="A3" s="31">
        <v>3130</v>
      </c>
      <c r="B3" s="31">
        <v>313</v>
      </c>
      <c r="C3" s="1" t="s">
        <v>427</v>
      </c>
      <c r="D3" s="1">
        <v>3</v>
      </c>
      <c r="E3" s="1">
        <v>31</v>
      </c>
      <c r="F3" s="1" t="s">
        <v>376</v>
      </c>
      <c r="G3" s="1" t="s">
        <v>377</v>
      </c>
      <c r="H3" s="1" t="s">
        <v>426</v>
      </c>
    </row>
    <row r="4" spans="1:8" x14ac:dyDescent="0.35">
      <c r="A4" s="31">
        <v>3230</v>
      </c>
      <c r="B4" s="31">
        <v>323</v>
      </c>
      <c r="C4" s="1" t="s">
        <v>375</v>
      </c>
      <c r="D4" s="1">
        <v>3</v>
      </c>
      <c r="E4" s="1">
        <v>32</v>
      </c>
      <c r="F4" s="1" t="s">
        <v>376</v>
      </c>
      <c r="G4" s="1" t="s">
        <v>377</v>
      </c>
      <c r="H4" s="1" t="s">
        <v>426</v>
      </c>
    </row>
    <row r="5" spans="1:8" x14ac:dyDescent="0.35">
      <c r="A5" s="31">
        <v>3400</v>
      </c>
      <c r="B5" s="31">
        <v>340</v>
      </c>
      <c r="C5" s="1" t="s">
        <v>378</v>
      </c>
      <c r="D5" s="1">
        <v>3</v>
      </c>
      <c r="E5" s="1">
        <v>34</v>
      </c>
      <c r="F5" s="1" t="s">
        <v>376</v>
      </c>
      <c r="G5" s="1" t="s">
        <v>379</v>
      </c>
      <c r="H5" s="1" t="s">
        <v>426</v>
      </c>
    </row>
    <row r="6" spans="1:8" x14ac:dyDescent="0.35">
      <c r="A6" s="31">
        <v>3410</v>
      </c>
      <c r="B6" s="31">
        <v>341</v>
      </c>
      <c r="C6" s="1" t="s">
        <v>428</v>
      </c>
      <c r="D6" s="1">
        <v>3</v>
      </c>
      <c r="E6" s="1">
        <v>34</v>
      </c>
      <c r="F6" s="1" t="s">
        <v>376</v>
      </c>
      <c r="G6" s="1" t="s">
        <v>379</v>
      </c>
      <c r="H6" s="1" t="s">
        <v>426</v>
      </c>
    </row>
    <row r="7" spans="1:8" x14ac:dyDescent="0.35">
      <c r="A7" s="31">
        <v>3420</v>
      </c>
      <c r="B7" s="31">
        <v>342</v>
      </c>
      <c r="C7" s="1" t="s">
        <v>380</v>
      </c>
      <c r="D7" s="1">
        <v>3</v>
      </c>
      <c r="E7" s="1">
        <v>34</v>
      </c>
      <c r="F7" s="1" t="s">
        <v>376</v>
      </c>
      <c r="G7" s="1" t="s">
        <v>379</v>
      </c>
      <c r="H7" s="1" t="s">
        <v>426</v>
      </c>
    </row>
    <row r="8" spans="1:8" x14ac:dyDescent="0.35">
      <c r="A8" s="31">
        <v>3450</v>
      </c>
      <c r="B8" s="31">
        <v>345</v>
      </c>
      <c r="C8" s="1" t="s">
        <v>429</v>
      </c>
      <c r="D8" s="1">
        <v>3</v>
      </c>
      <c r="E8" s="1">
        <v>34</v>
      </c>
      <c r="F8" s="1" t="s">
        <v>376</v>
      </c>
      <c r="G8" s="1" t="s">
        <v>379</v>
      </c>
      <c r="H8" s="1" t="s">
        <v>426</v>
      </c>
    </row>
    <row r="9" spans="1:8" x14ac:dyDescent="0.35">
      <c r="A9" s="31">
        <v>3490</v>
      </c>
      <c r="B9" s="31">
        <v>349</v>
      </c>
      <c r="C9" s="1" t="s">
        <v>430</v>
      </c>
      <c r="D9" s="1">
        <v>3</v>
      </c>
      <c r="E9" s="1">
        <v>34</v>
      </c>
      <c r="F9" s="1" t="s">
        <v>376</v>
      </c>
      <c r="G9" s="1" t="s">
        <v>379</v>
      </c>
      <c r="H9" s="1" t="s">
        <v>426</v>
      </c>
    </row>
    <row r="10" spans="1:8" x14ac:dyDescent="0.35">
      <c r="A10" s="31">
        <v>3670</v>
      </c>
      <c r="B10" s="31">
        <v>367</v>
      </c>
      <c r="C10" s="1" t="s">
        <v>431</v>
      </c>
      <c r="D10" s="1">
        <v>3</v>
      </c>
      <c r="E10" s="1">
        <v>36</v>
      </c>
      <c r="F10" s="1" t="s">
        <v>376</v>
      </c>
      <c r="G10" s="1" t="s">
        <v>432</v>
      </c>
      <c r="H10" s="1" t="s">
        <v>426</v>
      </c>
    </row>
    <row r="11" spans="1:8" x14ac:dyDescent="0.35">
      <c r="A11" s="31">
        <v>3900</v>
      </c>
      <c r="B11" s="31">
        <v>390</v>
      </c>
      <c r="C11" s="1" t="s">
        <v>381</v>
      </c>
      <c r="D11" s="1">
        <v>3</v>
      </c>
      <c r="E11" s="1">
        <v>39</v>
      </c>
      <c r="F11" s="1" t="s">
        <v>376</v>
      </c>
      <c r="G11" s="1" t="s">
        <v>381</v>
      </c>
      <c r="H11" s="1" t="s">
        <v>426</v>
      </c>
    </row>
    <row r="12" spans="1:8" x14ac:dyDescent="0.35">
      <c r="A12" s="31">
        <v>5000</v>
      </c>
      <c r="B12" s="31">
        <v>500</v>
      </c>
      <c r="C12" s="1" t="s">
        <v>333</v>
      </c>
      <c r="D12" s="1">
        <v>5</v>
      </c>
      <c r="E12" s="1">
        <v>50</v>
      </c>
      <c r="F12" s="1" t="s">
        <v>382</v>
      </c>
      <c r="G12" s="1" t="s">
        <v>383</v>
      </c>
      <c r="H12" s="1" t="s">
        <v>426</v>
      </c>
    </row>
    <row r="13" spans="1:8" x14ac:dyDescent="0.35">
      <c r="A13" s="31">
        <v>5050</v>
      </c>
      <c r="B13" s="31">
        <v>505</v>
      </c>
      <c r="C13" s="1" t="s">
        <v>384</v>
      </c>
      <c r="D13" s="1">
        <v>5</v>
      </c>
      <c r="E13" s="1">
        <v>50</v>
      </c>
      <c r="F13" s="1" t="s">
        <v>382</v>
      </c>
      <c r="G13" s="1" t="s">
        <v>383</v>
      </c>
      <c r="H13" s="1" t="s">
        <v>426</v>
      </c>
    </row>
    <row r="14" spans="1:8" x14ac:dyDescent="0.35">
      <c r="A14" s="31">
        <v>5100</v>
      </c>
      <c r="B14" s="31">
        <v>510</v>
      </c>
      <c r="C14" s="1" t="s">
        <v>386</v>
      </c>
      <c r="D14" s="1">
        <v>5</v>
      </c>
      <c r="E14" s="1">
        <v>51</v>
      </c>
      <c r="F14" s="1" t="s">
        <v>382</v>
      </c>
      <c r="G14" s="1" t="s">
        <v>383</v>
      </c>
      <c r="H14" s="1" t="s">
        <v>426</v>
      </c>
    </row>
    <row r="15" spans="1:8" x14ac:dyDescent="0.35">
      <c r="A15" s="31">
        <v>5080</v>
      </c>
      <c r="B15" s="31">
        <v>508</v>
      </c>
      <c r="C15" s="1" t="s">
        <v>385</v>
      </c>
      <c r="D15" s="1">
        <v>5</v>
      </c>
      <c r="E15" s="1">
        <v>50</v>
      </c>
      <c r="F15" s="1" t="s">
        <v>382</v>
      </c>
      <c r="G15" s="1" t="s">
        <v>383</v>
      </c>
      <c r="H15" s="1" t="s">
        <v>426</v>
      </c>
    </row>
    <row r="16" spans="1:8" x14ac:dyDescent="0.35">
      <c r="A16" s="31">
        <v>5400</v>
      </c>
      <c r="B16" s="31">
        <v>540</v>
      </c>
      <c r="C16" s="1" t="s">
        <v>387</v>
      </c>
      <c r="D16" s="1">
        <v>5</v>
      </c>
      <c r="E16" s="1">
        <v>54</v>
      </c>
      <c r="F16" s="1" t="s">
        <v>382</v>
      </c>
      <c r="G16" s="1" t="s">
        <v>383</v>
      </c>
      <c r="H16" s="1" t="s">
        <v>426</v>
      </c>
    </row>
    <row r="17" spans="1:8" x14ac:dyDescent="0.35">
      <c r="A17" s="31">
        <v>5420</v>
      </c>
      <c r="B17" s="31">
        <v>542</v>
      </c>
      <c r="C17" s="1" t="s">
        <v>388</v>
      </c>
      <c r="D17" s="1">
        <v>5</v>
      </c>
      <c r="E17" s="1">
        <v>54</v>
      </c>
      <c r="F17" s="1" t="s">
        <v>382</v>
      </c>
      <c r="G17" s="1" t="s">
        <v>383</v>
      </c>
      <c r="H17" s="1" t="s">
        <v>426</v>
      </c>
    </row>
    <row r="18" spans="1:8" x14ac:dyDescent="0.35">
      <c r="A18" s="31">
        <v>5800</v>
      </c>
      <c r="B18" s="31">
        <v>580</v>
      </c>
      <c r="C18" s="1" t="s">
        <v>389</v>
      </c>
      <c r="D18" s="1">
        <v>5</v>
      </c>
      <c r="E18" s="1">
        <v>58</v>
      </c>
      <c r="F18" s="1" t="s">
        <v>382</v>
      </c>
      <c r="G18" s="1" t="s">
        <v>383</v>
      </c>
      <c r="H18" s="1" t="s">
        <v>426</v>
      </c>
    </row>
    <row r="19" spans="1:8" x14ac:dyDescent="0.35">
      <c r="A19" s="31">
        <v>5810</v>
      </c>
      <c r="B19" s="31">
        <v>581</v>
      </c>
      <c r="C19" s="1" t="s">
        <v>390</v>
      </c>
      <c r="D19" s="1">
        <v>5</v>
      </c>
      <c r="E19" s="1">
        <v>58</v>
      </c>
      <c r="F19" s="1" t="s">
        <v>382</v>
      </c>
      <c r="G19" s="1" t="s">
        <v>383</v>
      </c>
      <c r="H19" s="1" t="s">
        <v>426</v>
      </c>
    </row>
    <row r="20" spans="1:8" x14ac:dyDescent="0.35">
      <c r="A20" s="31">
        <v>6000</v>
      </c>
      <c r="B20" s="31">
        <v>600</v>
      </c>
      <c r="C20" s="1" t="s">
        <v>391</v>
      </c>
      <c r="D20" s="1">
        <v>6</v>
      </c>
      <c r="E20" s="1">
        <v>60</v>
      </c>
      <c r="F20" s="1" t="s">
        <v>382</v>
      </c>
      <c r="G20" s="1" t="s">
        <v>392</v>
      </c>
      <c r="H20" s="1" t="s">
        <v>426</v>
      </c>
    </row>
    <row r="21" spans="1:8" x14ac:dyDescent="0.35">
      <c r="A21" s="31">
        <v>6050</v>
      </c>
      <c r="B21" s="31">
        <v>605</v>
      </c>
      <c r="C21" s="1" t="s">
        <v>393</v>
      </c>
      <c r="D21" s="1">
        <v>6</v>
      </c>
      <c r="E21" s="1">
        <v>60</v>
      </c>
      <c r="F21" s="1" t="s">
        <v>382</v>
      </c>
      <c r="G21" s="1" t="s">
        <v>392</v>
      </c>
      <c r="H21" s="1" t="s">
        <v>426</v>
      </c>
    </row>
    <row r="22" spans="1:8" x14ac:dyDescent="0.35">
      <c r="A22" s="31">
        <v>6300</v>
      </c>
      <c r="B22" s="31">
        <v>630</v>
      </c>
      <c r="C22" s="1" t="s">
        <v>394</v>
      </c>
      <c r="D22" s="1">
        <v>6</v>
      </c>
      <c r="E22" s="1">
        <v>63</v>
      </c>
      <c r="F22" s="1" t="s">
        <v>382</v>
      </c>
      <c r="G22" s="1" t="s">
        <v>395</v>
      </c>
      <c r="H22" s="1" t="s">
        <v>426</v>
      </c>
    </row>
    <row r="23" spans="1:8" x14ac:dyDescent="0.35">
      <c r="A23" s="31">
        <v>6310</v>
      </c>
      <c r="B23" s="31">
        <v>631</v>
      </c>
      <c r="C23" s="1" t="s">
        <v>396</v>
      </c>
      <c r="D23" s="1">
        <v>6</v>
      </c>
      <c r="E23" s="1">
        <v>63</v>
      </c>
      <c r="F23" s="1" t="s">
        <v>382</v>
      </c>
      <c r="G23" s="1" t="s">
        <v>395</v>
      </c>
      <c r="H23" s="1" t="s">
        <v>426</v>
      </c>
    </row>
    <row r="24" spans="1:8" x14ac:dyDescent="0.35">
      <c r="A24" s="31">
        <v>6340</v>
      </c>
      <c r="B24" s="31">
        <v>634</v>
      </c>
      <c r="C24" s="1" t="s">
        <v>397</v>
      </c>
      <c r="D24" s="1">
        <v>6</v>
      </c>
      <c r="E24" s="1">
        <v>63</v>
      </c>
      <c r="F24" s="1" t="s">
        <v>382</v>
      </c>
      <c r="G24" s="1" t="s">
        <v>395</v>
      </c>
      <c r="H24" s="1" t="s">
        <v>426</v>
      </c>
    </row>
    <row r="25" spans="1:8" x14ac:dyDescent="0.35">
      <c r="A25" s="31">
        <v>6360</v>
      </c>
      <c r="B25" s="31">
        <v>636</v>
      </c>
      <c r="C25" s="1" t="s">
        <v>398</v>
      </c>
      <c r="D25" s="1">
        <v>6</v>
      </c>
      <c r="E25" s="1">
        <v>63</v>
      </c>
      <c r="F25" s="1" t="s">
        <v>382</v>
      </c>
      <c r="G25" s="1" t="s">
        <v>395</v>
      </c>
      <c r="H25" s="1" t="s">
        <v>426</v>
      </c>
    </row>
    <row r="26" spans="1:8" x14ac:dyDescent="0.35">
      <c r="A26" s="31">
        <v>6420</v>
      </c>
      <c r="B26" s="31">
        <v>642</v>
      </c>
      <c r="C26" s="1" t="s">
        <v>399</v>
      </c>
      <c r="D26" s="1">
        <v>6</v>
      </c>
      <c r="E26" s="1">
        <v>64</v>
      </c>
      <c r="F26" s="1" t="s">
        <v>382</v>
      </c>
      <c r="G26" s="1" t="s">
        <v>395</v>
      </c>
      <c r="H26" s="1" t="s">
        <v>426</v>
      </c>
    </row>
    <row r="27" spans="1:8" x14ac:dyDescent="0.35">
      <c r="A27" s="31">
        <v>6540</v>
      </c>
      <c r="B27" s="31">
        <v>654</v>
      </c>
      <c r="C27" s="1" t="s">
        <v>400</v>
      </c>
      <c r="D27" s="1">
        <v>6</v>
      </c>
      <c r="E27" s="1">
        <v>65</v>
      </c>
      <c r="F27" s="1" t="s">
        <v>382</v>
      </c>
      <c r="G27" s="1" t="s">
        <v>395</v>
      </c>
      <c r="H27" s="1" t="s">
        <v>426</v>
      </c>
    </row>
    <row r="28" spans="1:8" x14ac:dyDescent="0.35">
      <c r="A28" s="31">
        <v>6550</v>
      </c>
      <c r="B28" s="31">
        <v>655</v>
      </c>
      <c r="C28" s="1" t="s">
        <v>401</v>
      </c>
      <c r="D28" s="1">
        <v>6</v>
      </c>
      <c r="E28" s="1">
        <v>65</v>
      </c>
      <c r="F28" s="1" t="s">
        <v>382</v>
      </c>
      <c r="G28" s="1" t="s">
        <v>395</v>
      </c>
      <c r="H28" s="1" t="s">
        <v>426</v>
      </c>
    </row>
    <row r="29" spans="1:8" x14ac:dyDescent="0.35">
      <c r="A29" s="31">
        <v>6630</v>
      </c>
      <c r="B29" s="31">
        <v>663</v>
      </c>
      <c r="C29" s="1" t="s">
        <v>402</v>
      </c>
      <c r="D29" s="1">
        <v>6</v>
      </c>
      <c r="E29" s="1">
        <v>66</v>
      </c>
      <c r="F29" s="1" t="s">
        <v>382</v>
      </c>
      <c r="G29" s="1" t="s">
        <v>395</v>
      </c>
      <c r="H29" s="1" t="s">
        <v>426</v>
      </c>
    </row>
    <row r="30" spans="1:8" x14ac:dyDescent="0.35">
      <c r="A30" s="31">
        <v>6700</v>
      </c>
      <c r="B30" s="31">
        <v>670</v>
      </c>
      <c r="C30" s="1" t="s">
        <v>403</v>
      </c>
      <c r="D30" s="1">
        <v>6</v>
      </c>
      <c r="E30" s="1">
        <v>67</v>
      </c>
      <c r="F30" s="1" t="s">
        <v>382</v>
      </c>
      <c r="G30" s="1" t="s">
        <v>395</v>
      </c>
      <c r="H30" s="1" t="s">
        <v>426</v>
      </c>
    </row>
    <row r="31" spans="1:8" x14ac:dyDescent="0.35">
      <c r="A31" s="31">
        <v>6710</v>
      </c>
      <c r="B31" s="31">
        <v>671</v>
      </c>
      <c r="C31" s="1" t="s">
        <v>404</v>
      </c>
      <c r="D31" s="1">
        <v>6</v>
      </c>
      <c r="E31" s="1">
        <v>67</v>
      </c>
      <c r="F31" s="1" t="s">
        <v>382</v>
      </c>
      <c r="G31" s="1" t="s">
        <v>395</v>
      </c>
      <c r="H31" s="1" t="s">
        <v>426</v>
      </c>
    </row>
    <row r="32" spans="1:8" x14ac:dyDescent="0.35">
      <c r="A32" s="31">
        <v>6720</v>
      </c>
      <c r="B32" s="31">
        <v>672</v>
      </c>
      <c r="C32" s="1" t="s">
        <v>405</v>
      </c>
      <c r="D32" s="1">
        <v>6</v>
      </c>
      <c r="E32" s="1">
        <v>67</v>
      </c>
      <c r="F32" s="1" t="s">
        <v>382</v>
      </c>
      <c r="G32" s="1" t="s">
        <v>395</v>
      </c>
      <c r="H32" s="1" t="s">
        <v>426</v>
      </c>
    </row>
    <row r="33" spans="1:8" x14ac:dyDescent="0.35">
      <c r="A33" s="31">
        <v>6730</v>
      </c>
      <c r="B33" s="31">
        <v>673</v>
      </c>
      <c r="C33" s="1" t="s">
        <v>406</v>
      </c>
      <c r="D33" s="1">
        <v>6</v>
      </c>
      <c r="E33" s="1">
        <v>67</v>
      </c>
      <c r="F33" s="1" t="s">
        <v>382</v>
      </c>
      <c r="G33" s="1" t="s">
        <v>395</v>
      </c>
      <c r="H33" s="1" t="s">
        <v>426</v>
      </c>
    </row>
    <row r="34" spans="1:8" x14ac:dyDescent="0.35">
      <c r="A34" s="31">
        <v>6740</v>
      </c>
      <c r="B34" s="31">
        <v>674</v>
      </c>
      <c r="C34" s="1" t="s">
        <v>407</v>
      </c>
      <c r="D34" s="1">
        <v>6</v>
      </c>
      <c r="E34" s="1">
        <v>67</v>
      </c>
      <c r="F34" s="1" t="s">
        <v>382</v>
      </c>
      <c r="G34" s="1" t="s">
        <v>395</v>
      </c>
      <c r="H34" s="1" t="s">
        <v>426</v>
      </c>
    </row>
    <row r="35" spans="1:8" x14ac:dyDescent="0.35">
      <c r="A35" s="31">
        <v>6750</v>
      </c>
      <c r="B35" s="31">
        <v>675</v>
      </c>
      <c r="C35" s="1" t="s">
        <v>408</v>
      </c>
      <c r="D35" s="1">
        <v>6</v>
      </c>
      <c r="E35" s="1">
        <v>67</v>
      </c>
      <c r="F35" s="1" t="s">
        <v>382</v>
      </c>
      <c r="G35" s="1" t="s">
        <v>395</v>
      </c>
      <c r="H35" s="1" t="s">
        <v>426</v>
      </c>
    </row>
    <row r="36" spans="1:8" x14ac:dyDescent="0.35">
      <c r="A36" s="31">
        <v>6800</v>
      </c>
      <c r="B36" s="31">
        <v>680</v>
      </c>
      <c r="C36" s="1" t="s">
        <v>409</v>
      </c>
      <c r="D36" s="1">
        <v>6</v>
      </c>
      <c r="E36" s="1">
        <v>68</v>
      </c>
      <c r="F36" s="1" t="s">
        <v>382</v>
      </c>
      <c r="G36" s="1" t="s">
        <v>395</v>
      </c>
      <c r="H36" s="1" t="s">
        <v>426</v>
      </c>
    </row>
    <row r="37" spans="1:8" x14ac:dyDescent="0.35">
      <c r="A37" s="31">
        <v>6840</v>
      </c>
      <c r="B37" s="31">
        <v>684</v>
      </c>
      <c r="C37" s="1" t="s">
        <v>410</v>
      </c>
      <c r="D37" s="1">
        <v>6</v>
      </c>
      <c r="E37" s="1">
        <v>68</v>
      </c>
      <c r="F37" s="1" t="s">
        <v>382</v>
      </c>
      <c r="G37" s="1" t="s">
        <v>395</v>
      </c>
      <c r="H37" s="1" t="s">
        <v>426</v>
      </c>
    </row>
    <row r="38" spans="1:8" x14ac:dyDescent="0.35">
      <c r="A38" s="31">
        <v>6860</v>
      </c>
      <c r="B38" s="31">
        <v>686</v>
      </c>
      <c r="C38" s="1" t="s">
        <v>411</v>
      </c>
      <c r="D38" s="1">
        <v>6</v>
      </c>
      <c r="E38" s="1">
        <v>68</v>
      </c>
      <c r="F38" s="1" t="s">
        <v>382</v>
      </c>
      <c r="G38" s="1" t="s">
        <v>395</v>
      </c>
      <c r="H38" s="1" t="s">
        <v>426</v>
      </c>
    </row>
    <row r="39" spans="1:8" x14ac:dyDescent="0.35">
      <c r="A39" s="31">
        <v>6870</v>
      </c>
      <c r="B39" s="31">
        <v>687</v>
      </c>
      <c r="C39" s="1" t="s">
        <v>412</v>
      </c>
      <c r="D39" s="1">
        <v>6</v>
      </c>
      <c r="E39" s="1">
        <v>68</v>
      </c>
      <c r="F39" s="1" t="s">
        <v>382</v>
      </c>
      <c r="G39" s="1" t="s">
        <v>395</v>
      </c>
      <c r="H39" s="1" t="s">
        <v>426</v>
      </c>
    </row>
    <row r="40" spans="1:8" x14ac:dyDescent="0.35">
      <c r="A40" s="31">
        <v>6900</v>
      </c>
      <c r="B40" s="31">
        <v>690</v>
      </c>
      <c r="C40" s="1" t="s">
        <v>413</v>
      </c>
      <c r="D40" s="1">
        <v>6</v>
      </c>
      <c r="E40" s="1">
        <v>69</v>
      </c>
      <c r="F40" s="1" t="s">
        <v>382</v>
      </c>
      <c r="G40" s="1" t="s">
        <v>395</v>
      </c>
      <c r="H40" s="1" t="s">
        <v>426</v>
      </c>
    </row>
    <row r="41" spans="1:8" x14ac:dyDescent="0.35">
      <c r="A41" s="31">
        <v>7100</v>
      </c>
      <c r="B41" s="31">
        <v>710</v>
      </c>
      <c r="C41" s="1" t="s">
        <v>414</v>
      </c>
      <c r="D41" s="1">
        <v>7</v>
      </c>
      <c r="E41" s="1">
        <v>71</v>
      </c>
      <c r="F41" s="1" t="s">
        <v>382</v>
      </c>
      <c r="G41" s="1" t="s">
        <v>395</v>
      </c>
      <c r="H41" s="1" t="s">
        <v>426</v>
      </c>
    </row>
    <row r="42" spans="1:8" x14ac:dyDescent="0.35">
      <c r="A42" s="31">
        <v>7130</v>
      </c>
      <c r="B42" s="31">
        <v>713</v>
      </c>
      <c r="C42" s="1" t="s">
        <v>415</v>
      </c>
      <c r="D42" s="1">
        <v>7</v>
      </c>
      <c r="E42" s="1">
        <v>71</v>
      </c>
      <c r="F42" s="1" t="s">
        <v>382</v>
      </c>
      <c r="G42" s="1" t="s">
        <v>395</v>
      </c>
      <c r="H42" s="1" t="s">
        <v>426</v>
      </c>
    </row>
    <row r="43" spans="1:8" x14ac:dyDescent="0.35">
      <c r="A43" s="31">
        <v>7150</v>
      </c>
      <c r="B43" s="31">
        <v>715</v>
      </c>
      <c r="C43" s="1" t="s">
        <v>416</v>
      </c>
      <c r="D43" s="1">
        <v>7</v>
      </c>
      <c r="E43" s="1">
        <v>71</v>
      </c>
      <c r="F43" s="1" t="s">
        <v>382</v>
      </c>
      <c r="G43" s="1" t="s">
        <v>395</v>
      </c>
      <c r="H43" s="1" t="s">
        <v>426</v>
      </c>
    </row>
    <row r="44" spans="1:8" x14ac:dyDescent="0.35">
      <c r="A44" s="31">
        <v>7320</v>
      </c>
      <c r="B44" s="31">
        <v>732</v>
      </c>
      <c r="C44" s="1" t="s">
        <v>417</v>
      </c>
      <c r="D44" s="1">
        <v>7</v>
      </c>
      <c r="E44" s="1">
        <v>73</v>
      </c>
      <c r="F44" s="1" t="s">
        <v>382</v>
      </c>
      <c r="G44" s="1" t="s">
        <v>395</v>
      </c>
      <c r="H44" s="1" t="s">
        <v>426</v>
      </c>
    </row>
    <row r="45" spans="1:8" x14ac:dyDescent="0.35">
      <c r="A45" s="31">
        <v>7400</v>
      </c>
      <c r="B45" s="31">
        <v>740</v>
      </c>
      <c r="C45" s="1" t="s">
        <v>418</v>
      </c>
      <c r="D45" s="1">
        <v>7</v>
      </c>
      <c r="E45" s="1">
        <v>74</v>
      </c>
      <c r="F45" s="1" t="s">
        <v>382</v>
      </c>
      <c r="G45" s="1" t="s">
        <v>395</v>
      </c>
      <c r="H45" s="1" t="s">
        <v>426</v>
      </c>
    </row>
    <row r="46" spans="1:8" x14ac:dyDescent="0.35">
      <c r="A46" s="31">
        <v>7600</v>
      </c>
      <c r="B46" s="31">
        <v>760</v>
      </c>
      <c r="C46" s="1" t="s">
        <v>419</v>
      </c>
      <c r="D46" s="1">
        <v>7</v>
      </c>
      <c r="E46" s="1">
        <v>76</v>
      </c>
      <c r="F46" s="1" t="s">
        <v>382</v>
      </c>
      <c r="G46" s="1" t="s">
        <v>395</v>
      </c>
      <c r="H46" s="1" t="s">
        <v>426</v>
      </c>
    </row>
    <row r="47" spans="1:8" x14ac:dyDescent="0.35">
      <c r="A47" s="31">
        <v>7790</v>
      </c>
      <c r="B47" s="31">
        <v>779</v>
      </c>
      <c r="C47" s="1" t="s">
        <v>420</v>
      </c>
      <c r="D47" s="1">
        <v>7</v>
      </c>
      <c r="E47" s="1">
        <v>77</v>
      </c>
      <c r="F47" s="1" t="s">
        <v>382</v>
      </c>
      <c r="G47" s="1" t="s">
        <v>395</v>
      </c>
      <c r="H47" s="1" t="s">
        <v>426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D9312-ECE3-49B9-B454-701CB84AD71C}">
  <dimension ref="A1:E7"/>
  <sheetViews>
    <sheetView workbookViewId="0">
      <selection sqref="A1:H1"/>
    </sheetView>
  </sheetViews>
  <sheetFormatPr defaultRowHeight="14.5" x14ac:dyDescent="0.35"/>
  <cols>
    <col min="1" max="1" width="10.36328125" bestFit="1" customWidth="1"/>
    <col min="2" max="2" width="22.36328125" bestFit="1" customWidth="1"/>
    <col min="3" max="3" width="18.81640625" bestFit="1" customWidth="1"/>
    <col min="4" max="4" width="19.1796875" bestFit="1" customWidth="1"/>
    <col min="5" max="5" width="17.453125" bestFit="1" customWidth="1"/>
  </cols>
  <sheetData>
    <row r="1" spans="1:5" s="17" customFormat="1" x14ac:dyDescent="0.35">
      <c r="A1" s="18" t="s">
        <v>30</v>
      </c>
      <c r="B1" s="18" t="s">
        <v>31</v>
      </c>
      <c r="C1" s="18" t="s">
        <v>32</v>
      </c>
      <c r="D1" s="18" t="s">
        <v>33</v>
      </c>
      <c r="E1" s="18" t="s">
        <v>34</v>
      </c>
    </row>
    <row r="2" spans="1:5" x14ac:dyDescent="0.35">
      <c r="A2" s="1" t="s">
        <v>35</v>
      </c>
      <c r="B2" s="1" t="s">
        <v>36</v>
      </c>
      <c r="C2" s="1" t="s">
        <v>37</v>
      </c>
      <c r="D2" s="1" t="s">
        <v>38</v>
      </c>
      <c r="E2" s="1" t="s">
        <v>39</v>
      </c>
    </row>
    <row r="3" spans="1:5" x14ac:dyDescent="0.35">
      <c r="A3" s="1" t="s">
        <v>50</v>
      </c>
      <c r="B3" s="1" t="s">
        <v>51</v>
      </c>
      <c r="C3" s="1" t="s">
        <v>42</v>
      </c>
      <c r="D3" s="1" t="s">
        <v>52</v>
      </c>
      <c r="E3" s="1" t="s">
        <v>44</v>
      </c>
    </row>
    <row r="4" spans="1:5" x14ac:dyDescent="0.35">
      <c r="A4" s="1" t="s">
        <v>438</v>
      </c>
      <c r="B4" s="1" t="s">
        <v>439</v>
      </c>
      <c r="C4" s="1" t="s">
        <v>42</v>
      </c>
      <c r="D4" s="1" t="s">
        <v>52</v>
      </c>
      <c r="E4" s="1" t="s">
        <v>44</v>
      </c>
    </row>
    <row r="5" spans="1:5" x14ac:dyDescent="0.35">
      <c r="A5" s="1" t="s">
        <v>40</v>
      </c>
      <c r="B5" s="1" t="s">
        <v>41</v>
      </c>
      <c r="C5" s="1" t="s">
        <v>42</v>
      </c>
      <c r="D5" s="1" t="s">
        <v>43</v>
      </c>
      <c r="E5" s="1" t="s">
        <v>44</v>
      </c>
    </row>
    <row r="6" spans="1:5" x14ac:dyDescent="0.35">
      <c r="A6" s="1" t="s">
        <v>45</v>
      </c>
      <c r="B6" s="1" t="s">
        <v>46</v>
      </c>
      <c r="C6" s="1" t="s">
        <v>47</v>
      </c>
      <c r="D6" s="1" t="s">
        <v>48</v>
      </c>
      <c r="E6" s="1" t="s">
        <v>49</v>
      </c>
    </row>
    <row r="7" spans="1:5" x14ac:dyDescent="0.35">
      <c r="A7" s="1" t="s">
        <v>440</v>
      </c>
      <c r="B7" s="1" t="s">
        <v>441</v>
      </c>
      <c r="C7" s="1" t="s">
        <v>37</v>
      </c>
      <c r="D7" s="1" t="s">
        <v>38</v>
      </c>
      <c r="E7" s="1" t="s">
        <v>442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21EC8-77F2-4215-ABEA-FA03B2DD0144}">
  <dimension ref="A1:C4"/>
  <sheetViews>
    <sheetView workbookViewId="0">
      <selection sqref="A1:H1"/>
    </sheetView>
  </sheetViews>
  <sheetFormatPr defaultRowHeight="14.5" x14ac:dyDescent="0.35"/>
  <cols>
    <col min="1" max="1" width="9.81640625" bestFit="1" customWidth="1"/>
    <col min="2" max="2" width="24.90625" bestFit="1" customWidth="1"/>
    <col min="3" max="3" width="11.1796875" bestFit="1" customWidth="1"/>
  </cols>
  <sheetData>
    <row r="1" spans="1:3" s="17" customFormat="1" x14ac:dyDescent="0.35">
      <c r="A1" s="18" t="s">
        <v>153</v>
      </c>
      <c r="B1" s="18" t="s">
        <v>433</v>
      </c>
      <c r="C1" s="18" t="s">
        <v>434</v>
      </c>
    </row>
    <row r="2" spans="1:3" x14ac:dyDescent="0.35">
      <c r="A2" s="1" t="s">
        <v>4</v>
      </c>
      <c r="B2" s="1" t="s">
        <v>435</v>
      </c>
      <c r="C2" s="31">
        <v>1</v>
      </c>
    </row>
    <row r="3" spans="1:3" x14ac:dyDescent="0.35">
      <c r="A3" s="1" t="s">
        <v>5</v>
      </c>
      <c r="B3" s="1" t="s">
        <v>436</v>
      </c>
      <c r="C3" s="31">
        <v>2</v>
      </c>
    </row>
    <row r="4" spans="1:3" x14ac:dyDescent="0.35">
      <c r="A4" s="1" t="s">
        <v>6</v>
      </c>
      <c r="B4" s="1" t="s">
        <v>437</v>
      </c>
      <c r="C4" s="31">
        <v>3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FD96D-1A35-4745-8DBC-B5B3409566A6}">
  <dimension ref="A1:C6"/>
  <sheetViews>
    <sheetView workbookViewId="0">
      <selection sqref="A1:H1"/>
    </sheetView>
  </sheetViews>
  <sheetFormatPr defaultRowHeight="14.5" x14ac:dyDescent="0.35"/>
  <cols>
    <col min="1" max="1" width="16.36328125" bestFit="1" customWidth="1"/>
    <col min="2" max="2" width="27.36328125" bestFit="1" customWidth="1"/>
    <col min="3" max="3" width="19.453125" bestFit="1" customWidth="1"/>
  </cols>
  <sheetData>
    <row r="1" spans="1:3" s="17" customFormat="1" x14ac:dyDescent="0.35">
      <c r="A1" s="18" t="s">
        <v>53</v>
      </c>
      <c r="B1" s="18" t="s">
        <v>54</v>
      </c>
      <c r="C1" s="18" t="s">
        <v>55</v>
      </c>
    </row>
    <row r="2" spans="1:3" x14ac:dyDescent="0.35">
      <c r="A2" s="1" t="s">
        <v>62</v>
      </c>
      <c r="B2" s="1" t="s">
        <v>63</v>
      </c>
      <c r="C2" s="1" t="s">
        <v>61</v>
      </c>
    </row>
    <row r="3" spans="1:3" x14ac:dyDescent="0.35">
      <c r="A3" s="1" t="s">
        <v>59</v>
      </c>
      <c r="B3" s="1" t="s">
        <v>60</v>
      </c>
      <c r="C3" s="1" t="s">
        <v>61</v>
      </c>
    </row>
    <row r="4" spans="1:3" x14ac:dyDescent="0.35">
      <c r="A4" s="1" t="s">
        <v>64</v>
      </c>
      <c r="B4" s="1" t="s">
        <v>65</v>
      </c>
      <c r="C4" s="1" t="s">
        <v>66</v>
      </c>
    </row>
    <row r="5" spans="1:3" x14ac:dyDescent="0.35">
      <c r="A5" s="1" t="s">
        <v>56</v>
      </c>
      <c r="B5" s="1" t="s">
        <v>57</v>
      </c>
      <c r="C5" s="1" t="s">
        <v>58</v>
      </c>
    </row>
    <row r="6" spans="1:3" x14ac:dyDescent="0.35">
      <c r="A6" s="1" t="s">
        <v>67</v>
      </c>
      <c r="B6" s="1" t="s">
        <v>68</v>
      </c>
      <c r="C6" s="1" t="s">
        <v>58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4246C-5E3D-4381-8305-7864518758D8}">
  <dimension ref="A1:F37"/>
  <sheetViews>
    <sheetView workbookViewId="0">
      <selection sqref="A1:H1"/>
    </sheetView>
  </sheetViews>
  <sheetFormatPr defaultRowHeight="14.5" x14ac:dyDescent="0.35"/>
  <cols>
    <col min="1" max="1" width="16.08984375" bestFit="1" customWidth="1"/>
    <col min="2" max="2" width="54.26953125" bestFit="1" customWidth="1"/>
    <col min="3" max="3" width="13.36328125" bestFit="1" customWidth="1"/>
    <col min="4" max="4" width="22.90625" bestFit="1" customWidth="1"/>
    <col min="5" max="6" width="10.1796875" bestFit="1" customWidth="1"/>
  </cols>
  <sheetData>
    <row r="1" spans="1:6" s="17" customFormat="1" x14ac:dyDescent="0.35">
      <c r="A1" s="18" t="s">
        <v>158</v>
      </c>
      <c r="B1" s="18" t="s">
        <v>243</v>
      </c>
      <c r="C1" s="18" t="s">
        <v>244</v>
      </c>
      <c r="D1" s="18" t="s">
        <v>543</v>
      </c>
      <c r="E1" s="18" t="s">
        <v>201</v>
      </c>
      <c r="F1" s="18" t="s">
        <v>7</v>
      </c>
    </row>
    <row r="2" spans="1:6" x14ac:dyDescent="0.35">
      <c r="A2" s="1" t="s">
        <v>248</v>
      </c>
      <c r="B2" s="1" t="s">
        <v>249</v>
      </c>
      <c r="C2" s="1" t="s">
        <v>250</v>
      </c>
      <c r="D2" s="31">
        <v>180</v>
      </c>
      <c r="E2" s="1" t="s">
        <v>203</v>
      </c>
      <c r="F2" s="1" t="s">
        <v>16</v>
      </c>
    </row>
    <row r="3" spans="1:6" x14ac:dyDescent="0.35">
      <c r="A3" s="1" t="s">
        <v>251</v>
      </c>
      <c r="B3" s="1" t="s">
        <v>252</v>
      </c>
      <c r="C3" s="1" t="s">
        <v>253</v>
      </c>
      <c r="D3" s="31">
        <v>120</v>
      </c>
      <c r="E3" s="1" t="s">
        <v>203</v>
      </c>
      <c r="F3" s="1" t="s">
        <v>16</v>
      </c>
    </row>
    <row r="4" spans="1:6" x14ac:dyDescent="0.35">
      <c r="A4" s="1" t="s">
        <v>254</v>
      </c>
      <c r="B4" s="1" t="s">
        <v>255</v>
      </c>
      <c r="C4" s="1" t="s">
        <v>250</v>
      </c>
      <c r="D4" s="31">
        <v>180</v>
      </c>
      <c r="E4" s="1" t="s">
        <v>205</v>
      </c>
      <c r="F4" s="1" t="s">
        <v>16</v>
      </c>
    </row>
    <row r="5" spans="1:6" x14ac:dyDescent="0.35">
      <c r="A5" s="1" t="s">
        <v>256</v>
      </c>
      <c r="B5" s="1" t="s">
        <v>257</v>
      </c>
      <c r="C5" s="1" t="s">
        <v>253</v>
      </c>
      <c r="D5" s="31">
        <v>120</v>
      </c>
      <c r="E5" s="1" t="s">
        <v>205</v>
      </c>
      <c r="F5" s="1" t="s">
        <v>16</v>
      </c>
    </row>
    <row r="6" spans="1:6" x14ac:dyDescent="0.35">
      <c r="A6" s="1" t="s">
        <v>258</v>
      </c>
      <c r="B6" s="1" t="s">
        <v>259</v>
      </c>
      <c r="C6" s="1" t="s">
        <v>250</v>
      </c>
      <c r="D6" s="31">
        <v>180</v>
      </c>
      <c r="E6" s="1" t="s">
        <v>207</v>
      </c>
      <c r="F6" s="1" t="s">
        <v>16</v>
      </c>
    </row>
    <row r="7" spans="1:6" x14ac:dyDescent="0.35">
      <c r="A7" s="1" t="s">
        <v>260</v>
      </c>
      <c r="B7" s="1" t="s">
        <v>261</v>
      </c>
      <c r="C7" s="1" t="s">
        <v>253</v>
      </c>
      <c r="D7" s="31">
        <v>120</v>
      </c>
      <c r="E7" s="1" t="s">
        <v>207</v>
      </c>
      <c r="F7" s="1" t="s">
        <v>16</v>
      </c>
    </row>
    <row r="8" spans="1:6" x14ac:dyDescent="0.35">
      <c r="A8" s="1" t="s">
        <v>262</v>
      </c>
      <c r="B8" s="1" t="s">
        <v>263</v>
      </c>
      <c r="C8" s="1" t="s">
        <v>250</v>
      </c>
      <c r="D8" s="31">
        <v>180</v>
      </c>
      <c r="E8" s="1" t="s">
        <v>209</v>
      </c>
      <c r="F8" s="1" t="s">
        <v>18</v>
      </c>
    </row>
    <row r="9" spans="1:6" x14ac:dyDescent="0.35">
      <c r="A9" s="1" t="s">
        <v>264</v>
      </c>
      <c r="B9" s="1" t="s">
        <v>265</v>
      </c>
      <c r="C9" s="1" t="s">
        <v>253</v>
      </c>
      <c r="D9" s="31">
        <v>120</v>
      </c>
      <c r="E9" s="1" t="s">
        <v>209</v>
      </c>
      <c r="F9" s="1" t="s">
        <v>18</v>
      </c>
    </row>
    <row r="10" spans="1:6" x14ac:dyDescent="0.35">
      <c r="A10" s="1" t="s">
        <v>266</v>
      </c>
      <c r="B10" s="1" t="s">
        <v>267</v>
      </c>
      <c r="C10" s="1" t="s">
        <v>250</v>
      </c>
      <c r="D10" s="31">
        <v>180</v>
      </c>
      <c r="E10" s="1" t="s">
        <v>211</v>
      </c>
      <c r="F10" s="1" t="s">
        <v>18</v>
      </c>
    </row>
    <row r="11" spans="1:6" x14ac:dyDescent="0.35">
      <c r="A11" s="1" t="s">
        <v>268</v>
      </c>
      <c r="B11" s="1" t="s">
        <v>269</v>
      </c>
      <c r="C11" s="1" t="s">
        <v>253</v>
      </c>
      <c r="D11" s="31">
        <v>120</v>
      </c>
      <c r="E11" s="1" t="s">
        <v>211</v>
      </c>
      <c r="F11" s="1" t="s">
        <v>18</v>
      </c>
    </row>
    <row r="12" spans="1:6" x14ac:dyDescent="0.35">
      <c r="A12" s="1" t="s">
        <v>270</v>
      </c>
      <c r="B12" s="1" t="s">
        <v>271</v>
      </c>
      <c r="C12" s="1" t="s">
        <v>250</v>
      </c>
      <c r="D12" s="31">
        <v>180</v>
      </c>
      <c r="E12" s="1" t="s">
        <v>213</v>
      </c>
      <c r="F12" s="1" t="s">
        <v>18</v>
      </c>
    </row>
    <row r="13" spans="1:6" x14ac:dyDescent="0.35">
      <c r="A13" s="1" t="s">
        <v>272</v>
      </c>
      <c r="B13" s="1" t="s">
        <v>273</v>
      </c>
      <c r="C13" s="1" t="s">
        <v>253</v>
      </c>
      <c r="D13" s="31">
        <v>120</v>
      </c>
      <c r="E13" s="1" t="s">
        <v>213</v>
      </c>
      <c r="F13" s="1" t="s">
        <v>18</v>
      </c>
    </row>
    <row r="14" spans="1:6" x14ac:dyDescent="0.35">
      <c r="A14" s="1" t="s">
        <v>274</v>
      </c>
      <c r="B14" s="1" t="s">
        <v>275</v>
      </c>
      <c r="C14" s="1" t="s">
        <v>250</v>
      </c>
      <c r="D14" s="31">
        <v>180</v>
      </c>
      <c r="E14" s="1" t="s">
        <v>215</v>
      </c>
      <c r="F14" s="1" t="s">
        <v>20</v>
      </c>
    </row>
    <row r="15" spans="1:6" x14ac:dyDescent="0.35">
      <c r="A15" s="1" t="s">
        <v>276</v>
      </c>
      <c r="B15" s="1" t="s">
        <v>277</v>
      </c>
      <c r="C15" s="1" t="s">
        <v>253</v>
      </c>
      <c r="D15" s="31">
        <v>120</v>
      </c>
      <c r="E15" s="1" t="s">
        <v>215</v>
      </c>
      <c r="F15" s="1" t="s">
        <v>20</v>
      </c>
    </row>
    <row r="16" spans="1:6" x14ac:dyDescent="0.35">
      <c r="A16" s="1" t="s">
        <v>278</v>
      </c>
      <c r="B16" s="1" t="s">
        <v>279</v>
      </c>
      <c r="C16" s="1" t="s">
        <v>250</v>
      </c>
      <c r="D16" s="31">
        <v>180</v>
      </c>
      <c r="E16" s="1" t="s">
        <v>217</v>
      </c>
      <c r="F16" s="1" t="s">
        <v>20</v>
      </c>
    </row>
    <row r="17" spans="1:6" x14ac:dyDescent="0.35">
      <c r="A17" s="1" t="s">
        <v>280</v>
      </c>
      <c r="B17" s="1" t="s">
        <v>281</v>
      </c>
      <c r="C17" s="1" t="s">
        <v>253</v>
      </c>
      <c r="D17" s="31">
        <v>120</v>
      </c>
      <c r="E17" s="1" t="s">
        <v>217</v>
      </c>
      <c r="F17" s="1" t="s">
        <v>20</v>
      </c>
    </row>
    <row r="18" spans="1:6" x14ac:dyDescent="0.35">
      <c r="A18" s="1" t="s">
        <v>282</v>
      </c>
      <c r="B18" s="1" t="s">
        <v>283</v>
      </c>
      <c r="C18" s="1" t="s">
        <v>250</v>
      </c>
      <c r="D18" s="31">
        <v>180</v>
      </c>
      <c r="E18" s="1" t="s">
        <v>219</v>
      </c>
      <c r="F18" s="1" t="s">
        <v>20</v>
      </c>
    </row>
    <row r="19" spans="1:6" x14ac:dyDescent="0.35">
      <c r="A19" s="1" t="s">
        <v>284</v>
      </c>
      <c r="B19" s="1" t="s">
        <v>285</v>
      </c>
      <c r="C19" s="1" t="s">
        <v>253</v>
      </c>
      <c r="D19" s="31">
        <v>120</v>
      </c>
      <c r="E19" s="1" t="s">
        <v>219</v>
      </c>
      <c r="F19" s="1" t="s">
        <v>20</v>
      </c>
    </row>
    <row r="20" spans="1:6" x14ac:dyDescent="0.35">
      <c r="A20" s="1" t="s">
        <v>286</v>
      </c>
      <c r="B20" s="1" t="s">
        <v>287</v>
      </c>
      <c r="C20" s="1" t="s">
        <v>250</v>
      </c>
      <c r="D20" s="31">
        <v>180</v>
      </c>
      <c r="E20" s="1" t="s">
        <v>221</v>
      </c>
      <c r="F20" s="1" t="s">
        <v>22</v>
      </c>
    </row>
    <row r="21" spans="1:6" x14ac:dyDescent="0.35">
      <c r="A21" s="1" t="s">
        <v>288</v>
      </c>
      <c r="B21" s="1" t="s">
        <v>289</v>
      </c>
      <c r="C21" s="1" t="s">
        <v>253</v>
      </c>
      <c r="D21" s="31">
        <v>120</v>
      </c>
      <c r="E21" s="1" t="s">
        <v>221</v>
      </c>
      <c r="F21" s="1" t="s">
        <v>22</v>
      </c>
    </row>
    <row r="22" spans="1:6" x14ac:dyDescent="0.35">
      <c r="A22" s="1" t="s">
        <v>290</v>
      </c>
      <c r="B22" s="1" t="s">
        <v>291</v>
      </c>
      <c r="C22" s="1" t="s">
        <v>250</v>
      </c>
      <c r="D22" s="31">
        <v>180</v>
      </c>
      <c r="E22" s="1" t="s">
        <v>223</v>
      </c>
      <c r="F22" s="1" t="s">
        <v>22</v>
      </c>
    </row>
    <row r="23" spans="1:6" x14ac:dyDescent="0.35">
      <c r="A23" s="1" t="s">
        <v>292</v>
      </c>
      <c r="B23" s="1" t="s">
        <v>293</v>
      </c>
      <c r="C23" s="1" t="s">
        <v>253</v>
      </c>
      <c r="D23" s="31">
        <v>120</v>
      </c>
      <c r="E23" s="1" t="s">
        <v>223</v>
      </c>
      <c r="F23" s="1" t="s">
        <v>22</v>
      </c>
    </row>
    <row r="24" spans="1:6" x14ac:dyDescent="0.35">
      <c r="A24" s="1" t="s">
        <v>294</v>
      </c>
      <c r="B24" s="1" t="s">
        <v>295</v>
      </c>
      <c r="C24" s="1" t="s">
        <v>250</v>
      </c>
      <c r="D24" s="31">
        <v>180</v>
      </c>
      <c r="E24" s="1" t="s">
        <v>225</v>
      </c>
      <c r="F24" s="1" t="s">
        <v>22</v>
      </c>
    </row>
    <row r="25" spans="1:6" x14ac:dyDescent="0.35">
      <c r="A25" s="1" t="s">
        <v>296</v>
      </c>
      <c r="B25" s="1" t="s">
        <v>297</v>
      </c>
      <c r="C25" s="1" t="s">
        <v>253</v>
      </c>
      <c r="D25" s="31">
        <v>120</v>
      </c>
      <c r="E25" s="1" t="s">
        <v>225</v>
      </c>
      <c r="F25" s="1" t="s">
        <v>22</v>
      </c>
    </row>
    <row r="26" spans="1:6" x14ac:dyDescent="0.35">
      <c r="A26" s="1" t="s">
        <v>298</v>
      </c>
      <c r="B26" s="1" t="s">
        <v>299</v>
      </c>
      <c r="C26" s="1" t="s">
        <v>250</v>
      </c>
      <c r="D26" s="31">
        <v>180</v>
      </c>
      <c r="E26" s="1" t="s">
        <v>227</v>
      </c>
      <c r="F26" s="1" t="s">
        <v>24</v>
      </c>
    </row>
    <row r="27" spans="1:6" x14ac:dyDescent="0.35">
      <c r="A27" s="1" t="s">
        <v>300</v>
      </c>
      <c r="B27" s="1" t="s">
        <v>301</v>
      </c>
      <c r="C27" s="1" t="s">
        <v>253</v>
      </c>
      <c r="D27" s="31">
        <v>120</v>
      </c>
      <c r="E27" s="1" t="s">
        <v>227</v>
      </c>
      <c r="F27" s="1" t="s">
        <v>24</v>
      </c>
    </row>
    <row r="28" spans="1:6" x14ac:dyDescent="0.35">
      <c r="A28" s="1" t="s">
        <v>302</v>
      </c>
      <c r="B28" s="1" t="s">
        <v>303</v>
      </c>
      <c r="C28" s="1" t="s">
        <v>250</v>
      </c>
      <c r="D28" s="31">
        <v>180</v>
      </c>
      <c r="E28" s="1" t="s">
        <v>229</v>
      </c>
      <c r="F28" s="1" t="s">
        <v>24</v>
      </c>
    </row>
    <row r="29" spans="1:6" x14ac:dyDescent="0.35">
      <c r="A29" s="1" t="s">
        <v>304</v>
      </c>
      <c r="B29" s="1" t="s">
        <v>305</v>
      </c>
      <c r="C29" s="1" t="s">
        <v>253</v>
      </c>
      <c r="D29" s="31">
        <v>120</v>
      </c>
      <c r="E29" s="1" t="s">
        <v>229</v>
      </c>
      <c r="F29" s="1" t="s">
        <v>24</v>
      </c>
    </row>
    <row r="30" spans="1:6" x14ac:dyDescent="0.35">
      <c r="A30" s="1" t="s">
        <v>306</v>
      </c>
      <c r="B30" s="1" t="s">
        <v>307</v>
      </c>
      <c r="C30" s="1" t="s">
        <v>250</v>
      </c>
      <c r="D30" s="31">
        <v>180</v>
      </c>
      <c r="E30" s="1" t="s">
        <v>231</v>
      </c>
      <c r="F30" s="1" t="s">
        <v>24</v>
      </c>
    </row>
    <row r="31" spans="1:6" x14ac:dyDescent="0.35">
      <c r="A31" s="1" t="s">
        <v>308</v>
      </c>
      <c r="B31" s="1" t="s">
        <v>309</v>
      </c>
      <c r="C31" s="1" t="s">
        <v>253</v>
      </c>
      <c r="D31" s="31">
        <v>120</v>
      </c>
      <c r="E31" s="1" t="s">
        <v>231</v>
      </c>
      <c r="F31" s="1" t="s">
        <v>24</v>
      </c>
    </row>
    <row r="32" spans="1:6" x14ac:dyDescent="0.35">
      <c r="A32" s="1" t="s">
        <v>310</v>
      </c>
      <c r="B32" s="1" t="s">
        <v>311</v>
      </c>
      <c r="C32" s="1" t="s">
        <v>250</v>
      </c>
      <c r="D32" s="31">
        <v>180</v>
      </c>
      <c r="E32" s="1" t="s">
        <v>233</v>
      </c>
      <c r="F32" s="1" t="s">
        <v>26</v>
      </c>
    </row>
    <row r="33" spans="1:6" x14ac:dyDescent="0.35">
      <c r="A33" s="1" t="s">
        <v>312</v>
      </c>
      <c r="B33" s="1" t="s">
        <v>313</v>
      </c>
      <c r="C33" s="1" t="s">
        <v>253</v>
      </c>
      <c r="D33" s="31">
        <v>120</v>
      </c>
      <c r="E33" s="1" t="s">
        <v>233</v>
      </c>
      <c r="F33" s="1" t="s">
        <v>26</v>
      </c>
    </row>
    <row r="34" spans="1:6" x14ac:dyDescent="0.35">
      <c r="A34" s="1" t="s">
        <v>314</v>
      </c>
      <c r="B34" s="1" t="s">
        <v>315</v>
      </c>
      <c r="C34" s="1" t="s">
        <v>250</v>
      </c>
      <c r="D34" s="31">
        <v>180</v>
      </c>
      <c r="E34" s="1" t="s">
        <v>235</v>
      </c>
      <c r="F34" s="1" t="s">
        <v>26</v>
      </c>
    </row>
    <row r="35" spans="1:6" x14ac:dyDescent="0.35">
      <c r="A35" s="1" t="s">
        <v>316</v>
      </c>
      <c r="B35" s="1" t="s">
        <v>317</v>
      </c>
      <c r="C35" s="1" t="s">
        <v>253</v>
      </c>
      <c r="D35" s="31">
        <v>120</v>
      </c>
      <c r="E35" s="1" t="s">
        <v>235</v>
      </c>
      <c r="F35" s="1" t="s">
        <v>26</v>
      </c>
    </row>
    <row r="36" spans="1:6" x14ac:dyDescent="0.35">
      <c r="A36" s="1" t="s">
        <v>318</v>
      </c>
      <c r="B36" s="1" t="s">
        <v>319</v>
      </c>
      <c r="C36" s="1" t="s">
        <v>250</v>
      </c>
      <c r="D36" s="31">
        <v>180</v>
      </c>
      <c r="E36" s="1" t="s">
        <v>237</v>
      </c>
      <c r="F36" s="1" t="s">
        <v>26</v>
      </c>
    </row>
    <row r="37" spans="1:6" x14ac:dyDescent="0.35">
      <c r="A37" s="1" t="s">
        <v>320</v>
      </c>
      <c r="B37" s="1" t="s">
        <v>321</v>
      </c>
      <c r="C37" s="1" t="s">
        <v>253</v>
      </c>
      <c r="D37" s="31">
        <v>120</v>
      </c>
      <c r="E37" s="1" t="s">
        <v>237</v>
      </c>
      <c r="F37" s="1" t="s">
        <v>26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EC9D9-177E-400F-A1DA-75111A9B568B}">
  <dimension ref="A1:C22"/>
  <sheetViews>
    <sheetView workbookViewId="0"/>
  </sheetViews>
  <sheetFormatPr defaultRowHeight="14.5" x14ac:dyDescent="0.35"/>
  <cols>
    <col min="1" max="1" width="28" bestFit="1" customWidth="1"/>
    <col min="2" max="2" width="11.81640625" bestFit="1" customWidth="1"/>
    <col min="3" max="3" width="8" bestFit="1" customWidth="1"/>
  </cols>
  <sheetData>
    <row r="1" spans="1:3" x14ac:dyDescent="0.35">
      <c r="A1" s="4" t="s">
        <v>77</v>
      </c>
      <c r="B1" s="4" t="s">
        <v>78</v>
      </c>
      <c r="C1" s="4" t="s">
        <v>79</v>
      </c>
    </row>
    <row r="2" spans="1:3" x14ac:dyDescent="0.35">
      <c r="A2" s="2" t="s">
        <v>80</v>
      </c>
      <c r="B2" s="5">
        <v>109396</v>
      </c>
      <c r="C2" s="2" t="s">
        <v>81</v>
      </c>
    </row>
    <row r="3" spans="1:3" x14ac:dyDescent="0.35">
      <c r="A3" s="2" t="s">
        <v>82</v>
      </c>
      <c r="B3" s="5">
        <v>35760</v>
      </c>
      <c r="C3" s="2" t="s">
        <v>81</v>
      </c>
    </row>
    <row r="4" spans="1:3" x14ac:dyDescent="0.35">
      <c r="A4" s="2" t="s">
        <v>83</v>
      </c>
      <c r="B4" s="5">
        <v>2138486811.0899999</v>
      </c>
      <c r="C4" s="2" t="s">
        <v>84</v>
      </c>
    </row>
    <row r="5" spans="1:3" x14ac:dyDescent="0.35">
      <c r="A5" s="2" t="s">
        <v>85</v>
      </c>
      <c r="B5" s="5">
        <v>2149103939.2800002</v>
      </c>
      <c r="C5" s="2" t="s">
        <v>84</v>
      </c>
    </row>
    <row r="6" spans="1:3" x14ac:dyDescent="0.35">
      <c r="A6" s="2" t="s">
        <v>86</v>
      </c>
      <c r="B6" s="5">
        <v>10617128.189999999</v>
      </c>
      <c r="C6" s="2" t="s">
        <v>84</v>
      </c>
    </row>
    <row r="7" spans="1:3" x14ac:dyDescent="0.35">
      <c r="A7" s="2" t="s">
        <v>87</v>
      </c>
      <c r="B7" s="5">
        <v>10747732.82</v>
      </c>
      <c r="C7" s="2" t="s">
        <v>84</v>
      </c>
    </row>
    <row r="8" spans="1:3" x14ac:dyDescent="0.35">
      <c r="A8" s="2" t="s">
        <v>88</v>
      </c>
      <c r="B8" s="5">
        <v>35472635.979999997</v>
      </c>
      <c r="C8" s="2" t="s">
        <v>84</v>
      </c>
    </row>
    <row r="9" spans="1:3" x14ac:dyDescent="0.35">
      <c r="A9" s="2" t="s">
        <v>89</v>
      </c>
      <c r="B9" s="5">
        <v>35956159.170000002</v>
      </c>
      <c r="C9" s="2" t="s">
        <v>84</v>
      </c>
    </row>
    <row r="10" spans="1:3" x14ac:dyDescent="0.35">
      <c r="A10" s="2" t="s">
        <v>90</v>
      </c>
      <c r="B10" s="5">
        <v>36793524.310000002</v>
      </c>
      <c r="C10" s="2" t="s">
        <v>84</v>
      </c>
    </row>
    <row r="11" spans="1:3" x14ac:dyDescent="0.35">
      <c r="A11" s="2" t="s">
        <v>10</v>
      </c>
      <c r="B11" s="5">
        <f>B10-B7</f>
        <v>26045791.490000002</v>
      </c>
      <c r="C11" s="2" t="s">
        <v>84</v>
      </c>
    </row>
    <row r="12" spans="1:3" x14ac:dyDescent="0.35">
      <c r="A12" s="2" t="s">
        <v>91</v>
      </c>
      <c r="B12" s="5">
        <v>-10005000</v>
      </c>
      <c r="C12" s="2" t="s">
        <v>84</v>
      </c>
    </row>
    <row r="13" spans="1:3" x14ac:dyDescent="0.35">
      <c r="A13" s="2" t="s">
        <v>92</v>
      </c>
      <c r="B13" s="5">
        <v>-5562081.6600000001</v>
      </c>
      <c r="C13" s="2" t="s">
        <v>84</v>
      </c>
    </row>
    <row r="14" spans="1:3" x14ac:dyDescent="0.35">
      <c r="A14" s="2" t="s">
        <v>93</v>
      </c>
      <c r="B14" s="16">
        <f>IFERROR(B13/B12,"")</f>
        <v>0.55593020089955025</v>
      </c>
      <c r="C14" s="2" t="s">
        <v>94</v>
      </c>
    </row>
    <row r="15" spans="1:3" x14ac:dyDescent="0.35">
      <c r="A15" s="2" t="s">
        <v>95</v>
      </c>
      <c r="B15" s="5">
        <f>B10+B12</f>
        <v>26788524.310000002</v>
      </c>
      <c r="C15" s="2" t="s">
        <v>84</v>
      </c>
    </row>
    <row r="16" spans="1:3" x14ac:dyDescent="0.35">
      <c r="A16" s="2" t="s">
        <v>96</v>
      </c>
      <c r="B16" s="5">
        <f>B15-B7</f>
        <v>16040791.490000002</v>
      </c>
      <c r="C16" s="2" t="s">
        <v>84</v>
      </c>
    </row>
    <row r="17" spans="1:3" x14ac:dyDescent="0.35">
      <c r="A17" s="2" t="s">
        <v>97</v>
      </c>
      <c r="B17" s="5">
        <v>25678288.239999998</v>
      </c>
      <c r="C17" s="2" t="s">
        <v>84</v>
      </c>
    </row>
    <row r="18" spans="1:3" x14ac:dyDescent="0.35">
      <c r="A18" s="2" t="s">
        <v>98</v>
      </c>
      <c r="B18" s="5">
        <v>1285.93</v>
      </c>
      <c r="C18" s="2" t="s">
        <v>99</v>
      </c>
    </row>
    <row r="19" spans="1:3" x14ac:dyDescent="0.35">
      <c r="A19" s="2" t="s">
        <v>100</v>
      </c>
      <c r="B19" s="5">
        <v>661.77</v>
      </c>
      <c r="C19" s="2" t="s">
        <v>99</v>
      </c>
    </row>
    <row r="20" spans="1:3" x14ac:dyDescent="0.35">
      <c r="A20" s="2" t="s">
        <v>101</v>
      </c>
      <c r="B20" s="5">
        <v>6490</v>
      </c>
      <c r="C20" s="2" t="s">
        <v>102</v>
      </c>
    </row>
    <row r="21" spans="1:3" x14ac:dyDescent="0.35">
      <c r="A21" s="2" t="s">
        <v>103</v>
      </c>
      <c r="B21" s="5">
        <v>336945.4</v>
      </c>
      <c r="C21" s="2" t="s">
        <v>104</v>
      </c>
    </row>
    <row r="22" spans="1:3" x14ac:dyDescent="0.35">
      <c r="A22" s="2" t="s">
        <v>105</v>
      </c>
      <c r="B22" s="5">
        <v>5615.7380000000003</v>
      </c>
      <c r="C22" s="2" t="s">
        <v>106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Executive</vt:lpstr>
      <vt:lpstr>Monthly</vt:lpstr>
      <vt:lpstr>Faculty</vt:lpstr>
      <vt:lpstr>Institute</vt:lpstr>
      <vt:lpstr>AccountVariance</vt:lpstr>
      <vt:lpstr>Projects</vt:lpstr>
      <vt:lpstr>FTE</vt:lpstr>
      <vt:lpstr>StudyPrograms</vt:lpstr>
      <vt:lpstr>Actions</vt:lpstr>
      <vt:lpstr>ActionStatus</vt:lpstr>
      <vt:lpstr>QA</vt:lpstr>
      <vt:lpstr>Relationships</vt:lpstr>
      <vt:lpstr>ModelGuide</vt:lpstr>
      <vt:lpstr>Glossary</vt:lpstr>
      <vt:lpstr>DimDate</vt:lpstr>
      <vt:lpstr>DimOrganization</vt:lpstr>
      <vt:lpstr>DimAccount</vt:lpstr>
      <vt:lpstr>DimProject</vt:lpstr>
      <vt:lpstr>DimForecastVersion</vt:lpstr>
      <vt:lpstr>DimPositionGroup</vt:lpstr>
      <vt:lpstr>DimStudyProgram</vt:lpstr>
      <vt:lpstr>Benchmarks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Ellingsen</dc:creator>
  <cp:lastModifiedBy>Frank Ellingsen</cp:lastModifiedBy>
  <dcterms:created xsi:type="dcterms:W3CDTF">2026-09-22T08:29:37Z</dcterms:created>
  <dcterms:modified xsi:type="dcterms:W3CDTF">2026-09-22T09:04:35Z</dcterms:modified>
</cp:coreProperties>
</file>