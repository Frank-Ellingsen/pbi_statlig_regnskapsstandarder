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xmlns:r="http://schemas.openxmlformats.org/officeDocument/2006/relationships" name="Executive" sheetId="1" state="visible" r:id="rId1"/>
    <sheet xmlns:r="http://schemas.openxmlformats.org/officeDocument/2006/relationships" name="Monthly" sheetId="2" state="visible" r:id="rId2"/>
    <sheet xmlns:r="http://schemas.openxmlformats.org/officeDocument/2006/relationships" name="Faculty" sheetId="3" state="visible" r:id="rId3"/>
    <sheet xmlns:r="http://schemas.openxmlformats.org/officeDocument/2006/relationships" name="Institute" sheetId="4" state="visible" r:id="rId4"/>
    <sheet xmlns:r="http://schemas.openxmlformats.org/officeDocument/2006/relationships" name="AccountVariance" sheetId="5" state="visible" r:id="rId5"/>
    <sheet xmlns:r="http://schemas.openxmlformats.org/officeDocument/2006/relationships" name="Projects" sheetId="6" state="visible" r:id="rId6"/>
    <sheet xmlns:r="http://schemas.openxmlformats.org/officeDocument/2006/relationships" name="FTE" sheetId="7" state="visible" r:id="rId7"/>
    <sheet xmlns:r="http://schemas.openxmlformats.org/officeDocument/2006/relationships" name="StudyPrograms" sheetId="8" state="visible" r:id="rId8"/>
    <sheet xmlns:r="http://schemas.openxmlformats.org/officeDocument/2006/relationships" name="Actions" sheetId="9" state="visible" r:id="rId9"/>
    <sheet xmlns:r="http://schemas.openxmlformats.org/officeDocument/2006/relationships" name="ActionStatus" sheetId="10" state="visible" r:id="rId10"/>
    <sheet xmlns:r="http://schemas.openxmlformats.org/officeDocument/2006/relationships" name="QA" sheetId="11" state="visible" r:id="rId11"/>
    <sheet xmlns:r="http://schemas.openxmlformats.org/officeDocument/2006/relationships" name="Relationships" sheetId="12" state="visible" r:id="rId12"/>
    <sheet xmlns:r="http://schemas.openxmlformats.org/officeDocument/2006/relationships" name="ModelGuide" sheetId="13" state="visible" r:id="rId13"/>
    <sheet xmlns:r="http://schemas.openxmlformats.org/officeDocument/2006/relationships" name="Glossary" sheetId="14" state="visible" r:id="rId14"/>
    <sheet xmlns:r="http://schemas.openxmlformats.org/officeDocument/2006/relationships" name="DimDate" sheetId="15" state="visible" r:id="rId15"/>
    <sheet xmlns:r="http://schemas.openxmlformats.org/officeDocument/2006/relationships" name="DimOrganization" sheetId="16" state="visible" r:id="rId16"/>
    <sheet xmlns:r="http://schemas.openxmlformats.org/officeDocument/2006/relationships" name="DimAccount" sheetId="17" state="visible" r:id="rId17"/>
    <sheet xmlns:r="http://schemas.openxmlformats.org/officeDocument/2006/relationships" name="DimProject" sheetId="18" state="visible" r:id="rId18"/>
    <sheet xmlns:r="http://schemas.openxmlformats.org/officeDocument/2006/relationships" name="DimForecastVersion" sheetId="19" state="visible" r:id="rId19"/>
    <sheet xmlns:r="http://schemas.openxmlformats.org/officeDocument/2006/relationships" name="DimPositionGroup" sheetId="20" state="visible" r:id="rId20"/>
    <sheet xmlns:r="http://schemas.openxmlformats.org/officeDocument/2006/relationships" name="DimStudyProgram" sheetId="21" state="visible" r:id="rId21"/>
    <sheet xmlns:r="http://schemas.openxmlformats.org/officeDocument/2006/relationships" name="Benchmarks" sheetId="22" state="visible" r:id="rId22"/>
    <sheet xmlns:r="http://schemas.openxmlformats.org/officeDocument/2006/relationships" name="FactProjectBOA" sheetId="23" state="visible" r:id="rId23"/>
    <sheet xmlns:r="http://schemas.openxmlformats.org/officeDocument/2006/relationships" name="UseCases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#,##0\ &quot;NOK&quot;"/>
  </numFmts>
  <fonts count="11">
    <font>
      <name val="Aptos Narrow"/>
      <family val="2"/>
      <color theme="1"/>
      <sz val="11"/>
      <scheme val="minor"/>
    </font>
    <font>
      <name val="Aptos"/>
      <color theme="1"/>
      <sz val="11"/>
    </font>
    <font>
      <name val="Aptos"/>
      <color theme="1"/>
      <sz val="10"/>
    </font>
    <font>
      <name val="Aptos"/>
      <b val="1"/>
      <color rgb="FFFFFFFF"/>
      <sz val="10"/>
    </font>
    <font>
      <name val="Aptos Narrow"/>
      <family val="2"/>
      <b val="1"/>
      <color rgb="FFFFFFFF"/>
      <sz val="11"/>
      <scheme val="minor"/>
    </font>
    <font>
      <name val="Aptos"/>
      <b val="1"/>
      <color rgb="FFFFFFFF"/>
      <sz val="20"/>
    </font>
    <font>
      <name val="Aptos"/>
      <color rgb="FF5B6573"/>
      <sz val="11"/>
    </font>
    <font>
      <name val="Aptos"/>
      <b val="1"/>
      <color rgb="FF17365D"/>
      <sz val="11"/>
    </font>
    <font>
      <name val="Aptos"/>
      <b val="1"/>
      <color theme="1"/>
      <sz val="16"/>
    </font>
    <font>
      <name val="Aptos"/>
      <b val="1"/>
      <color rgb="FFFFFFFF"/>
      <sz val="11"/>
    </font>
    <font>
      <name val="Aptos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0B98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2" borderId="0" pivotButton="0" quotePrefix="0" xfId="0"/>
    <xf numFmtId="3" fontId="2" fillId="0" borderId="0" pivotButton="0" quotePrefix="0" xfId="0"/>
    <xf numFmtId="0" fontId="0" fillId="0" borderId="0" pivotButton="0" quotePrefix="0" xfId="0"/>
    <xf numFmtId="0" fontId="4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0" fontId="9" fillId="2" borderId="0" pivotButton="0" quotePrefix="0" xfId="0"/>
    <xf numFmtId="0" fontId="10" fillId="4" borderId="0" pivotButton="0" quotePrefix="0" xfId="0"/>
    <xf numFmtId="0" fontId="1" fillId="5" borderId="0" pivotButton="0" quotePrefix="0" xfId="0"/>
    <xf numFmtId="9" fontId="2" fillId="0" borderId="0" pivotButton="0" quotePrefix="0" xfId="0"/>
    <xf numFmtId="0" fontId="4" fillId="6" borderId="0" pivotButton="0" quotePrefix="0" xfId="0"/>
    <xf numFmtId="0" fontId="9" fillId="6" borderId="0" pivotButton="0" quotePrefix="0" xfId="0"/>
    <xf numFmtId="164" fontId="1" fillId="0" borderId="0" pivotButton="0" quotePrefix="0" xfId="0"/>
    <xf numFmtId="0" fontId="3" fillId="2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7" borderId="0" pivotButton="0" quotePrefix="0" xfId="0"/>
    <xf numFmtId="0" fontId="4" fillId="8" borderId="0" pivotButton="0" quotePrefix="0" xfId="0"/>
    <xf numFmtId="0" fontId="10" fillId="8" borderId="0" pivotButton="0" quotePrefix="0" xfId="0"/>
    <xf numFmtId="165" fontId="8" fillId="0" borderId="0" applyAlignment="1" pivotButton="0" quotePrefix="0" xfId="0">
      <alignment horizontal="center"/>
    </xf>
    <xf numFmtId="9" fontId="8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/>
    </xf>
    <xf numFmtId="1" fontId="2" fillId="0" borderId="0" pivotButton="0" quotePrefix="0" xfId="0"/>
    <xf numFmtId="1" fontId="1" fillId="0" borderId="0" pivotButton="0" quotePrefix="0" xfId="0"/>
    <xf numFmtId="165" fontId="8" fillId="0" borderId="0" applyAlignment="1" pivotButton="0" quotePrefix="0" xfId="0">
      <alignment horizontal="center"/>
    </xf>
    <xf numFmtId="164" fontId="1" fillId="0" borderId="0" pivotButton="0" quotePrefix="0" xfId="0"/>
  </cellXfs>
  <cellStyles count="1">
    <cellStyle name="Normal" xfId="0" builtinId="0"/>
  </cellStyles>
  <dxfs count="229">
    <dxf>
      <font>
        <name val="Aptos"/>
      </font>
      <numFmt numFmtId="1" formatCode="0"/>
    </dxf>
    <dxf>
      <font>
        <name val="Aptos"/>
      </font>
      <numFmt numFmtId="1" formatCode="0"/>
    </dxf>
    <dxf>
      <font>
        <name val="Aptos"/>
      </font>
      <numFmt numFmtId="1" formatCode="0"/>
    </dxf>
    <dxf>
      <font>
        <name val="Aptos"/>
      </font>
      <numFmt numFmtId="1" formatCode="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1" formatCode="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1" formatCode="0"/>
    </dxf>
    <dxf>
      <font>
        <name val="Aptos"/>
        <sz val="10"/>
      </font>
      <numFmt numFmtId="1" formatCode="0"/>
    </dxf>
    <dxf>
      <font>
        <name val="Aptos"/>
        <sz val="10"/>
      </font>
      <numFmt numFmtId="1" formatCode="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13" formatCode="0%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name val="Aptos"/>
        <sz val="10"/>
      </font>
      <numFmt numFmtId="3" formatCode="#,##0"/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FFFFFF"/>
      </font>
      <fill>
        <patternFill patternType="solid">
          <fgColor indexed="64"/>
          <bgColor rgb="FF94A3B8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94A3B8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ont>
        <color rgb="FF000000"/>
      </font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name val="Aptos"/>
        <sz val="10"/>
      </font>
      <alignment wrapText="1"/>
    </dxf>
    <dxf>
      <font>
        <name val="Aptos"/>
        <sz val="10"/>
      </font>
      <alignment wrapText="1"/>
    </dxf>
    <dxf>
      <font>
        <name val="Aptos"/>
        <sz val="10"/>
      </font>
      <alignment wrapText="1"/>
    </dxf>
    <dxf>
      <font>
        <name val="Aptos"/>
        <sz val="10"/>
      </font>
      <alignment wrapText="1"/>
    </dxf>
    <dxf>
      <font>
        <name val="Aptos"/>
        <sz val="10"/>
      </font>
      <alignment wrapText="1"/>
    </dxf>
    <dxf>
      <font>
        <name val="Aptos"/>
        <sz val="10"/>
      </font>
      <alignment wrapText="1"/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color rgb="FFFFFFFF"/>
      </font>
      <fill>
        <patternFill patternType="solid">
          <fgColor indexed="64"/>
          <bgColor rgb="FF10B981"/>
        </patternFill>
      </fill>
    </dxf>
    <dxf>
      <fill>
        <patternFill patternType="solid">
          <fgColor indexed="64"/>
          <bgColor rgb="FFF59E0B"/>
        </patternFill>
      </fill>
    </dxf>
    <dxf>
      <font>
        <color rgb="FFFFFFFF"/>
      </font>
      <fill>
        <patternFill patternType="solid">
          <fgColor indexed="64"/>
          <bgColor rgb="FFEF4444"/>
        </patternFill>
      </fill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  <numFmt numFmtId="169" formatCode="yyyy\-mm\-dd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  <numFmt numFmtId="169" formatCode="yyyy\-mm\-dd"/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</font>
      <fill>
        <patternFill patternType="solid">
          <fgColor indexed="64"/>
          <bgColor rgb="FF44546A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</dxf>
    <dxf>
      <font>
        <name val="Aptos"/>
        <sz val="10"/>
      </font>
    </dxf>
    <dxf>
      <font>
        <name val="Aptos"/>
        <b val="1"/>
        <color rgb="FFFFFFFF"/>
        <sz val="10"/>
      </font>
      <fill>
        <patternFill patternType="solid">
          <fgColor indexed="64"/>
          <bgColor rgb="FF17365D"/>
        </patternFill>
      </fill>
    </dxf>
    <dxf>
      <font>
        <name val="Aptos"/>
        <sz val="10"/>
      </font>
    </dxf>
    <dxf>
      <font>
        <name val="Aptos"/>
        <sz val="10"/>
      </font>
      <numFmt numFmtId="19" formatCode="m/d/yyyy"/>
    </dxf>
    <dxf>
      <font>
        <name val="Aptos"/>
        <sz val="1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3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Månedlig regnskap, budsjett og prognoser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3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nb-NO"/>
        </a:p>
      </txPr>
    </title>
    <plotArea>
      <layout/>
      <lineChart>
        <grouping val="standard"/>
        <varyColors val="0"/>
        <ser>
          <idx val="0"/>
          <order val="0"/>
          <tx>
            <strRef>
              <f>Executive!$P$1</f>
              <strCache>
                <ptCount val="1"/>
                <pt idx="0">
                  <v>Regnskap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5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dLbl>
              <idx val="11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Executive!$O$2:$O$13</f>
              <numCache>
                <formatCode>General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Executive!$P$2:$P$13</f>
              <numCache>
                <formatCode>General</formatCode>
                <ptCount val="12"/>
                <pt idx="0">
                  <v>886590.89</v>
                </pt>
                <pt idx="1">
                  <v>885568.37</v>
                </pt>
                <pt idx="2">
                  <v>882743.84</v>
                </pt>
                <pt idx="3">
                  <v>884688.6</v>
                </pt>
                <pt idx="4">
                  <v>886594.01</v>
                </pt>
                <pt idx="5">
                  <v>878946.8</v>
                </pt>
                <pt idx="6">
                  <v>882587.4399999999</v>
                </pt>
                <pt idx="7">
                  <v>881030.9399999999</v>
                </pt>
                <pt idx="8">
                  <v>888804.0699999999</v>
                </pt>
                <pt idx="9">
                  <v>885955.13</v>
                </pt>
                <pt idx="10">
                  <v>882682.3100000001</v>
                </pt>
                <pt idx="11">
                  <v>890935.79</v>
                </pt>
              </numCache>
            </numRef>
          </val>
          <smooth val="0"/>
        </ser>
        <ser>
          <idx val="1"/>
          <order val="1"/>
          <tx>
            <strRef>
              <f>Executive!$Q$1</f>
              <strCache>
                <ptCount val="1"/>
                <pt idx="0">
                  <v>Budsjett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7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dLbl>
              <idx val="11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Executive!$O$2:$O$13</f>
              <numCache>
                <formatCode>General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Executive!$Q$2:$Q$13</f>
              <numCache>
                <formatCode>General</formatCode>
                <ptCount val="12"/>
                <pt idx="0">
                  <v>894153.22</v>
                </pt>
                <pt idx="1">
                  <v>894318.26</v>
                </pt>
                <pt idx="2">
                  <v>895847.16</v>
                </pt>
                <pt idx="3">
                  <v>898814.14</v>
                </pt>
                <pt idx="4">
                  <v>894976.25</v>
                </pt>
                <pt idx="5">
                  <v>893181.3199999999</v>
                </pt>
                <pt idx="6">
                  <v>895462.67</v>
                </pt>
                <pt idx="7">
                  <v>892991.49</v>
                </pt>
                <pt idx="8">
                  <v>896365.5699999999</v>
                </pt>
                <pt idx="9">
                  <v>895660.2</v>
                </pt>
                <pt idx="10">
                  <v>894175.47</v>
                </pt>
                <pt idx="11">
                  <v>901787.0699999999</v>
                </pt>
              </numCache>
            </numRef>
          </val>
          <smooth val="0"/>
        </ser>
        <ser>
          <idx val="2"/>
          <order val="2"/>
          <tx>
            <strRef>
              <f>Executive!$R$1</f>
              <strCache>
                <ptCount val="1"/>
                <pt idx="0">
                  <v>FC1_2026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6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dLbl>
              <idx val="9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0"/>
              <showCatName val="0"/>
              <showSerName val="1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Executive!$O$2:$O$13</f>
              <numCache>
                <formatCode>General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Executive!$R$2:$R$13</f>
              <numCache>
                <formatCode>General</formatCode>
                <ptCount val="12"/>
                <pt idx="0">
                  <v>3099875.34</v>
                </pt>
                <pt idx="1">
                  <v>3017684.34</v>
                </pt>
                <pt idx="2">
                  <v>3042930.13</v>
                </pt>
                <pt idx="3">
                  <v>3009968.24</v>
                </pt>
                <pt idx="4">
                  <v>2753059.17</v>
                </pt>
                <pt idx="5">
                  <v>2726527.42</v>
                </pt>
                <pt idx="6">
                  <v>2547474</v>
                </pt>
                <pt idx="7">
                  <v>2972320.59</v>
                </pt>
                <pt idx="8">
                  <v>3271950.6</v>
                </pt>
                <pt idx="9">
                  <v>3397240.33</v>
                </pt>
                <pt idx="10">
                  <v>2803889.74</v>
                </pt>
                <pt idx="11">
                  <v>2829716.08</v>
                </pt>
              </numCache>
            </numRef>
          </val>
          <smooth val="0"/>
        </ser>
        <ser>
          <idx val="3"/>
          <order val="3"/>
          <tx>
            <strRef>
              <f>Executive!$S$1</f>
              <strCache>
                <ptCount val="1"/>
                <pt idx="0">
                  <v>FC2_2026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dLbl>
              <idx val="10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Executive!$O$2:$O$13</f>
              <numCache>
                <formatCode>General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Executive!$S$2:$S$13</f>
              <numCache>
                <formatCode>General</formatCode>
                <ptCount val="12"/>
                <pt idx="0">
                  <v>3099875.34</v>
                </pt>
                <pt idx="1">
                  <v>3017684.34</v>
                </pt>
                <pt idx="2">
                  <v>3042930.13</v>
                </pt>
                <pt idx="3">
                  <v>3009968.24</v>
                </pt>
                <pt idx="4">
                  <v>3063401.27</v>
                </pt>
                <pt idx="5">
                  <v>3015779.11</v>
                </pt>
                <pt idx="6">
                  <v>2998834.66</v>
                </pt>
                <pt idx="7">
                  <v>3009860.98</v>
                </pt>
                <pt idx="8">
                  <v>3596687.09</v>
                </pt>
                <pt idx="9">
                  <v>3012557.79</v>
                </pt>
                <pt idx="10">
                  <v>2516820.25</v>
                </pt>
                <pt idx="11">
                  <v>2571759.97</v>
                </pt>
              </numCache>
            </numRef>
          </val>
          <smooth val="0"/>
        </ser>
        <ser>
          <idx val="4"/>
          <order val="4"/>
          <tx>
            <strRef>
              <f>Executive!$T$1</f>
              <strCache>
                <ptCount val="1"/>
                <pt idx="0">
                  <v>LE_2026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dLbl>
              <idx val="11"/>
              <numFmt formatCode="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nb-NO"/>
                </a:p>
              </txPr>
              <showLegendKey val="0"/>
              <showVal val="1"/>
              <showCatName val="0"/>
              <showSerName val="1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Executive!$O$2:$O$13</f>
              <numCache>
                <formatCode>General</formatCode>
                <ptCount val="12"/>
                <pt idx="0">
                  <v>46023</v>
                </pt>
                <pt idx="1">
                  <v>46054</v>
                </pt>
                <pt idx="2">
                  <v>46082</v>
                </pt>
                <pt idx="3">
                  <v>46113</v>
                </pt>
                <pt idx="4">
                  <v>46143</v>
                </pt>
                <pt idx="5">
                  <v>46174</v>
                </pt>
                <pt idx="6">
                  <v>46204</v>
                </pt>
                <pt idx="7">
                  <v>46235</v>
                </pt>
                <pt idx="8">
                  <v>46266</v>
                </pt>
                <pt idx="9">
                  <v>46296</v>
                </pt>
                <pt idx="10">
                  <v>46327</v>
                </pt>
                <pt idx="11">
                  <v>46357</v>
                </pt>
              </numCache>
            </numRef>
          </cat>
          <val>
            <numRef>
              <f>Executive!$T$2:$T$13</f>
              <numCache>
                <formatCode>General</formatCode>
                <ptCount val="12"/>
                <pt idx="0">
                  <v>3099875.34</v>
                </pt>
                <pt idx="1">
                  <v>3017684.34</v>
                </pt>
                <pt idx="2">
                  <v>3042930.13</v>
                </pt>
                <pt idx="3">
                  <v>3009968.24</v>
                </pt>
                <pt idx="4">
                  <v>3063401.27</v>
                </pt>
                <pt idx="5">
                  <v>3015779.11</v>
                </pt>
                <pt idx="6">
                  <v>2998834.66</v>
                </pt>
                <pt idx="7">
                  <v>3009860.98</v>
                </pt>
                <pt idx="8">
                  <v>3080740.83</v>
                </pt>
                <pt idx="9">
                  <v>3013998.67</v>
                </pt>
                <pt idx="10">
                  <v>2433558.59</v>
                </pt>
                <pt idx="11">
                  <v>4006892.15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80434144"/>
        <axId val="1747064655"/>
      </lineChart>
      <catAx>
        <axId val="7804341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b-NO"/>
          </a:p>
        </txPr>
        <crossAx val="1747064655"/>
        <crosses val="autoZero"/>
        <auto val="1"/>
        <lblAlgn val="ctr"/>
        <lblOffset val="100"/>
        <noMultiLvlLbl val="0"/>
      </catAx>
      <valAx>
        <axId val="17470646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b-NO"/>
          </a:p>
        </txPr>
        <crossAx val="780434144"/>
        <crosses val="autoZero"/>
        <crossBetween val="between"/>
        <dispUnits>
          <builtInUnit val="millions"/>
          <dispUnits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</dispUnitsLbl>
        </dispUnits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nb-NO"/>
        </a:p>
      </txPr>
    </legend>
    <plotVisOnly val="0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Forecastavvik per fakultet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nb-NO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Executive!$AA$1</f>
              <strCache>
                <ptCount val="1"/>
                <pt idx="0">
                  <v>Forecastavvik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Executive!$W$2:$W$8</f>
              <strCache>
                <ptCount val="7"/>
                <pt idx="0">
                  <v>Kunstfag</v>
                </pt>
                <pt idx="1">
                  <v>Helse- og idrettsvitenskap</v>
                </pt>
                <pt idx="2">
                  <v>Samfunnsvitenskap</v>
                </pt>
                <pt idx="3">
                  <v>Teknologi og realfag</v>
                </pt>
                <pt idx="4">
                  <v>Handelshoyskolen</v>
                </pt>
                <pt idx="5">
                  <v>Fellesadministrasjon</v>
                </pt>
                <pt idx="6">
                  <v>Humaniora og pedagogikk</v>
                </pt>
              </strCache>
            </strRef>
          </cat>
          <val>
            <numRef>
              <f>Executive!$AA$2:$AA$8</f>
              <numCache>
                <formatCode>General</formatCode>
                <ptCount val="7"/>
                <pt idx="0">
                  <v>4624772.72</v>
                </pt>
                <pt idx="1">
                  <v>4534483.54</v>
                </pt>
                <pt idx="2">
                  <v>4158245.01</v>
                </pt>
                <pt idx="3">
                  <v>3890110.06</v>
                </pt>
                <pt idx="4">
                  <v>3360774.79</v>
                </pt>
                <pt idx="5">
                  <v>2823414.69</v>
                </pt>
                <pt idx="6">
                  <v>2653990.68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780375680"/>
        <axId val="1747006575"/>
      </barChart>
      <catAx>
        <axId val="78037568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b-NO"/>
          </a:p>
        </txPr>
        <crossAx val="1747006575"/>
        <crosses val="autoZero"/>
        <auto val="1"/>
        <lblAlgn val="ctr"/>
        <lblOffset val="100"/>
        <noMultiLvlLbl val="0"/>
      </catAx>
      <valAx>
        <axId val="1747006575"/>
        <scaling>
          <orientation val="minMax"/>
        </scaling>
        <delete val="0"/>
        <axPos val="t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b-NO"/>
          </a:p>
        </txPr>
        <crossAx val="780375680"/>
        <crosses val="autoZero"/>
        <crossBetween val="between"/>
        <dispUnits>
          <builtInUnit val="millions"/>
          <dispUnits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nb-NO"/>
              </a:p>
            </txPr>
          </dispUnitsLbl>
        </dispUnits>
      </valAx>
    </plotArea>
    <plotVisOnly val="0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0</colOff>
      <row>3</row>
      <rowOff>6350</rowOff>
    </from>
    <to>
      <col>13</col>
      <colOff>0</colOff>
      <row>15</row>
      <rowOff>44450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16</row>
      <rowOff>47625</rowOff>
    </from>
    <to>
      <col>13</col>
      <colOff>0</colOff>
      <row>30</row>
      <rowOff>85725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Monthly" displayName="tblMonthly" ref="A1:G13" headerRowCount="1" totalsRowShown="0" headerRowDxfId="225" dataDxfId="226">
  <autoFilter ref="A1:G13"/>
  <tableColumns count="7">
    <tableColumn id="1" name="Maaned" dataDxfId="228"/>
    <tableColumn id="2" name="Dato" dataDxfId="227"/>
    <tableColumn id="3" name="Regnskap" dataDxfId="53"/>
    <tableColumn id="4" name="Budsjett" dataDxfId="52"/>
    <tableColumn id="5" name="FC1_2026" dataDxfId="51"/>
    <tableColumn id="6" name="FC2_2026" dataDxfId="50"/>
    <tableColumn id="7" name="LE_2026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aculty" displayName="tblFaculty" ref="A1:K8" headerRowCount="1" totalsRowShown="0" headerRowDxfId="221" dataDxfId="222">
  <autoFilter ref="A1:K8"/>
  <tableColumns count="11">
    <tableColumn id="1" name="Fakultet" dataDxfId="224"/>
    <tableColumn id="2" name="Fakultetsnavn" dataDxfId="223"/>
    <tableColumn id="3" name="Regnskap" dataDxfId="48"/>
    <tableColumn id="4" name="Budsjett" dataDxfId="47"/>
    <tableColumn id="5" name="LE" dataDxfId="46"/>
    <tableColumn id="6" name="Forecastavvik" dataDxfId="45">
      <calculatedColumnFormula>E2-D2</calculatedColumnFormula>
    </tableColumn>
    <tableColumn id="7" name="ForecastavvikPct" dataDxfId="44">
      <calculatedColumnFormula>IFERROR(F2/D2,"")</calculatedColumnFormula>
    </tableColumn>
    <tableColumn id="8" name="Aarsverk" dataDxfId="43"/>
    <tableColumn id="9" name="FagligeAarsverk" dataDxfId="42"/>
    <tableColumn id="10" name="RegistrerteStudenter" dataDxfId="41"/>
    <tableColumn id="11" name="StudenterPerFagligAarsverk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Institute" displayName="tblInstitute" ref="A1:M21" headerRowCount="1" totalsRowShown="0" headerRowDxfId="174" dataDxfId="175">
  <autoFilter ref="A1:M21"/>
  <tableColumns count="13">
    <tableColumn id="1" name="Fakultet" dataDxfId="179"/>
    <tableColumn id="2" name="Fakultetsnavn" dataDxfId="178"/>
    <tableColumn id="3" name="Institutt" dataDxfId="177"/>
    <tableColumn id="4" name="Instituttnavn" dataDxfId="176"/>
    <tableColumn id="5" name="Regnskap" dataDxfId="39"/>
    <tableColumn id="6" name="Budsjett" dataDxfId="38"/>
    <tableColumn id="7" name="LE" dataDxfId="37"/>
    <tableColumn id="8" name="Forecastavvik" dataDxfId="36">
      <calculatedColumnFormula>G2-F2</calculatedColumnFormula>
    </tableColumn>
    <tableColumn id="9" name="ForecastavvikPct" dataDxfId="35">
      <calculatedColumnFormula>IFERROR(H2/F2,"")</calculatedColumnFormula>
    </tableColumn>
    <tableColumn id="10" name="Aarsverk" dataDxfId="34"/>
    <tableColumn id="11" name="FagligeAarsverk" dataDxfId="33"/>
    <tableColumn id="12" name="RegistrerteStudenter" dataDxfId="32"/>
    <tableColumn id="13" name="StudenterPerFagligAarsverk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ccountVariance" displayName="tblAccountVariance" ref="A1:I41" headerRowCount="1" totalsRowShown="0" headerRowDxfId="150" dataDxfId="151">
  <autoFilter ref="A1:I41"/>
  <tableColumns count="9">
    <tableColumn id="1" name="Konto" dataDxfId="9"/>
    <tableColumn id="2" name="Kontonavn" dataDxfId="154"/>
    <tableColumn id="3" name="Kontotype" dataDxfId="153"/>
    <tableColumn id="4" name="SRS_regnskapslinje" dataDxfId="152"/>
    <tableColumn id="5" name="Regnskap" dataDxfId="8"/>
    <tableColumn id="6" name="Budsjett" dataDxfId="7"/>
    <tableColumn id="7" name="LE" dataDxfId="6"/>
    <tableColumn id="8" name="Forecastavvik" dataDxfId="5">
      <calculatedColumnFormula>G2-F2</calculatedColumnFormula>
    </tableColumn>
    <tableColumn id="9" name="ForecastavvikPct" dataDxfId="4">
      <calculatedColumnFormula>IFERROR(H2/F2,"")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Projects" displayName="tblProjects" ref="A1:J5" headerRowCount="1" totalsRowShown="0" headerRowDxfId="214" dataDxfId="215">
  <autoFilter ref="A1:J5"/>
  <tableColumns count="10">
    <tableColumn id="1" name="Prosjekt" dataDxfId="220"/>
    <tableColumn id="2" name="Prosjektnavn" dataDxfId="219"/>
    <tableColumn id="3" name="Finansieringstype" dataDxfId="218"/>
    <tableColumn id="4" name="Finansieringskilde" dataDxfId="217"/>
    <tableColumn id="5" name="Prosjektkategori" dataDxfId="216"/>
    <tableColumn id="6" name="Regnskap" dataDxfId="30"/>
    <tableColumn id="7" name="Budsjett" dataDxfId="29"/>
    <tableColumn id="8" name="LE" dataDxfId="28"/>
    <tableColumn id="9" name="Forecastavvik" dataDxfId="27">
      <calculatedColumnFormula>H2-G2</calculatedColumnFormula>
    </tableColumn>
    <tableColumn id="10" name="ForecastavvikPct" dataDxfId="26">
      <calculatedColumnFormula>IFERROR(I2/G2,"")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FTE" displayName="tblFTE" ref="A1:E6" headerRowCount="1" totalsRowShown="0" headerRowDxfId="209" dataDxfId="210">
  <autoFilter ref="A1:E6"/>
  <tableColumns count="5">
    <tableColumn id="1" name="Stillingsgruppe" dataDxfId="213"/>
    <tableColumn id="2" name="Stillingsgruppenavn" dataDxfId="212"/>
    <tableColumn id="3" name="Stillingskategori" dataDxfId="211"/>
    <tableColumn id="4" name="Aarsverk" dataDxfId="25"/>
    <tableColumn id="5" name="FagligeAarsverk" dataDxfId="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tudyPrograms" displayName="tblStudyPrograms" ref="A1:J37" headerRowCount="1" totalsRowShown="0" headerRowDxfId="167" dataDxfId="168">
  <autoFilter ref="A1:J37"/>
  <tableColumns count="10">
    <tableColumn id="1" name="Studieprogram" dataDxfId="173"/>
    <tableColumn id="2" name="Studieprogramnavn" dataDxfId="172"/>
    <tableColumn id="3" name="Studienivaa" dataDxfId="171"/>
    <tableColumn id="4" name="Fakultet" dataDxfId="170"/>
    <tableColumn id="5" name="Institutt" dataDxfId="169"/>
    <tableColumn id="6" name="PlanlagteStudiepoeng" dataDxfId="20"/>
    <tableColumn id="7" name="AvlagteStudiepoeng" dataDxfId="19"/>
    <tableColumn id="8" name="SPE60" dataDxfId="18"/>
    <tableColumn id="9" name="RegistrerteStudenter" dataDxfId="17"/>
    <tableColumn id="10" name="Maaloppnaaelse" dataDxfId="16">
      <calculatedColumnFormula>IFERROR(G2/F2,"")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ons" displayName="tblActions" ref="A1:R17" headerRowCount="1" totalsRowShown="0" headerRowDxfId="155" dataDxfId="156">
  <autoFilter ref="A1:R17"/>
  <tableColumns count="18">
    <tableColumn id="1" name="TiltakID" dataDxfId="166"/>
    <tableColumn id="2" name="Fakultet" dataDxfId="165"/>
    <tableColumn id="3" name="Institutt" dataDxfId="164"/>
    <tableColumn id="4" name="Organisasjonsnokkel" dataDxfId="163"/>
    <tableColumn id="5" name="Prosjekt" dataDxfId="162"/>
    <tableColumn id="6" name="Prosjektnavn" dataDxfId="161"/>
    <tableColumn id="7" name="Konto" dataDxfId="15"/>
    <tableColumn id="8" name="Kontonavn" dataDxfId="160"/>
    <tableColumn id="9" name="Avviksarsak" dataDxfId="84"/>
    <tableColumn id="10" name="Tiltaksbeskrivelse" dataDxfId="83"/>
    <tableColumn id="11" name="AnsvarligRolle" dataDxfId="159"/>
    <tableColumn id="12" name="StartDatoNokkel" dataDxfId="14"/>
    <tableColumn id="13" name="FristDatoNokkel" dataDxfId="13"/>
    <tableColumn id="14" name="ForventetEffekt" dataDxfId="12"/>
    <tableColumn id="15" name="RealisertEffekt" dataDxfId="11"/>
    <tableColumn id="16" name="Status" dataDxfId="158"/>
    <tableColumn id="17" name="Prioritet" dataDxfId="157"/>
    <tableColumn id="18" name="Sannsynlighet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onStatus" displayName="tblActionStatus" ref="A1:D5" headerRowCount="1" totalsRowShown="0" headerRowDxfId="206" dataDxfId="207">
  <autoFilter ref="A1:D5"/>
  <tableColumns count="4">
    <tableColumn id="1" name="Status" dataDxfId="208"/>
    <tableColumn id="2" name="ForventetEffekt" dataDxfId="23"/>
    <tableColumn id="3" name="RealisertEffekt" dataDxfId="22"/>
    <tableColumn id="4" name="Antall" dataDxfId="2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QA" displayName="tblQA" ref="A1:D23" headerRowCount="1" totalsRowShown="0" headerRowDxfId="195" dataDxfId="196">
  <autoFilter ref="A1:D23"/>
  <tableColumns count="4">
    <tableColumn id="1" name="Relasjon" dataDxfId="200"/>
    <tableColumn id="2" name="Faktarader" dataDxfId="199"/>
    <tableColumn id="3" name="Orphans" dataDxfId="198"/>
    <tableColumn id="4" name="Status" dataDxfId="19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Relationships" displayName="tblRelationships" ref="A1:G23" headerRowCount="1" totalsRowShown="0" headerRowDxfId="186" dataDxfId="187">
  <autoFilter ref="A1:G23"/>
  <tableColumns count="7">
    <tableColumn id="1" name="FraTabell" dataDxfId="194"/>
    <tableColumn id="2" name="FraKolonne" dataDxfId="193"/>
    <tableColumn id="3" name="TilTabell" dataDxfId="192"/>
    <tableColumn id="4" name="TilKolonne" dataDxfId="191"/>
    <tableColumn id="5" name="Kardinalitet" dataDxfId="190"/>
    <tableColumn id="6" name="Kryssfiltrering" dataDxfId="189"/>
    <tableColumn id="7" name="Status" dataDxfId="18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ModelGuide" displayName="tblModelGuide" ref="A1:E16" headerRowCount="1" totalsRowShown="0" headerRowDxfId="180" dataDxfId="181">
  <autoFilter ref="A1:E16"/>
  <tableColumns count="5">
    <tableColumn id="1" name="Tabell" dataDxfId="185"/>
    <tableColumn id="2" name="Type" dataDxfId="184"/>
    <tableColumn id="3" name="Rader" dataDxfId="183"/>
    <tableColumn id="4" name="Kolonner" dataDxfId="182"/>
    <tableColumn id="5" name="Felt" dataDxfId="7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Glossary" displayName="tblGlossary" ref="A1:I61" headerRowCount="1" totalsRowShown="0" headerRowDxfId="92" dataDxfId="93">
  <autoFilter ref="A1:I61"/>
  <tableColumns count="9">
    <tableColumn id="1" name="BegrepID" dataDxfId="99"/>
    <tableColumn id="2" name="Begrep" dataDxfId="98"/>
    <tableColumn id="3" name="FulltNavn" dataDxfId="97"/>
    <tableColumn id="4" name="Kategori" dataDxfId="96"/>
    <tableColumn id="5" name="Definisjon" dataDxfId="82"/>
    <tableColumn id="6" name="PraktiskTolkning" dataDxfId="81"/>
    <tableColumn id="7" name="FormelDAX" dataDxfId="80"/>
    <tableColumn id="8" name="RolleKontekst" dataDxfId="95"/>
    <tableColumn id="9" name="RelevantRapport" dataDxfId="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DimDate" displayName="tblDimDate" ref="A1:G731" headerRowCount="1" totalsRowShown="0" headerRowDxfId="118" dataDxfId="117">
  <autoFilter ref="A1:G731"/>
  <tableColumns count="7">
    <tableColumn id="1" name="Dato" dataDxfId="125"/>
    <tableColumn id="2" name="DatoNokkel" dataDxfId="124"/>
    <tableColumn id="3" name="Aar" dataDxfId="123"/>
    <tableColumn id="4" name="Kvartal" dataDxfId="122"/>
    <tableColumn id="5" name="MaanedNr" dataDxfId="121"/>
    <tableColumn id="6" name="AarMaaned" dataDxfId="120"/>
    <tableColumn id="7" name="MaanedStart" dataDxfId="1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DimOrganization" displayName="tblDimOrganization" ref="A1:H41" headerRowCount="1" totalsRowShown="0" headerRowDxfId="108" dataDxfId="107">
  <autoFilter ref="A1:H41"/>
  <tableColumns count="8">
    <tableColumn id="1" name="Organisasjonsnokkel" dataDxfId="116"/>
    <tableColumn id="2" name="Fakultet" dataDxfId="115"/>
    <tableColumn id="3" name="Fakultetsnavn" dataDxfId="114"/>
    <tableColumn id="4" name="Institutt" dataDxfId="113"/>
    <tableColumn id="5" name="Instituttnavn" dataDxfId="112"/>
    <tableColumn id="6" name="Koststed" dataDxfId="111"/>
    <tableColumn id="7" name="Koststednavn" dataDxfId="110"/>
    <tableColumn id="8" name="Koststedtype" dataDxfId="10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DimAccount" displayName="tblDimAccount" ref="A1:H47" headerRowCount="1" totalsRowShown="0" headerRowDxfId="143" dataDxfId="142">
  <autoFilter ref="A1:H47"/>
  <tableColumns count="8">
    <tableColumn id="1" name="Konto" dataDxfId="3"/>
    <tableColumn id="2" name="StandardKonto3" dataDxfId="2"/>
    <tableColumn id="3" name="Kontonavn" dataDxfId="149"/>
    <tableColumn id="4" name="Kontoklasse" dataDxfId="148"/>
    <tableColumn id="5" name="Kontogruppe" dataDxfId="147"/>
    <tableColumn id="6" name="Kontotype" dataDxfId="146"/>
    <tableColumn id="7" name="SRS_regnskapslinje" dataDxfId="145"/>
    <tableColumn id="8" name="AktuellFor" dataDxfId="14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DimProject" displayName="tblDimProject" ref="A1:E7" headerRowCount="1" totalsRowShown="0" headerRowDxfId="127" dataDxfId="126">
  <autoFilter ref="A1:E7"/>
  <tableColumns count="5">
    <tableColumn id="1" name="Prosjekt" dataDxfId="132"/>
    <tableColumn id="2" name="Prosjektnavn" dataDxfId="131"/>
    <tableColumn id="3" name="Finansieringstype" dataDxfId="130"/>
    <tableColumn id="4" name="Finansieringskilde" dataDxfId="129"/>
    <tableColumn id="5" name="Prosjektkategori" dataDxfId="12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DimForecastVersion" displayName="tblDimForecastVersion" ref="A1:C4" headerRowCount="1" totalsRowShown="0" headerRowDxfId="139" dataDxfId="138">
  <autoFilter ref="A1:C4"/>
  <tableColumns count="3">
    <tableColumn id="1" name="Versjon" dataDxfId="141"/>
    <tableColumn id="2" name="Versjonsnavn" dataDxfId="140"/>
    <tableColumn id="3" name="Sortering" dataDxfId="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DimPositionGroup" displayName="tblDimPositionGroup" ref="A1:C6" headerRowCount="1" totalsRowShown="0" headerRowDxfId="134" dataDxfId="133">
  <autoFilter ref="A1:C6"/>
  <tableColumns count="3">
    <tableColumn id="1" name="Stillingsgruppe" dataDxfId="137"/>
    <tableColumn id="2" name="Stillingsgruppenavn" dataDxfId="136"/>
    <tableColumn id="3" name="Stillingskategori" dataDxfId="13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DimStudyProgram" displayName="tblDimStudyProgram" ref="A1:F37" headerRowCount="1" totalsRowShown="0" headerRowDxfId="101" dataDxfId="100">
  <autoFilter ref="A1:F37"/>
  <tableColumns count="6">
    <tableColumn id="1" name="Studieprogram" dataDxfId="106"/>
    <tableColumn id="2" name="Studieprogramnavn" dataDxfId="105"/>
    <tableColumn id="3" name="Studienivaa" dataDxfId="104"/>
    <tableColumn id="4" name="NormerteStudiepoeng" dataDxfId="0"/>
    <tableColumn id="5" name="Institutt" dataDxfId="103"/>
    <tableColumn id="6" name="Fakultet" dataDxfId="10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Benchmarks" displayName="tblBenchmarks" ref="A1:C22" headerRowCount="1" totalsRowShown="0" headerRowDxfId="201" dataDxfId="202">
  <autoFilter ref="A1:C22"/>
  <tableColumns count="3">
    <tableColumn id="1" name="Nøkkeltall" dataDxfId="205"/>
    <tableColumn id="2" name="Verdi" dataDxfId="204"/>
    <tableColumn id="3" name="Enhet" dataDxfId="20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"/>
  <sheetViews>
    <sheetView tabSelected="1" workbookViewId="0">
      <selection activeCell="B22" sqref="B22"/>
    </sheetView>
  </sheetViews>
  <sheetFormatPr baseColWidth="8" defaultRowHeight="14.5"/>
  <cols>
    <col width="33.453125" customWidth="1" style="6" min="1" max="1"/>
    <col width="25.7265625" customWidth="1" style="6" min="2" max="2"/>
    <col width="25.1796875" customWidth="1" style="6" min="3" max="3"/>
    <col width="26.81640625" customWidth="1" style="6" min="4" max="4"/>
    <col width="3.26953125" customWidth="1" style="6" min="5" max="5"/>
    <col width="13.08984375" customWidth="1" style="6" min="6" max="13"/>
    <col hidden="1" style="6" min="14" max="27"/>
  </cols>
  <sheetData>
    <row r="1" ht="34" customHeight="1" s="6">
      <c r="A1" s="9" t="inlineStr">
        <is>
          <t>Virksomhetsstyring 2026 | Executive Cockpit</t>
        </is>
      </c>
      <c r="I1" s="10" t="n"/>
      <c r="J1" s="10" t="n"/>
      <c r="K1" s="10" t="n"/>
      <c r="L1" s="10" t="n"/>
      <c r="M1" s="10" t="n"/>
      <c r="N1" t="inlineStr">
        <is>
          <t>Maaned</t>
        </is>
      </c>
      <c r="O1" t="inlineStr">
        <is>
          <t>Dato</t>
        </is>
      </c>
      <c r="P1" t="inlineStr">
        <is>
          <t>Regnskap</t>
        </is>
      </c>
      <c r="Q1" t="inlineStr">
        <is>
          <t>Budsjett</t>
        </is>
      </c>
      <c r="R1" t="inlineStr">
        <is>
          <t>FC1_2026</t>
        </is>
      </c>
      <c r="S1" t="inlineStr">
        <is>
          <t>FC2_2026</t>
        </is>
      </c>
      <c r="T1" t="inlineStr">
        <is>
          <t>LE_2026</t>
        </is>
      </c>
      <c r="V1" t="inlineStr">
        <is>
          <t>Fakultet</t>
        </is>
      </c>
      <c r="W1" t="inlineStr">
        <is>
          <t>Fakultetsnavn</t>
        </is>
      </c>
      <c r="X1" t="inlineStr">
        <is>
          <t>Regnskap</t>
        </is>
      </c>
      <c r="Y1" t="inlineStr">
        <is>
          <t>Budsjett</t>
        </is>
      </c>
      <c r="Z1" t="inlineStr">
        <is>
          <t>LE</t>
        </is>
      </c>
      <c r="AA1" t="inlineStr">
        <is>
          <t>Forecastavvik</t>
        </is>
      </c>
    </row>
    <row r="2">
      <c r="A2" s="11" t="inlineStr">
        <is>
          <t>Excel-modell basert på alle 109 396 leverte kilderader • Regnskap, budsjett, forecast, tiltak, bemanning og studieproduksjon</t>
        </is>
      </c>
      <c r="I2" s="10" t="n"/>
      <c r="J2" s="10" t="n"/>
      <c r="K2" s="10" t="n"/>
      <c r="L2" s="10" t="n"/>
      <c r="M2" s="10" t="n"/>
      <c r="N2" t="n">
        <v>202601</v>
      </c>
      <c r="O2" t="n">
        <v>46023</v>
      </c>
      <c r="P2" t="n">
        <v>886590.89</v>
      </c>
      <c r="Q2" t="n">
        <v>894153.22</v>
      </c>
      <c r="R2" t="n">
        <v>3099875.34</v>
      </c>
      <c r="S2" t="n">
        <v>3099875.34</v>
      </c>
      <c r="T2" t="n">
        <v>3099875.34</v>
      </c>
      <c r="V2" t="inlineStr">
        <is>
          <t>FAK-KF</t>
        </is>
      </c>
      <c r="W2" t="inlineStr">
        <is>
          <t>Kunstfag</t>
        </is>
      </c>
      <c r="X2" t="n">
        <v>1945213.28</v>
      </c>
      <c r="Y2" t="n">
        <v>1967731.7</v>
      </c>
      <c r="Z2" t="n">
        <v>6592504.42</v>
      </c>
      <c r="AA2" t="n">
        <v>4624772.72</v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t="n">
        <v>202602</v>
      </c>
      <c r="O3" t="n">
        <v>46054</v>
      </c>
      <c r="P3" t="n">
        <v>885568.37</v>
      </c>
      <c r="Q3" t="n">
        <v>894318.26</v>
      </c>
      <c r="R3" t="n">
        <v>3017684.34</v>
      </c>
      <c r="S3" t="n">
        <v>3017684.34</v>
      </c>
      <c r="T3" t="n">
        <v>3017684.34</v>
      </c>
      <c r="V3" t="inlineStr">
        <is>
          <t>FAK-HI</t>
        </is>
      </c>
      <c r="W3" t="inlineStr">
        <is>
          <t>Helse- og idrettsvitenskap</t>
        </is>
      </c>
      <c r="X3" t="n">
        <v>1859939.19</v>
      </c>
      <c r="Y3" t="n">
        <v>1882463.25</v>
      </c>
      <c r="Z3" t="n">
        <v>6416946.79</v>
      </c>
      <c r="AA3" t="n">
        <v>4534483.54</v>
      </c>
    </row>
    <row r="4">
      <c r="A4" s="12" t="inlineStr">
        <is>
          <t>Årsbudsjett</t>
        </is>
      </c>
      <c r="B4" s="12" t="inlineStr">
        <is>
          <t>Latest Estimate</t>
        </is>
      </c>
      <c r="C4" s="12" t="inlineStr">
        <is>
          <t>Forecastavvik</t>
        </is>
      </c>
      <c r="D4" s="12" t="inlineStr">
        <is>
          <t>Forecast etter tiltak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t="n">
        <v>202603</v>
      </c>
      <c r="O4" t="n">
        <v>46082</v>
      </c>
      <c r="P4" t="n">
        <v>882743.84</v>
      </c>
      <c r="Q4" t="n">
        <v>895847.16</v>
      </c>
      <c r="R4" t="n">
        <v>3042930.13</v>
      </c>
      <c r="S4" t="n">
        <v>3042930.13</v>
      </c>
      <c r="T4" t="n">
        <v>3042930.13</v>
      </c>
      <c r="V4" t="inlineStr">
        <is>
          <t>FAK-SV</t>
        </is>
      </c>
      <c r="W4" t="inlineStr">
        <is>
          <t>Samfunnsvitenskap</t>
        </is>
      </c>
      <c r="X4" t="n">
        <v>1396541.7</v>
      </c>
      <c r="Y4" t="n">
        <v>1413910.32</v>
      </c>
      <c r="Z4" t="n">
        <v>5572155.33</v>
      </c>
      <c r="AA4" t="n">
        <v>4158245.01</v>
      </c>
    </row>
    <row r="5" ht="28" customHeight="1" s="6">
      <c r="A5" s="32">
        <f>_xlfn.XLOOKUP("Årsbudsjett",Benchmarks!A:A,Benchmarks!B:B)</f>
        <v/>
      </c>
      <c r="B5" s="32">
        <f>_xlfn.XLOOKUP("Latest Estimate",Benchmarks!A:A,Benchmarks!B:B)</f>
        <v/>
      </c>
      <c r="C5" s="32">
        <f>_xlfn.XLOOKUP("Forecastavvik",Benchmarks!A:A,Benchmarks!B:B)</f>
        <v/>
      </c>
      <c r="D5" s="32">
        <f>_xlfn.XLOOKUP("Forecast etter tiltak",Benchmarks!A:A,Benchmarks!B:B)</f>
        <v/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t="n">
        <v>202604</v>
      </c>
      <c r="O5" t="n">
        <v>46113</v>
      </c>
      <c r="P5" t="n">
        <v>884688.6</v>
      </c>
      <c r="Q5" t="n">
        <v>898814.14</v>
      </c>
      <c r="R5" t="n">
        <v>3009968.24</v>
      </c>
      <c r="S5" t="n">
        <v>3009968.24</v>
      </c>
      <c r="T5" t="n">
        <v>3009968.24</v>
      </c>
      <c r="V5" t="inlineStr">
        <is>
          <t>FAK-TR</t>
        </is>
      </c>
      <c r="W5" t="inlineStr">
        <is>
          <t>Teknologi og realfag</t>
        </is>
      </c>
      <c r="X5" t="n">
        <v>1514986.47</v>
      </c>
      <c r="Y5" t="n">
        <v>1533245.45</v>
      </c>
      <c r="Z5" t="n">
        <v>5423355.51</v>
      </c>
      <c r="AA5" t="n">
        <v>3890110.06</v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t="n">
        <v>202605</v>
      </c>
      <c r="O6" t="n">
        <v>46143</v>
      </c>
      <c r="P6" t="n">
        <v>886594.01</v>
      </c>
      <c r="Q6" t="n">
        <v>894976.25</v>
      </c>
      <c r="R6" t="n">
        <v>2753059.17</v>
      </c>
      <c r="S6" t="n">
        <v>3063401.27</v>
      </c>
      <c r="T6" t="n">
        <v>3063401.27</v>
      </c>
      <c r="V6" t="inlineStr">
        <is>
          <t>FAK-HH</t>
        </is>
      </c>
      <c r="W6" t="inlineStr">
        <is>
          <t>Handelshoyskolen</t>
        </is>
      </c>
      <c r="X6" t="n">
        <v>1473313.32</v>
      </c>
      <c r="Y6" t="n">
        <v>1490346.8</v>
      </c>
      <c r="Z6" t="n">
        <v>4851121.59</v>
      </c>
      <c r="AA6" t="n">
        <v>3360774.79</v>
      </c>
    </row>
    <row r="7">
      <c r="A7" s="12" t="inlineStr">
        <is>
          <t>Netto regnskap</t>
        </is>
      </c>
      <c r="B7" s="12" t="inlineStr">
        <is>
          <t>Realiseringsgrad</t>
        </is>
      </c>
      <c r="C7" s="12" t="inlineStr">
        <is>
          <t>Årsverk</t>
        </is>
      </c>
      <c r="D7" s="12" t="inlineStr">
        <is>
          <t>SPE60</t>
        </is>
      </c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t="n">
        <v>202606</v>
      </c>
      <c r="O7" t="n">
        <v>46174</v>
      </c>
      <c r="P7" t="n">
        <v>878946.8</v>
      </c>
      <c r="Q7" t="n">
        <v>893181.3199999999</v>
      </c>
      <c r="R7" t="n">
        <v>2726527.42</v>
      </c>
      <c r="S7" t="n">
        <v>3015779.11</v>
      </c>
      <c r="T7" t="n">
        <v>3015779.11</v>
      </c>
      <c r="V7" t="inlineStr">
        <is>
          <t>FEL-ADM</t>
        </is>
      </c>
      <c r="W7" t="inlineStr">
        <is>
          <t>Fellesadministrasjon</t>
        </is>
      </c>
      <c r="X7" t="n">
        <v>1199148.3</v>
      </c>
      <c r="Y7" t="n">
        <v>1216056.78</v>
      </c>
      <c r="Z7" t="n">
        <v>4039471.47</v>
      </c>
      <c r="AA7" t="n">
        <v>2823414.69</v>
      </c>
    </row>
    <row r="8" ht="28" customHeight="1" s="6">
      <c r="A8" s="32">
        <f>_xlfn.XLOOKUP("Netto regnskap",Benchmarks!A:A,Benchmarks!B:B)</f>
        <v/>
      </c>
      <c r="B8" s="28">
        <f>_xlfn.XLOOKUP("Realiseringsgrad",Benchmarks!A:A,Benchmarks!B:B)</f>
        <v/>
      </c>
      <c r="C8" s="29">
        <f>_xlfn.XLOOKUP("Årsverk siste måned",Benchmarks!A:A,Benchmarks!B:B)</f>
        <v/>
      </c>
      <c r="D8" s="29">
        <f>_xlfn.XLOOKUP("SPE60 helår",Benchmarks!A:A,Benchmarks!B:B)</f>
        <v/>
      </c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t="n">
        <v>202607</v>
      </c>
      <c r="O8" t="n">
        <v>46204</v>
      </c>
      <c r="P8" t="n">
        <v>882587.4399999999</v>
      </c>
      <c r="Q8" t="n">
        <v>895462.67</v>
      </c>
      <c r="R8" t="n">
        <v>2547474</v>
      </c>
      <c r="S8" t="n">
        <v>2998834.66</v>
      </c>
      <c r="T8" t="n">
        <v>2998834.66</v>
      </c>
      <c r="V8" t="inlineStr">
        <is>
          <t>FAK-HP</t>
        </is>
      </c>
      <c r="W8" t="inlineStr">
        <is>
          <t>Humaniora og pedagogikk</t>
        </is>
      </c>
      <c r="X8" t="n">
        <v>1227985.93</v>
      </c>
      <c r="Y8" t="n">
        <v>1243978.52</v>
      </c>
      <c r="Z8" t="n">
        <v>3897969.2</v>
      </c>
      <c r="AA8" t="n">
        <v>2653990.68</v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t="n">
        <v>202608</v>
      </c>
      <c r="O9" t="n">
        <v>46235</v>
      </c>
      <c r="P9" t="n">
        <v>881030.9399999999</v>
      </c>
      <c r="Q9" t="n">
        <v>892991.49</v>
      </c>
      <c r="R9" t="n">
        <v>2972320.59</v>
      </c>
      <c r="S9" t="n">
        <v>3009860.98</v>
      </c>
      <c r="T9" t="n">
        <v>3009860.98</v>
      </c>
    </row>
    <row r="10">
      <c r="A10" s="13" t="inlineStr">
        <is>
          <t>Styringssignal</t>
        </is>
      </c>
      <c r="B10" s="13" t="inlineStr">
        <is>
          <t>Status</t>
        </is>
      </c>
      <c r="C10" s="13" t="inlineStr">
        <is>
          <t>Terskel / nivå</t>
        </is>
      </c>
      <c r="D10" s="13" t="inlineStr">
        <is>
          <t>Anbefalt handling</t>
        </is>
      </c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t="n">
        <v>202609</v>
      </c>
      <c r="O10" t="n">
        <v>46266</v>
      </c>
      <c r="P10" t="n">
        <v>888804.0699999999</v>
      </c>
      <c r="Q10" t="n">
        <v>896365.5699999999</v>
      </c>
      <c r="R10" t="n">
        <v>3271950.6</v>
      </c>
      <c r="S10" t="n">
        <v>3596687.09</v>
      </c>
      <c r="T10" t="n">
        <v>3080740.83</v>
      </c>
    </row>
    <row r="11">
      <c r="A11" s="10" t="inlineStr">
        <is>
          <t>Forecastavvik</t>
        </is>
      </c>
      <c r="B11" s="14" t="inlineStr">
        <is>
          <t>RØD</t>
        </is>
      </c>
      <c r="C11" s="10" t="inlineStr">
        <is>
          <t>&gt; 5%</t>
        </is>
      </c>
      <c r="D11" s="10" t="inlineStr">
        <is>
          <t>Krev korrigerende tiltak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t="n">
        <v>202610</v>
      </c>
      <c r="O11" t="n">
        <v>46296</v>
      </c>
      <c r="P11" t="n">
        <v>885955.13</v>
      </c>
      <c r="Q11" t="n">
        <v>895660.2</v>
      </c>
      <c r="R11" t="n">
        <v>3397240.33</v>
      </c>
      <c r="S11" t="n">
        <v>3012557.79</v>
      </c>
      <c r="T11" t="n">
        <v>3013998.67</v>
      </c>
    </row>
    <row r="12">
      <c r="A12" s="10" t="inlineStr">
        <is>
          <t>Tiltaksrealisering</t>
        </is>
      </c>
      <c r="B12" s="15" t="inlineStr">
        <is>
          <t>GUL</t>
        </is>
      </c>
      <c r="C12" s="10" t="inlineStr">
        <is>
          <t>55,6% mot mål &gt;70%</t>
        </is>
      </c>
      <c r="D12" s="10" t="inlineStr">
        <is>
          <t>Akselerer realisering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t="n">
        <v>202611</v>
      </c>
      <c r="O12" t="n">
        <v>46327</v>
      </c>
      <c r="P12" t="n">
        <v>882682.3100000001</v>
      </c>
      <c r="Q12" t="n">
        <v>894175.47</v>
      </c>
      <c r="R12" t="n">
        <v>2803889.74</v>
      </c>
      <c r="S12" t="n">
        <v>2516820.25</v>
      </c>
      <c r="T12" t="n">
        <v>2433558.59</v>
      </c>
    </row>
    <row r="13">
      <c r="A13" s="10" t="inlineStr">
        <is>
          <t>Studiepoengmål</t>
        </is>
      </c>
      <c r="B13" s="15" t="inlineStr">
        <is>
          <t>GUL</t>
        </is>
      </c>
      <c r="C13" s="10" t="inlineStr">
        <is>
          <t>86,4% mot mål ≥90%</t>
        </is>
      </c>
      <c r="D13" s="10" t="inlineStr">
        <is>
          <t>Følg opp programnivå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t="n">
        <v>202612</v>
      </c>
      <c r="O13" t="n">
        <v>46357</v>
      </c>
      <c r="P13" t="n">
        <v>890935.79</v>
      </c>
      <c r="Q13" t="n">
        <v>901787.0699999999</v>
      </c>
      <c r="R13" t="n">
        <v>2829716.08</v>
      </c>
      <c r="S13" t="n">
        <v>2571759.97</v>
      </c>
      <c r="T13" t="n">
        <v>4006892.15</v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8" t="inlineStr">
        <is>
          <t>RAG-terskler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inlineStr">
        <is>
          <t>Forecast</t>
        </is>
      </c>
      <c r="B16" s="26" t="inlineStr">
        <is>
          <t>Grønn ≤2%</t>
        </is>
      </c>
      <c r="C16" s="15" t="inlineStr">
        <is>
          <t>Gul 2–5%</t>
        </is>
      </c>
      <c r="D16" s="14" t="inlineStr">
        <is>
          <t>Rød &gt;5%</t>
        </is>
      </c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inlineStr">
        <is>
          <t>Studiepoeng</t>
        </is>
      </c>
      <c r="B17" s="26" t="inlineStr">
        <is>
          <t>Grønn ≥90%</t>
        </is>
      </c>
      <c r="C17" s="15" t="inlineStr">
        <is>
          <t>Gul 80–90%</t>
        </is>
      </c>
      <c r="D17" s="14" t="inlineStr">
        <is>
          <t>Rød &lt;80%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inlineStr">
        <is>
          <t>Tiltak</t>
        </is>
      </c>
      <c r="B18" s="26" t="inlineStr">
        <is>
          <t>Grønn gjennomført</t>
        </is>
      </c>
      <c r="C18" s="15" t="inlineStr">
        <is>
          <t>Gul pågår</t>
        </is>
      </c>
      <c r="D18" s="14" t="inlineStr">
        <is>
          <t>Rød forsinket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</sheetData>
  <mergeCells count="3">
    <mergeCell ref="A15:D15"/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cols>
    <col width="9.81640625" bestFit="1" customWidth="1" style="6" min="1" max="1"/>
    <col width="9.08984375" bestFit="1" customWidth="1" style="6" min="2" max="2"/>
    <col width="11.26953125" bestFit="1" customWidth="1" style="6" min="3" max="3"/>
    <col width="10.1796875" bestFit="1" customWidth="1" style="6" min="4" max="4"/>
    <col width="11.1796875" bestFit="1" customWidth="1" style="6" min="5" max="6"/>
    <col width="10.81640625" bestFit="1" customWidth="1" style="6" min="7" max="7"/>
  </cols>
  <sheetData>
    <row r="1">
      <c r="A1" s="4" t="inlineStr">
        <is>
          <t>Maaned</t>
        </is>
      </c>
      <c r="B1" s="4" t="inlineStr">
        <is>
          <t>Dato</t>
        </is>
      </c>
      <c r="C1" s="4" t="inlineStr">
        <is>
          <t>Regnskap</t>
        </is>
      </c>
      <c r="D1" s="4" t="inlineStr">
        <is>
          <t>Budsjett</t>
        </is>
      </c>
      <c r="E1" s="4" t="inlineStr">
        <is>
          <t>FC1_2026</t>
        </is>
      </c>
      <c r="F1" s="4" t="inlineStr">
        <is>
          <t>FC2_2026</t>
        </is>
      </c>
      <c r="G1" s="4" t="inlineStr">
        <is>
          <t>LE_2026</t>
        </is>
      </c>
    </row>
    <row r="2">
      <c r="A2" s="2" t="n">
        <v>202601</v>
      </c>
      <c r="B2" s="3" t="n">
        <v>46023</v>
      </c>
      <c r="C2" s="5" t="n">
        <v>886590.89</v>
      </c>
      <c r="D2" s="5" t="n">
        <v>894153.22</v>
      </c>
      <c r="E2" s="5" t="n">
        <v>3099875.34</v>
      </c>
      <c r="F2" s="5" t="n">
        <v>3099875.34</v>
      </c>
      <c r="G2" s="5" t="n">
        <v>3099875.34</v>
      </c>
    </row>
    <row r="3">
      <c r="A3" s="2" t="n">
        <v>202602</v>
      </c>
      <c r="B3" s="3" t="n">
        <v>46054</v>
      </c>
      <c r="C3" s="5" t="n">
        <v>885568.37</v>
      </c>
      <c r="D3" s="5" t="n">
        <v>894318.26</v>
      </c>
      <c r="E3" s="5" t="n">
        <v>3017684.34</v>
      </c>
      <c r="F3" s="5" t="n">
        <v>3017684.34</v>
      </c>
      <c r="G3" s="5" t="n">
        <v>3017684.34</v>
      </c>
    </row>
    <row r="4">
      <c r="A4" s="2" t="n">
        <v>202603</v>
      </c>
      <c r="B4" s="3" t="n">
        <v>46082</v>
      </c>
      <c r="C4" s="5" t="n">
        <v>882743.84</v>
      </c>
      <c r="D4" s="5" t="n">
        <v>895847.16</v>
      </c>
      <c r="E4" s="5" t="n">
        <v>3042930.13</v>
      </c>
      <c r="F4" s="5" t="n">
        <v>3042930.13</v>
      </c>
      <c r="G4" s="5" t="n">
        <v>3042930.13</v>
      </c>
    </row>
    <row r="5">
      <c r="A5" s="2" t="n">
        <v>202604</v>
      </c>
      <c r="B5" s="3" t="n">
        <v>46113</v>
      </c>
      <c r="C5" s="5" t="n">
        <v>884688.6</v>
      </c>
      <c r="D5" s="5" t="n">
        <v>898814.14</v>
      </c>
      <c r="E5" s="5" t="n">
        <v>3009968.24</v>
      </c>
      <c r="F5" s="5" t="n">
        <v>3009968.24</v>
      </c>
      <c r="G5" s="5" t="n">
        <v>3009968.24</v>
      </c>
    </row>
    <row r="6">
      <c r="A6" s="2" t="n">
        <v>202605</v>
      </c>
      <c r="B6" s="3" t="n">
        <v>46143</v>
      </c>
      <c r="C6" s="5" t="n">
        <v>886594.01</v>
      </c>
      <c r="D6" s="5" t="n">
        <v>894976.25</v>
      </c>
      <c r="E6" s="5" t="n">
        <v>2753059.17</v>
      </c>
      <c r="F6" s="5" t="n">
        <v>3063401.27</v>
      </c>
      <c r="G6" s="5" t="n">
        <v>3063401.27</v>
      </c>
    </row>
    <row r="7">
      <c r="A7" s="2" t="n">
        <v>202606</v>
      </c>
      <c r="B7" s="3" t="n">
        <v>46174</v>
      </c>
      <c r="C7" s="5" t="n">
        <v>878946.8</v>
      </c>
      <c r="D7" s="5" t="n">
        <v>893181.3199999999</v>
      </c>
      <c r="E7" s="5" t="n">
        <v>2726527.42</v>
      </c>
      <c r="F7" s="5" t="n">
        <v>3015779.11</v>
      </c>
      <c r="G7" s="5" t="n">
        <v>3015779.11</v>
      </c>
    </row>
    <row r="8">
      <c r="A8" s="2" t="n">
        <v>202607</v>
      </c>
      <c r="B8" s="3" t="n">
        <v>46204</v>
      </c>
      <c r="C8" s="5" t="n">
        <v>882587.4399999999</v>
      </c>
      <c r="D8" s="5" t="n">
        <v>895462.67</v>
      </c>
      <c r="E8" s="5" t="n">
        <v>2547474</v>
      </c>
      <c r="F8" s="5" t="n">
        <v>2998834.66</v>
      </c>
      <c r="G8" s="5" t="n">
        <v>2998834.66</v>
      </c>
    </row>
    <row r="9">
      <c r="A9" s="2" t="n">
        <v>202608</v>
      </c>
      <c r="B9" s="3" t="n">
        <v>46235</v>
      </c>
      <c r="C9" s="5" t="n">
        <v>881030.9399999999</v>
      </c>
      <c r="D9" s="5" t="n">
        <v>892991.49</v>
      </c>
      <c r="E9" s="5" t="n">
        <v>2972320.59</v>
      </c>
      <c r="F9" s="5" t="n">
        <v>3009860.98</v>
      </c>
      <c r="G9" s="5" t="n">
        <v>3009860.98</v>
      </c>
    </row>
    <row r="10">
      <c r="A10" s="2" t="n">
        <v>202609</v>
      </c>
      <c r="B10" s="3" t="n">
        <v>46266</v>
      </c>
      <c r="C10" s="5" t="n">
        <v>888804.0699999999</v>
      </c>
      <c r="D10" s="5" t="n">
        <v>896365.5699999999</v>
      </c>
      <c r="E10" s="5" t="n">
        <v>3271950.6</v>
      </c>
      <c r="F10" s="5" t="n">
        <v>3596687.09</v>
      </c>
      <c r="G10" s="5" t="n">
        <v>3080740.83</v>
      </c>
    </row>
    <row r="11">
      <c r="A11" s="2" t="n">
        <v>202610</v>
      </c>
      <c r="B11" s="3" t="n">
        <v>46296</v>
      </c>
      <c r="C11" s="5" t="n">
        <v>885955.13</v>
      </c>
      <c r="D11" s="5" t="n">
        <v>895660.2</v>
      </c>
      <c r="E11" s="5" t="n">
        <v>3397240.33</v>
      </c>
      <c r="F11" s="5" t="n">
        <v>3012557.79</v>
      </c>
      <c r="G11" s="5" t="n">
        <v>3013998.67</v>
      </c>
    </row>
    <row r="12">
      <c r="A12" s="2" t="n">
        <v>202611</v>
      </c>
      <c r="B12" s="3" t="n">
        <v>46327</v>
      </c>
      <c r="C12" s="5" t="n">
        <v>882682.3100000001</v>
      </c>
      <c r="D12" s="5" t="n">
        <v>894175.47</v>
      </c>
      <c r="E12" s="5" t="n">
        <v>2803889.74</v>
      </c>
      <c r="F12" s="5" t="n">
        <v>2516820.25</v>
      </c>
      <c r="G12" s="5" t="n">
        <v>2433558.59</v>
      </c>
    </row>
    <row r="13">
      <c r="A13" s="2" t="n">
        <v>202612</v>
      </c>
      <c r="B13" s="3" t="n">
        <v>46357</v>
      </c>
      <c r="C13" s="5" t="n">
        <v>890935.79</v>
      </c>
      <c r="D13" s="5" t="n">
        <v>901787.0699999999</v>
      </c>
      <c r="E13" s="5" t="n">
        <v>2829716.08</v>
      </c>
      <c r="F13" s="5" t="n">
        <v>2571759.97</v>
      </c>
      <c r="G13" s="5" t="n">
        <v>4006892.15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4.5"/>
  <cols>
    <col width="10.08984375" bestFit="1" customWidth="1" style="6" min="1" max="1"/>
    <col width="21.7265625" bestFit="1" customWidth="1" style="6" min="2" max="2"/>
    <col width="11.26953125" bestFit="1" customWidth="1" style="6" min="3" max="3"/>
    <col width="10.81640625" bestFit="1" customWidth="1" style="6" min="4" max="5"/>
    <col width="14.54296875" bestFit="1" customWidth="1" style="6" min="6" max="6"/>
    <col width="17.36328125" customWidth="1" style="6" min="7" max="7"/>
    <col width="10.36328125" bestFit="1" customWidth="1" style="6" min="8" max="8"/>
    <col width="16.1796875" bestFit="1" customWidth="1" style="6" min="9" max="9"/>
    <col width="20.81640625" bestFit="1" customWidth="1" style="6" min="10" max="10"/>
    <col width="26.7265625" bestFit="1" customWidth="1" style="6" min="11" max="11"/>
  </cols>
  <sheetData>
    <row r="1">
      <c r="A1" s="4" t="inlineStr">
        <is>
          <t>Fakultet</t>
        </is>
      </c>
      <c r="B1" s="4" t="inlineStr">
        <is>
          <t>Fakultetsnavn</t>
        </is>
      </c>
      <c r="C1" s="4" t="inlineStr">
        <is>
          <t>Regnskap</t>
        </is>
      </c>
      <c r="D1" s="4" t="inlineStr">
        <is>
          <t>Budsjett</t>
        </is>
      </c>
      <c r="E1" s="4" t="inlineStr">
        <is>
          <t>LE</t>
        </is>
      </c>
      <c r="F1" s="4" t="inlineStr">
        <is>
          <t>Forecastavvik</t>
        </is>
      </c>
      <c r="G1" s="4" t="inlineStr">
        <is>
          <t>ForecastavvikPct</t>
        </is>
      </c>
      <c r="H1" s="4" t="inlineStr">
        <is>
          <t>Aarsverk</t>
        </is>
      </c>
      <c r="I1" s="4" t="inlineStr">
        <is>
          <t>FagligeAarsverk</t>
        </is>
      </c>
      <c r="J1" s="4" t="inlineStr">
        <is>
          <t>RegistrerteStudenter</t>
        </is>
      </c>
      <c r="K1" s="4" t="inlineStr">
        <is>
          <t>StudenterPerFagligAarsverk</t>
        </is>
      </c>
    </row>
    <row r="2">
      <c r="A2" s="2" t="inlineStr">
        <is>
          <t>FAK-HH</t>
        </is>
      </c>
      <c r="B2" s="2" t="inlineStr">
        <is>
          <t>Handelshoyskolen</t>
        </is>
      </c>
      <c r="C2" s="5" t="n">
        <v>1473313.32</v>
      </c>
      <c r="D2" s="5" t="n">
        <v>1490346.8</v>
      </c>
      <c r="E2" s="5" t="n">
        <v>4851121.59</v>
      </c>
      <c r="F2" s="5">
        <f>E2-D2</f>
        <v/>
      </c>
      <c r="G2" s="16">
        <f>IFERROR(F2/D2,"")</f>
        <v/>
      </c>
      <c r="H2" s="5" t="n">
        <v>152.55</v>
      </c>
      <c r="I2" s="5" t="n">
        <v>93.36</v>
      </c>
      <c r="J2" s="5" t="n">
        <v>1441</v>
      </c>
      <c r="K2" s="5" t="n">
        <v>15.4349</v>
      </c>
    </row>
    <row r="3">
      <c r="A3" s="2" t="inlineStr">
        <is>
          <t>FAK-HI</t>
        </is>
      </c>
      <c r="B3" s="2" t="inlineStr">
        <is>
          <t>Helse- og idrettsvitenskap</t>
        </is>
      </c>
      <c r="C3" s="5" t="n">
        <v>1859939.19</v>
      </c>
      <c r="D3" s="5" t="n">
        <v>1882463.25</v>
      </c>
      <c r="E3" s="5" t="n">
        <v>6416946.79</v>
      </c>
      <c r="F3" s="5">
        <f>E3-D3</f>
        <v/>
      </c>
      <c r="G3" s="16">
        <f>IFERROR(F3/D3,"")</f>
        <v/>
      </c>
      <c r="H3" s="5" t="n">
        <v>169.62</v>
      </c>
      <c r="I3" s="5" t="n">
        <v>102.98</v>
      </c>
      <c r="J3" s="5" t="n">
        <v>817</v>
      </c>
      <c r="K3" s="5" t="n">
        <v>7.9336</v>
      </c>
    </row>
    <row r="4">
      <c r="A4" s="2" t="inlineStr">
        <is>
          <t>FAK-HP</t>
        </is>
      </c>
      <c r="B4" s="2" t="inlineStr">
        <is>
          <t>Humaniora og pedagogikk</t>
        </is>
      </c>
      <c r="C4" s="5" t="n">
        <v>1227985.93</v>
      </c>
      <c r="D4" s="5" t="n">
        <v>1243978.52</v>
      </c>
      <c r="E4" s="5" t="n">
        <v>3897969.2</v>
      </c>
      <c r="F4" s="5">
        <f>E4-D4</f>
        <v/>
      </c>
      <c r="G4" s="16">
        <f>IFERROR(F4/D4,"")</f>
        <v/>
      </c>
      <c r="H4" s="5" t="n">
        <v>193.64</v>
      </c>
      <c r="I4" s="5" t="n">
        <v>117.69</v>
      </c>
      <c r="J4" s="5" t="n">
        <v>1007</v>
      </c>
      <c r="K4" s="5" t="n">
        <v>8.5564</v>
      </c>
    </row>
    <row r="5">
      <c r="A5" s="2" t="inlineStr">
        <is>
          <t>FAK-KF</t>
        </is>
      </c>
      <c r="B5" s="2" t="inlineStr">
        <is>
          <t>Kunstfag</t>
        </is>
      </c>
      <c r="C5" s="5" t="n">
        <v>1945213.28</v>
      </c>
      <c r="D5" s="5" t="n">
        <v>1967731.7</v>
      </c>
      <c r="E5" s="5" t="n">
        <v>6592504.42</v>
      </c>
      <c r="F5" s="5">
        <f>E5-D5</f>
        <v/>
      </c>
      <c r="G5" s="16">
        <f>IFERROR(F5/D5,"")</f>
        <v/>
      </c>
      <c r="H5" s="5" t="n">
        <v>154.78</v>
      </c>
      <c r="I5" s="5" t="n">
        <v>94.15000000000001</v>
      </c>
      <c r="J5" s="5" t="n">
        <v>831</v>
      </c>
      <c r="K5" s="5" t="n">
        <v>8.8263</v>
      </c>
    </row>
    <row r="6">
      <c r="A6" s="2" t="inlineStr">
        <is>
          <t>FAK-SV</t>
        </is>
      </c>
      <c r="B6" s="2" t="inlineStr">
        <is>
          <t>Samfunnsvitenskap</t>
        </is>
      </c>
      <c r="C6" s="5" t="n">
        <v>1396541.7</v>
      </c>
      <c r="D6" s="5" t="n">
        <v>1413910.32</v>
      </c>
      <c r="E6" s="5" t="n">
        <v>5572155.33</v>
      </c>
      <c r="F6" s="5">
        <f>E6-D6</f>
        <v/>
      </c>
      <c r="G6" s="16">
        <f>IFERROR(F6/D6,"")</f>
        <v/>
      </c>
      <c r="H6" s="5" t="n">
        <v>229.36</v>
      </c>
      <c r="I6" s="5" t="n">
        <v>139.2</v>
      </c>
      <c r="J6" s="5" t="n">
        <v>984</v>
      </c>
      <c r="K6" s="5" t="n">
        <v>7.069</v>
      </c>
    </row>
    <row r="7">
      <c r="A7" s="2" t="inlineStr">
        <is>
          <t>FAK-TR</t>
        </is>
      </c>
      <c r="B7" s="2" t="inlineStr">
        <is>
          <t>Teknologi og realfag</t>
        </is>
      </c>
      <c r="C7" s="5" t="n">
        <v>1514986.47</v>
      </c>
      <c r="D7" s="5" t="n">
        <v>1533245.45</v>
      </c>
      <c r="E7" s="5" t="n">
        <v>5423355.51</v>
      </c>
      <c r="F7" s="5">
        <f>E7-D7</f>
        <v/>
      </c>
      <c r="G7" s="16">
        <f>IFERROR(F7/D7,"")</f>
        <v/>
      </c>
      <c r="H7" s="5" t="n">
        <v>172.74</v>
      </c>
      <c r="I7" s="5" t="n">
        <v>105.83</v>
      </c>
      <c r="J7" s="5" t="n">
        <v>1410</v>
      </c>
      <c r="K7" s="5" t="n">
        <v>13.3233</v>
      </c>
    </row>
    <row r="8">
      <c r="A8" s="2" t="inlineStr">
        <is>
          <t>FEL-ADM</t>
        </is>
      </c>
      <c r="B8" s="2" t="inlineStr">
        <is>
          <t>Fellesadministrasjon</t>
        </is>
      </c>
      <c r="C8" s="5" t="n">
        <v>1199148.3</v>
      </c>
      <c r="D8" s="5" t="n">
        <v>1216056.78</v>
      </c>
      <c r="E8" s="5" t="n">
        <v>4039471.47</v>
      </c>
      <c r="F8" s="5">
        <f>E8-D8</f>
        <v/>
      </c>
      <c r="G8" s="16">
        <f>IFERROR(F8/D8,"")</f>
        <v/>
      </c>
      <c r="H8" s="5" t="n">
        <v>213.24</v>
      </c>
      <c r="I8" s="5" t="n">
        <v>8.56</v>
      </c>
      <c r="J8" s="5" t="n"/>
      <c r="K8" s="5" t="n"/>
    </row>
  </sheetData>
  <conditionalFormatting sqref="G2:G8">
    <cfRule type="expression" priority="1" dxfId="54">
      <formula>$G2&gt;0.05</formula>
    </cfRule>
    <cfRule type="expression" priority="2" dxfId="58">
      <formula>AND($G2&gt;=0.02,$G2&lt;=0.05)</formula>
    </cfRule>
    <cfRule type="expression" priority="3" dxfId="55">
      <formula>$G2&lt;0.02</formula>
    </cfRule>
  </conditionalFormatting>
  <conditionalFormatting sqref="F2:F8">
    <cfRule type="dataBar" priority="4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:H1"/>
    </sheetView>
  </sheetViews>
  <sheetFormatPr baseColWidth="8" defaultRowHeight="14.5"/>
  <cols>
    <col width="10.08984375" bestFit="1" customWidth="1" style="6" min="1" max="1"/>
    <col width="21.7265625" bestFit="1" customWidth="1" style="6" min="2" max="2"/>
    <col width="10.08984375" bestFit="1" customWidth="1" style="6" min="3" max="3"/>
    <col width="35.90625" bestFit="1" customWidth="1" style="6" min="4" max="4"/>
    <col width="11.26953125" bestFit="1" customWidth="1" style="6" min="5" max="5"/>
    <col width="10.1796875" bestFit="1" customWidth="1" style="6" min="6" max="6"/>
    <col width="10.81640625" bestFit="1" customWidth="1" style="6" min="7" max="7"/>
    <col width="14.54296875" bestFit="1" customWidth="1" style="6" min="8" max="8"/>
    <col width="17.36328125" customWidth="1" style="6" min="9" max="9"/>
    <col width="10.36328125" bestFit="1" customWidth="1" style="6" min="10" max="10"/>
    <col width="16.1796875" bestFit="1" customWidth="1" style="6" min="11" max="11"/>
    <col width="20.81640625" bestFit="1" customWidth="1" style="6" min="12" max="12"/>
    <col width="26.7265625" bestFit="1" customWidth="1" style="6" min="13" max="13"/>
  </cols>
  <sheetData>
    <row r="1">
      <c r="A1" s="4" t="inlineStr">
        <is>
          <t>Fakultet</t>
        </is>
      </c>
      <c r="B1" s="4" t="inlineStr">
        <is>
          <t>Fakultetsnavn</t>
        </is>
      </c>
      <c r="C1" s="4" t="inlineStr">
        <is>
          <t>Institutt</t>
        </is>
      </c>
      <c r="D1" s="4" t="inlineStr">
        <is>
          <t>Instituttnavn</t>
        </is>
      </c>
      <c r="E1" s="4" t="inlineStr">
        <is>
          <t>Regnskap</t>
        </is>
      </c>
      <c r="F1" s="4" t="inlineStr">
        <is>
          <t>Budsjett</t>
        </is>
      </c>
      <c r="G1" s="4" t="inlineStr">
        <is>
          <t>LE</t>
        </is>
      </c>
      <c r="H1" s="4" t="inlineStr">
        <is>
          <t>Forecastavvik</t>
        </is>
      </c>
      <c r="I1" s="4" t="inlineStr">
        <is>
          <t>ForecastavvikPct</t>
        </is>
      </c>
      <c r="J1" s="4" t="inlineStr">
        <is>
          <t>Aarsverk</t>
        </is>
      </c>
      <c r="K1" s="4" t="inlineStr">
        <is>
          <t>FagligeAarsverk</t>
        </is>
      </c>
      <c r="L1" s="4" t="inlineStr">
        <is>
          <t>RegistrerteStudenter</t>
        </is>
      </c>
      <c r="M1" s="4" t="inlineStr">
        <is>
          <t>StudenterPerFagligAarsverk</t>
        </is>
      </c>
    </row>
    <row r="2">
      <c r="A2" s="2" t="inlineStr">
        <is>
          <t>FAK-HH</t>
        </is>
      </c>
      <c r="B2" s="2" t="inlineStr">
        <is>
          <t>Handelshoyskolen</t>
        </is>
      </c>
      <c r="C2" s="2" t="inlineStr">
        <is>
          <t>I001</t>
        </is>
      </c>
      <c r="D2" s="2" t="inlineStr">
        <is>
          <t>Institutt/enhet 1 - Handelshoyskolen</t>
        </is>
      </c>
      <c r="E2" s="5" t="n">
        <v>374499.8</v>
      </c>
      <c r="F2" s="5" t="n">
        <v>378990.31</v>
      </c>
      <c r="G2" s="5" t="n">
        <v>1260435.15</v>
      </c>
      <c r="H2" s="5">
        <f>G2-F2</f>
        <v/>
      </c>
      <c r="I2" s="16">
        <f>IFERROR(H2/F2,"")</f>
        <v/>
      </c>
      <c r="J2" s="5" t="n">
        <v>40.02</v>
      </c>
      <c r="K2" s="5" t="n">
        <v>24.56</v>
      </c>
      <c r="L2" s="5" t="n">
        <v>499</v>
      </c>
      <c r="M2" s="5" t="n">
        <v>20.3176</v>
      </c>
    </row>
    <row r="3">
      <c r="A3" s="2" t="inlineStr">
        <is>
          <t>FAK-HH</t>
        </is>
      </c>
      <c r="B3" s="2" t="inlineStr">
        <is>
          <t>Handelshoyskolen</t>
        </is>
      </c>
      <c r="C3" s="2" t="inlineStr">
        <is>
          <t>I002</t>
        </is>
      </c>
      <c r="D3" s="2" t="inlineStr">
        <is>
          <t>Institutt/enhet 2 - Handelshoyskolen</t>
        </is>
      </c>
      <c r="E3" s="5" t="n">
        <v>472672</v>
      </c>
      <c r="F3" s="5" t="n">
        <v>479917.72</v>
      </c>
      <c r="G3" s="5" t="n">
        <v>1551841.16</v>
      </c>
      <c r="H3" s="5">
        <f>G3-F3</f>
        <v/>
      </c>
      <c r="I3" s="16">
        <f>IFERROR(H3/F3,"")</f>
        <v/>
      </c>
      <c r="J3" s="5" t="n">
        <v>56.66</v>
      </c>
      <c r="K3" s="5" t="n">
        <v>34.58</v>
      </c>
      <c r="L3" s="5" t="n">
        <v>516</v>
      </c>
      <c r="M3" s="5" t="n">
        <v>14.9219</v>
      </c>
    </row>
    <row r="4">
      <c r="A4" s="2" t="inlineStr">
        <is>
          <t>FAK-HH</t>
        </is>
      </c>
      <c r="B4" s="2" t="inlineStr">
        <is>
          <t>Handelshoyskolen</t>
        </is>
      </c>
      <c r="C4" s="2" t="inlineStr">
        <is>
          <t>I003</t>
        </is>
      </c>
      <c r="D4" s="2" t="inlineStr">
        <is>
          <t>Institutt/enhet 3 - Handelshoyskolen</t>
        </is>
      </c>
      <c r="E4" s="5" t="n">
        <v>626141.52</v>
      </c>
      <c r="F4" s="5" t="n">
        <v>631438.77</v>
      </c>
      <c r="G4" s="5" t="n">
        <v>2038845.28</v>
      </c>
      <c r="H4" s="5">
        <f>G4-F4</f>
        <v/>
      </c>
      <c r="I4" s="16">
        <f>IFERROR(H4/F4,"")</f>
        <v/>
      </c>
      <c r="J4" s="5" t="n">
        <v>55.87</v>
      </c>
      <c r="K4" s="5" t="n">
        <v>34.22</v>
      </c>
      <c r="L4" s="5" t="n">
        <v>426</v>
      </c>
      <c r="M4" s="5" t="n">
        <v>12.4489</v>
      </c>
    </row>
    <row r="5">
      <c r="A5" s="2" t="inlineStr">
        <is>
          <t>FAK-HI</t>
        </is>
      </c>
      <c r="B5" s="2" t="inlineStr">
        <is>
          <t>Helse- og idrettsvitenskap</t>
        </is>
      </c>
      <c r="C5" s="2" t="inlineStr">
        <is>
          <t>I004</t>
        </is>
      </c>
      <c r="D5" s="2" t="inlineStr">
        <is>
          <t>Institutt/enhet 1 - Helse- og idrettsvitenskap</t>
        </is>
      </c>
      <c r="E5" s="5" t="n">
        <v>753993.5600000001</v>
      </c>
      <c r="F5" s="5" t="n">
        <v>763474.75</v>
      </c>
      <c r="G5" s="5" t="n">
        <v>2763386.03</v>
      </c>
      <c r="H5" s="5">
        <f>G5-F5</f>
        <v/>
      </c>
      <c r="I5" s="16">
        <f>IFERROR(H5/F5,"")</f>
        <v/>
      </c>
      <c r="J5" s="5" t="n">
        <v>48.25</v>
      </c>
      <c r="K5" s="5" t="n">
        <v>29.39</v>
      </c>
      <c r="L5" s="5" t="n">
        <v>207</v>
      </c>
      <c r="M5" s="5" t="n">
        <v>7.0432</v>
      </c>
    </row>
    <row r="6">
      <c r="A6" s="2" t="inlineStr">
        <is>
          <t>FAK-HI</t>
        </is>
      </c>
      <c r="B6" s="2" t="inlineStr">
        <is>
          <t>Helse- og idrettsvitenskap</t>
        </is>
      </c>
      <c r="C6" s="2" t="inlineStr">
        <is>
          <t>I005</t>
        </is>
      </c>
      <c r="D6" s="2" t="inlineStr">
        <is>
          <t>Institutt/enhet 2 - Helse- og idrettsvitenskap</t>
        </is>
      </c>
      <c r="E6" s="5" t="n">
        <v>542856.61</v>
      </c>
      <c r="F6" s="5" t="n">
        <v>546529.5</v>
      </c>
      <c r="G6" s="5" t="n">
        <v>1765783.42</v>
      </c>
      <c r="H6" s="5">
        <f>G6-F6</f>
        <v/>
      </c>
      <c r="I6" s="16">
        <f>IFERROR(H6/F6,"")</f>
        <v/>
      </c>
      <c r="J6" s="5" t="n">
        <v>66.18000000000001</v>
      </c>
      <c r="K6" s="5" t="n">
        <v>40.2</v>
      </c>
      <c r="L6" s="5" t="n">
        <v>269</v>
      </c>
      <c r="M6" s="5" t="n">
        <v>6.6915</v>
      </c>
    </row>
    <row r="7">
      <c r="A7" s="2" t="inlineStr">
        <is>
          <t>FAK-HI</t>
        </is>
      </c>
      <c r="B7" s="2" t="inlineStr">
        <is>
          <t>Helse- og idrettsvitenskap</t>
        </is>
      </c>
      <c r="C7" s="2" t="inlineStr">
        <is>
          <t>I006</t>
        </is>
      </c>
      <c r="D7" s="2" t="inlineStr">
        <is>
          <t>Institutt/enhet 3 - Helse- og idrettsvitenskap</t>
        </is>
      </c>
      <c r="E7" s="5" t="n">
        <v>563089.02</v>
      </c>
      <c r="F7" s="5" t="n">
        <v>572459</v>
      </c>
      <c r="G7" s="5" t="n">
        <v>1887777.34</v>
      </c>
      <c r="H7" s="5">
        <f>G7-F7</f>
        <v/>
      </c>
      <c r="I7" s="16">
        <f>IFERROR(H7/F7,"")</f>
        <v/>
      </c>
      <c r="J7" s="5" t="n">
        <v>55.19</v>
      </c>
      <c r="K7" s="5" t="n">
        <v>33.39</v>
      </c>
      <c r="L7" s="5" t="n">
        <v>341</v>
      </c>
      <c r="M7" s="5" t="n">
        <v>10.2126</v>
      </c>
    </row>
    <row r="8">
      <c r="A8" s="2" t="inlineStr">
        <is>
          <t>FAK-HP</t>
        </is>
      </c>
      <c r="B8" s="2" t="inlineStr">
        <is>
          <t>Humaniora og pedagogikk</t>
        </is>
      </c>
      <c r="C8" s="2" t="inlineStr">
        <is>
          <t>I007</t>
        </is>
      </c>
      <c r="D8" s="2" t="inlineStr">
        <is>
          <t>Institutt/enhet 1 - Humaniora og pedagogikk</t>
        </is>
      </c>
      <c r="E8" s="5" t="n">
        <v>394131.9</v>
      </c>
      <c r="F8" s="5" t="n">
        <v>400089.92</v>
      </c>
      <c r="G8" s="5" t="n">
        <v>1507751.7</v>
      </c>
      <c r="H8" s="5">
        <f>G8-F8</f>
        <v/>
      </c>
      <c r="I8" s="16">
        <f>IFERROR(H8/F8,"")</f>
        <v/>
      </c>
      <c r="J8" s="5" t="n">
        <v>77.01000000000001</v>
      </c>
      <c r="K8" s="5" t="n">
        <v>46.87</v>
      </c>
      <c r="L8" s="5" t="n">
        <v>227</v>
      </c>
      <c r="M8" s="5" t="n">
        <v>4.8432</v>
      </c>
    </row>
    <row r="9">
      <c r="A9" s="2" t="inlineStr">
        <is>
          <t>FAK-HP</t>
        </is>
      </c>
      <c r="B9" s="2" t="inlineStr">
        <is>
          <t>Humaniora og pedagogikk</t>
        </is>
      </c>
      <c r="C9" s="2" t="inlineStr">
        <is>
          <t>I008</t>
        </is>
      </c>
      <c r="D9" s="2" t="inlineStr">
        <is>
          <t>Institutt/enhet 2 - Humaniora og pedagogikk</t>
        </is>
      </c>
      <c r="E9" s="5" t="n">
        <v>416758.7</v>
      </c>
      <c r="F9" s="5" t="n">
        <v>421016.06</v>
      </c>
      <c r="G9" s="5" t="n">
        <v>1127464.05</v>
      </c>
      <c r="H9" s="5">
        <f>G9-F9</f>
        <v/>
      </c>
      <c r="I9" s="16">
        <f>IFERROR(H9/F9,"")</f>
        <v/>
      </c>
      <c r="J9" s="5" t="n">
        <v>56.92</v>
      </c>
      <c r="K9" s="5" t="n">
        <v>34.48</v>
      </c>
      <c r="L9" s="5" t="n">
        <v>469</v>
      </c>
      <c r="M9" s="5" t="n">
        <v>13.6021</v>
      </c>
    </row>
    <row r="10">
      <c r="A10" s="2" t="inlineStr">
        <is>
          <t>FAK-HP</t>
        </is>
      </c>
      <c r="B10" s="2" t="inlineStr">
        <is>
          <t>Humaniora og pedagogikk</t>
        </is>
      </c>
      <c r="C10" s="2" t="inlineStr">
        <is>
          <t>I009</t>
        </is>
      </c>
      <c r="D10" s="2" t="inlineStr">
        <is>
          <t>Institutt/enhet 3 - Humaniora og pedagogikk</t>
        </is>
      </c>
      <c r="E10" s="5" t="n">
        <v>417095.33</v>
      </c>
      <c r="F10" s="5" t="n">
        <v>422872.54</v>
      </c>
      <c r="G10" s="5" t="n">
        <v>1262753.45</v>
      </c>
      <c r="H10" s="5">
        <f>G10-F10</f>
        <v/>
      </c>
      <c r="I10" s="16">
        <f>IFERROR(H10/F10,"")</f>
        <v/>
      </c>
      <c r="J10" s="5" t="n">
        <v>59.71</v>
      </c>
      <c r="K10" s="5" t="n">
        <v>36.34</v>
      </c>
      <c r="L10" s="5" t="n">
        <v>311</v>
      </c>
      <c r="M10" s="5" t="n">
        <v>8.5581</v>
      </c>
    </row>
    <row r="11">
      <c r="A11" s="2" t="inlineStr">
        <is>
          <t>FAK-KF</t>
        </is>
      </c>
      <c r="B11" s="2" t="inlineStr">
        <is>
          <t>Kunstfag</t>
        </is>
      </c>
      <c r="C11" s="2" t="inlineStr">
        <is>
          <t>I010</t>
        </is>
      </c>
      <c r="D11" s="2" t="inlineStr">
        <is>
          <t>Institutt/enhet 1 - Kunstfag</t>
        </is>
      </c>
      <c r="E11" s="5" t="n">
        <v>690324.6800000001</v>
      </c>
      <c r="F11" s="5" t="n">
        <v>702638.9</v>
      </c>
      <c r="G11" s="5" t="n">
        <v>2607039.97</v>
      </c>
      <c r="H11" s="5">
        <f>G11-F11</f>
        <v/>
      </c>
      <c r="I11" s="16">
        <f>IFERROR(H11/F11,"")</f>
        <v/>
      </c>
      <c r="J11" s="5" t="n">
        <v>40.42</v>
      </c>
      <c r="K11" s="5" t="n">
        <v>24.66</v>
      </c>
      <c r="L11" s="5" t="n">
        <v>297</v>
      </c>
      <c r="M11" s="5" t="n">
        <v>12.0438</v>
      </c>
    </row>
    <row r="12">
      <c r="A12" s="2" t="inlineStr">
        <is>
          <t>FAK-KF</t>
        </is>
      </c>
      <c r="B12" s="2" t="inlineStr">
        <is>
          <t>Kunstfag</t>
        </is>
      </c>
      <c r="C12" s="2" t="inlineStr">
        <is>
          <t>I011</t>
        </is>
      </c>
      <c r="D12" s="2" t="inlineStr">
        <is>
          <t>Institutt/enhet 2 - Kunstfag</t>
        </is>
      </c>
      <c r="E12" s="5" t="n">
        <v>571542.75</v>
      </c>
      <c r="F12" s="5" t="n">
        <v>577498.62</v>
      </c>
      <c r="G12" s="5" t="n">
        <v>1772798.26</v>
      </c>
      <c r="H12" s="5">
        <f>G12-F12</f>
        <v/>
      </c>
      <c r="I12" s="16">
        <f>IFERROR(H12/F12,"")</f>
        <v/>
      </c>
      <c r="J12" s="5" t="n">
        <v>79.3</v>
      </c>
      <c r="K12" s="5" t="n">
        <v>48.03</v>
      </c>
      <c r="L12" s="5" t="n">
        <v>244</v>
      </c>
      <c r="M12" s="5" t="n">
        <v>5.0802</v>
      </c>
    </row>
    <row r="13">
      <c r="A13" s="2" t="inlineStr">
        <is>
          <t>FAK-KF</t>
        </is>
      </c>
      <c r="B13" s="2" t="inlineStr">
        <is>
          <t>Kunstfag</t>
        </is>
      </c>
      <c r="C13" s="2" t="inlineStr">
        <is>
          <t>I012</t>
        </is>
      </c>
      <c r="D13" s="2" t="inlineStr">
        <is>
          <t>Institutt/enhet 3 - Kunstfag</t>
        </is>
      </c>
      <c r="E13" s="5" t="n">
        <v>683345.85</v>
      </c>
      <c r="F13" s="5" t="n">
        <v>687594.1800000001</v>
      </c>
      <c r="G13" s="5" t="n">
        <v>2212666.19</v>
      </c>
      <c r="H13" s="5">
        <f>G13-F13</f>
        <v/>
      </c>
      <c r="I13" s="16">
        <f>IFERROR(H13/F13,"")</f>
        <v/>
      </c>
      <c r="J13" s="5" t="n">
        <v>35.06</v>
      </c>
      <c r="K13" s="5" t="n">
        <v>21.46</v>
      </c>
      <c r="L13" s="5" t="n">
        <v>290</v>
      </c>
      <c r="M13" s="5" t="n">
        <v>13.5135</v>
      </c>
    </row>
    <row r="14">
      <c r="A14" s="2" t="inlineStr">
        <is>
          <t>FAK-SV</t>
        </is>
      </c>
      <c r="B14" s="2" t="inlineStr">
        <is>
          <t>Samfunnsvitenskap</t>
        </is>
      </c>
      <c r="C14" s="2" t="inlineStr">
        <is>
          <t>I013</t>
        </is>
      </c>
      <c r="D14" s="2" t="inlineStr">
        <is>
          <t>Institutt/enhet 1 - Samfunnsvitenskap</t>
        </is>
      </c>
      <c r="E14" s="5" t="n">
        <v>516942.86</v>
      </c>
      <c r="F14" s="5" t="n">
        <v>522554.56</v>
      </c>
      <c r="G14" s="5" t="n">
        <v>2188015.57</v>
      </c>
      <c r="H14" s="5">
        <f>G14-F14</f>
        <v/>
      </c>
      <c r="I14" s="16">
        <f>IFERROR(H14/F14,"")</f>
        <v/>
      </c>
      <c r="J14" s="5" t="n">
        <v>76.17</v>
      </c>
      <c r="K14" s="5" t="n">
        <v>46.11</v>
      </c>
      <c r="L14" s="5" t="n">
        <v>430</v>
      </c>
      <c r="M14" s="5" t="n">
        <v>9.3255</v>
      </c>
    </row>
    <row r="15">
      <c r="A15" s="2" t="inlineStr">
        <is>
          <t>FAK-SV</t>
        </is>
      </c>
      <c r="B15" s="2" t="inlineStr">
        <is>
          <t>Samfunnsvitenskap</t>
        </is>
      </c>
      <c r="C15" s="2" t="inlineStr">
        <is>
          <t>I014</t>
        </is>
      </c>
      <c r="D15" s="2" t="inlineStr">
        <is>
          <t>Institutt/enhet 2 - Samfunnsvitenskap</t>
        </is>
      </c>
      <c r="E15" s="5" t="n">
        <v>492917.9</v>
      </c>
      <c r="F15" s="5" t="n">
        <v>500109.9</v>
      </c>
      <c r="G15" s="5" t="n">
        <v>1940610.43</v>
      </c>
      <c r="H15" s="5">
        <f>G15-F15</f>
        <v/>
      </c>
      <c r="I15" s="16">
        <f>IFERROR(H15/F15,"")</f>
        <v/>
      </c>
      <c r="J15" s="5" t="n">
        <v>74.86</v>
      </c>
      <c r="K15" s="5" t="n">
        <v>45.05</v>
      </c>
      <c r="L15" s="5" t="n">
        <v>299</v>
      </c>
      <c r="M15" s="5" t="n">
        <v>6.6371</v>
      </c>
    </row>
    <row r="16">
      <c r="A16" s="2" t="inlineStr">
        <is>
          <t>FAK-SV</t>
        </is>
      </c>
      <c r="B16" s="2" t="inlineStr">
        <is>
          <t>Samfunnsvitenskap</t>
        </is>
      </c>
      <c r="C16" s="2" t="inlineStr">
        <is>
          <t>I015</t>
        </is>
      </c>
      <c r="D16" s="2" t="inlineStr">
        <is>
          <t>Institutt/enhet 3 - Samfunnsvitenskap</t>
        </is>
      </c>
      <c r="E16" s="5" t="n">
        <v>386680.94</v>
      </c>
      <c r="F16" s="5" t="n">
        <v>391245.86</v>
      </c>
      <c r="G16" s="5" t="n">
        <v>1443529.33</v>
      </c>
      <c r="H16" s="5">
        <f>G16-F16</f>
        <v/>
      </c>
      <c r="I16" s="16">
        <f>IFERROR(H16/F16,"")</f>
        <v/>
      </c>
      <c r="J16" s="5" t="n">
        <v>78.33</v>
      </c>
      <c r="K16" s="5" t="n">
        <v>48.04</v>
      </c>
      <c r="L16" s="5" t="n">
        <v>255</v>
      </c>
      <c r="M16" s="5" t="n">
        <v>5.3081</v>
      </c>
    </row>
    <row r="17">
      <c r="A17" s="2" t="inlineStr">
        <is>
          <t>FAK-TR</t>
        </is>
      </c>
      <c r="B17" s="2" t="inlineStr">
        <is>
          <t>Teknologi og realfag</t>
        </is>
      </c>
      <c r="C17" s="2" t="inlineStr">
        <is>
          <t>I016</t>
        </is>
      </c>
      <c r="D17" s="2" t="inlineStr">
        <is>
          <t>Institutt/enhet 1 - Teknologi og realfag</t>
        </is>
      </c>
      <c r="E17" s="5" t="n">
        <v>503011.07</v>
      </c>
      <c r="F17" s="5" t="n">
        <v>509888.66</v>
      </c>
      <c r="G17" s="5" t="n">
        <v>1547375.34</v>
      </c>
      <c r="H17" s="5">
        <f>G17-F17</f>
        <v/>
      </c>
      <c r="I17" s="16">
        <f>IFERROR(H17/F17,"")</f>
        <v/>
      </c>
      <c r="J17" s="5" t="n">
        <v>39.47</v>
      </c>
      <c r="K17" s="5" t="n">
        <v>24.22</v>
      </c>
      <c r="L17" s="5" t="n">
        <v>592</v>
      </c>
      <c r="M17" s="5" t="n">
        <v>24.4426</v>
      </c>
    </row>
    <row r="18">
      <c r="A18" s="2" t="inlineStr">
        <is>
          <t>FAK-TR</t>
        </is>
      </c>
      <c r="B18" s="2" t="inlineStr">
        <is>
          <t>Teknologi og realfag</t>
        </is>
      </c>
      <c r="C18" s="2" t="inlineStr">
        <is>
          <t>I017</t>
        </is>
      </c>
      <c r="D18" s="2" t="inlineStr">
        <is>
          <t>Institutt/enhet 2 - Teknologi og realfag</t>
        </is>
      </c>
      <c r="E18" s="5" t="n">
        <v>537571.9399999999</v>
      </c>
      <c r="F18" s="5" t="n">
        <v>543442.13</v>
      </c>
      <c r="G18" s="5" t="n">
        <v>2332110.39</v>
      </c>
      <c r="H18" s="5">
        <f>G18-F18</f>
        <v/>
      </c>
      <c r="I18" s="16">
        <f>IFERROR(H18/F18,"")</f>
        <v/>
      </c>
      <c r="J18" s="5" t="n">
        <v>66.62</v>
      </c>
      <c r="K18" s="5" t="n">
        <v>40.87</v>
      </c>
      <c r="L18" s="5" t="n">
        <v>483</v>
      </c>
      <c r="M18" s="5" t="n">
        <v>11.818</v>
      </c>
    </row>
    <row r="19">
      <c r="A19" s="2" t="inlineStr">
        <is>
          <t>FAK-TR</t>
        </is>
      </c>
      <c r="B19" s="2" t="inlineStr">
        <is>
          <t>Teknologi og realfag</t>
        </is>
      </c>
      <c r="C19" s="2" t="inlineStr">
        <is>
          <t>I018</t>
        </is>
      </c>
      <c r="D19" s="2" t="inlineStr">
        <is>
          <t>Institutt/enhet 3 - Teknologi og realfag</t>
        </is>
      </c>
      <c r="E19" s="5" t="n">
        <v>474403.46</v>
      </c>
      <c r="F19" s="5" t="n">
        <v>479914.66</v>
      </c>
      <c r="G19" s="5" t="n">
        <v>1543869.78</v>
      </c>
      <c r="H19" s="5">
        <f>G19-F19</f>
        <v/>
      </c>
      <c r="I19" s="16">
        <f>IFERROR(H19/F19,"")</f>
        <v/>
      </c>
      <c r="J19" s="5" t="n">
        <v>66.65000000000001</v>
      </c>
      <c r="K19" s="5" t="n">
        <v>40.74</v>
      </c>
      <c r="L19" s="5" t="n">
        <v>335</v>
      </c>
      <c r="M19" s="5" t="n">
        <v>8.222899999999999</v>
      </c>
    </row>
    <row r="20">
      <c r="A20" s="2" t="inlineStr">
        <is>
          <t>FEL-ADM</t>
        </is>
      </c>
      <c r="B20" s="2" t="inlineStr">
        <is>
          <t>Fellesadministrasjon</t>
        </is>
      </c>
      <c r="C20" s="2" t="inlineStr">
        <is>
          <t>I019</t>
        </is>
      </c>
      <c r="D20" s="2" t="inlineStr">
        <is>
          <t>Institutt/enhet 1 - Fellesadministrasjon</t>
        </is>
      </c>
      <c r="E20" s="5" t="n">
        <v>613382.86</v>
      </c>
      <c r="F20" s="5" t="n">
        <v>624929.55</v>
      </c>
      <c r="G20" s="5" t="n">
        <v>2459165.73</v>
      </c>
      <c r="H20" s="5">
        <f>G20-F20</f>
        <v/>
      </c>
      <c r="I20" s="16">
        <f>IFERROR(H20/F20,"")</f>
        <v/>
      </c>
      <c r="J20" s="5" t="n">
        <v>104.95</v>
      </c>
      <c r="K20" s="5" t="n">
        <v>4.18</v>
      </c>
      <c r="L20" s="5" t="n"/>
      <c r="M20" s="5" t="n"/>
    </row>
    <row r="21">
      <c r="A21" s="2" t="inlineStr">
        <is>
          <t>FEL-ADM</t>
        </is>
      </c>
      <c r="B21" s="2" t="inlineStr">
        <is>
          <t>Fellesadministrasjon</t>
        </is>
      </c>
      <c r="C21" s="2" t="inlineStr">
        <is>
          <t>I020</t>
        </is>
      </c>
      <c r="D21" s="2" t="inlineStr">
        <is>
          <t>Institutt/enhet 2 - Fellesadministrasjon</t>
        </is>
      </c>
      <c r="E21" s="5" t="n">
        <v>585765.4399999999</v>
      </c>
      <c r="F21" s="5" t="n">
        <v>591127.23</v>
      </c>
      <c r="G21" s="5" t="n">
        <v>1580305.74</v>
      </c>
      <c r="H21" s="5">
        <f>G21-F21</f>
        <v/>
      </c>
      <c r="I21" s="16">
        <f>IFERROR(H21/F21,"")</f>
        <v/>
      </c>
      <c r="J21" s="5" t="n">
        <v>108.29</v>
      </c>
      <c r="K21" s="5" t="n">
        <v>4.38</v>
      </c>
      <c r="L21" s="5" t="n"/>
      <c r="M21" s="5" t="n"/>
    </row>
  </sheetData>
  <conditionalFormatting sqref="I2:I21">
    <cfRule type="expression" priority="1" dxfId="54">
      <formula>$I2&gt;0.05</formula>
    </cfRule>
    <cfRule type="expression" priority="2" dxfId="58">
      <formula>AND($I2&gt;=0.02,$I2&lt;=0.05)</formula>
    </cfRule>
    <cfRule type="expression" priority="3" dxfId="55">
      <formula>$I2&lt;0.02</formula>
    </cfRule>
  </conditionalFormatting>
  <conditionalFormatting sqref="H2:H21">
    <cfRule type="dataBar" priority="4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:H1"/>
    </sheetView>
  </sheetViews>
  <sheetFormatPr baseColWidth="8" defaultRowHeight="14.5"/>
  <cols>
    <col width="8" bestFit="1" customWidth="1" style="6" min="1" max="1"/>
    <col width="34.453125" bestFit="1" customWidth="1" style="6" min="2" max="2"/>
    <col width="11.54296875" bestFit="1" customWidth="1" style="6" min="3" max="3"/>
    <col width="19.90625" bestFit="1" customWidth="1" style="6" min="4" max="4"/>
    <col width="12.453125" bestFit="1" customWidth="1" style="6" min="5" max="5"/>
    <col width="14.54296875" customWidth="1" style="6" min="6" max="6"/>
    <col width="15.90625" customWidth="1" style="6" min="7" max="7"/>
    <col width="14.54296875" bestFit="1" customWidth="1" style="6" min="8" max="8"/>
    <col width="17.36328125" customWidth="1" style="6" min="9" max="9"/>
  </cols>
  <sheetData>
    <row r="1">
      <c r="A1" s="4" t="inlineStr">
        <is>
          <t>Konto</t>
        </is>
      </c>
      <c r="B1" s="4" t="inlineStr">
        <is>
          <t>Kontonavn</t>
        </is>
      </c>
      <c r="C1" s="4" t="inlineStr">
        <is>
          <t>Kontotype</t>
        </is>
      </c>
      <c r="D1" s="4" t="inlineStr">
        <is>
          <t>SRS_regnskapslinje</t>
        </is>
      </c>
      <c r="E1" s="4" t="inlineStr">
        <is>
          <t>Regnskap</t>
        </is>
      </c>
      <c r="F1" s="4" t="inlineStr">
        <is>
          <t>Budsjett</t>
        </is>
      </c>
      <c r="G1" s="4" t="inlineStr">
        <is>
          <t>LE</t>
        </is>
      </c>
      <c r="H1" s="4" t="inlineStr">
        <is>
          <t>Forecastavvik</t>
        </is>
      </c>
      <c r="I1" s="4" t="inlineStr">
        <is>
          <t>ForecastavvikPct</t>
        </is>
      </c>
    </row>
    <row r="2">
      <c r="A2" s="30" t="n">
        <v>3230</v>
      </c>
      <c r="B2" s="2" t="inlineStr">
        <is>
          <t>Salgsinntekt tjenester, unntatt avgiftsplikt</t>
        </is>
      </c>
      <c r="C2" s="2" t="inlineStr">
        <is>
          <t>Inntekt</t>
        </is>
      </c>
      <c r="D2" s="2" t="inlineStr">
        <is>
          <t>Salgsinntekt</t>
        </is>
      </c>
      <c r="E2" s="5" t="n">
        <v>-5345751.14</v>
      </c>
      <c r="F2" s="5" t="n">
        <v>0</v>
      </c>
      <c r="G2" s="5" t="n">
        <v>0</v>
      </c>
      <c r="H2" s="5">
        <f>G2-F2</f>
        <v/>
      </c>
      <c r="I2" s="16">
        <f>IFERROR(H2/F2,"")</f>
        <v/>
      </c>
    </row>
    <row r="3">
      <c r="A3" s="30" t="n">
        <v>3400</v>
      </c>
      <c r="B3" s="2" t="inlineStr">
        <is>
          <t>Tilskudd fra Norges forskningsråd</t>
        </is>
      </c>
      <c r="C3" s="2" t="inlineStr">
        <is>
          <t>Inntekt</t>
        </is>
      </c>
      <c r="D3" s="2" t="inlineStr">
        <is>
          <t>Tilskudd og overforinger</t>
        </is>
      </c>
      <c r="E3" s="5" t="n">
        <v>-12901569.82</v>
      </c>
      <c r="F3" s="5" t="n">
        <v>0</v>
      </c>
      <c r="G3" s="5" t="n">
        <v>0</v>
      </c>
      <c r="H3" s="5">
        <f>G3-F3</f>
        <v/>
      </c>
      <c r="I3" s="16">
        <f>IFERROR(H3/F3,"")</f>
        <v/>
      </c>
    </row>
    <row r="4">
      <c r="A4" s="30" t="n">
        <v>3420</v>
      </c>
      <c r="B4" s="2" t="inlineStr">
        <is>
          <t>Tilskudd fra EU</t>
        </is>
      </c>
      <c r="C4" s="2" t="inlineStr">
        <is>
          <t>Inntekt</t>
        </is>
      </c>
      <c r="D4" s="2" t="inlineStr">
        <is>
          <t>Tilskudd og overforinger</t>
        </is>
      </c>
      <c r="E4" s="5" t="n">
        <v>-7430967.28</v>
      </c>
      <c r="F4" s="5" t="n">
        <v>0</v>
      </c>
      <c r="G4" s="5" t="n">
        <v>0</v>
      </c>
      <c r="H4" s="5">
        <f>G4-F4</f>
        <v/>
      </c>
      <c r="I4" s="16">
        <f>IFERROR(H4/F4,"")</f>
        <v/>
      </c>
    </row>
    <row r="5">
      <c r="A5" s="30" t="n">
        <v>3900</v>
      </c>
      <c r="B5" s="2" t="inlineStr">
        <is>
          <t>Inntekt fra bevilgninger</t>
        </is>
      </c>
      <c r="C5" s="2" t="inlineStr">
        <is>
          <t>Inntekt</t>
        </is>
      </c>
      <c r="D5" s="2" t="inlineStr">
        <is>
          <t>Inntekt fra bevilgninger</t>
        </is>
      </c>
      <c r="E5" s="5" t="n">
        <v>-2112808522.85</v>
      </c>
      <c r="F5" s="5" t="n">
        <v>-2138798809.53</v>
      </c>
      <c r="G5" s="5" t="n">
        <v>-2121838288.56</v>
      </c>
      <c r="H5" s="5">
        <f>G5-F5</f>
        <v/>
      </c>
      <c r="I5" s="16">
        <f>IFERROR(H5/F5,"")</f>
        <v/>
      </c>
    </row>
    <row r="6">
      <c r="A6" s="30" t="n">
        <v>5000</v>
      </c>
      <c r="B6" s="2" t="inlineStr">
        <is>
          <t>Lonn fast ansatte</t>
        </is>
      </c>
      <c r="C6" s="2" t="inlineStr">
        <is>
          <t>Kostnad</t>
        </is>
      </c>
      <c r="D6" s="2" t="inlineStr">
        <is>
          <t>Lonnskostnader</t>
        </is>
      </c>
      <c r="E6" s="5" t="n">
        <v>185046900.69</v>
      </c>
      <c r="F6" s="5" t="n">
        <v>185256098.65</v>
      </c>
      <c r="G6" s="5" t="n">
        <v>186347811.67</v>
      </c>
      <c r="H6" s="5">
        <f>G6-F6</f>
        <v/>
      </c>
      <c r="I6" s="16">
        <f>IFERROR(H6/F6,"")</f>
        <v/>
      </c>
    </row>
    <row r="7">
      <c r="A7" s="30" t="n">
        <v>5050</v>
      </c>
      <c r="B7" s="2" t="inlineStr">
        <is>
          <t>Overtid fast ansatte</t>
        </is>
      </c>
      <c r="C7" s="2" t="inlineStr">
        <is>
          <t>Kostnad</t>
        </is>
      </c>
      <c r="D7" s="2" t="inlineStr">
        <is>
          <t>Lonnskostnader</t>
        </is>
      </c>
      <c r="E7" s="5" t="n">
        <v>185344424.46</v>
      </c>
      <c r="F7" s="5" t="n">
        <v>185873932.75</v>
      </c>
      <c r="G7" s="5" t="n">
        <v>186506533.34</v>
      </c>
      <c r="H7" s="5">
        <f>G7-F7</f>
        <v/>
      </c>
      <c r="I7" s="16">
        <f>IFERROR(H7/F7,"")</f>
        <v/>
      </c>
    </row>
    <row r="8">
      <c r="A8" s="30" t="n">
        <v>5080</v>
      </c>
      <c r="B8" s="2" t="inlineStr">
        <is>
          <t>Feriepenger</t>
        </is>
      </c>
      <c r="C8" s="2" t="inlineStr">
        <is>
          <t>Kostnad</t>
        </is>
      </c>
      <c r="D8" s="2" t="inlineStr">
        <is>
          <t>Lonnskostnader</t>
        </is>
      </c>
      <c r="E8" s="5" t="n">
        <v>185097321.03</v>
      </c>
      <c r="F8" s="5" t="n">
        <v>184988219.34</v>
      </c>
      <c r="G8" s="5" t="n">
        <v>186271046.74</v>
      </c>
      <c r="H8" s="5">
        <f>G8-F8</f>
        <v/>
      </c>
      <c r="I8" s="16">
        <f>IFERROR(H8/F8,"")</f>
        <v/>
      </c>
    </row>
    <row r="9">
      <c r="A9" s="30" t="n">
        <v>5100</v>
      </c>
      <c r="B9" s="2" t="inlineStr">
        <is>
          <t>Lonn midlertidig ansatte</t>
        </is>
      </c>
      <c r="C9" s="2" t="inlineStr">
        <is>
          <t>Kostnad</t>
        </is>
      </c>
      <c r="D9" s="2" t="inlineStr">
        <is>
          <t>Lonnskostnader</t>
        </is>
      </c>
      <c r="E9" s="5" t="n">
        <v>184476822.7</v>
      </c>
      <c r="F9" s="5" t="n">
        <v>184762198.84</v>
      </c>
      <c r="G9" s="5" t="n">
        <v>185352521.05</v>
      </c>
      <c r="H9" s="5">
        <f>G9-F9</f>
        <v/>
      </c>
      <c r="I9" s="16">
        <f>IFERROR(H9/F9,"")</f>
        <v/>
      </c>
    </row>
    <row r="10">
      <c r="A10" s="30" t="n">
        <v>5400</v>
      </c>
      <c r="B10" s="2" t="inlineStr">
        <is>
          <t>Arbeidsgiveravgift innberettede ytelser</t>
        </is>
      </c>
      <c r="C10" s="2" t="inlineStr">
        <is>
          <t>Kostnad</t>
        </is>
      </c>
      <c r="D10" s="2" t="inlineStr">
        <is>
          <t>Lonnskostnader</t>
        </is>
      </c>
      <c r="E10" s="5" t="n">
        <v>185278661.15</v>
      </c>
      <c r="F10" s="5" t="n">
        <v>186122659.02</v>
      </c>
      <c r="G10" s="5" t="n">
        <v>186515437.96</v>
      </c>
      <c r="H10" s="5">
        <f>G10-F10</f>
        <v/>
      </c>
      <c r="I10" s="16">
        <f>IFERROR(H10/F10,"")</f>
        <v/>
      </c>
    </row>
    <row r="11">
      <c r="A11" s="30" t="n">
        <v>5420</v>
      </c>
      <c r="B11" s="2" t="inlineStr">
        <is>
          <t>Pensjonspremie til SPK</t>
        </is>
      </c>
      <c r="C11" s="2" t="inlineStr">
        <is>
          <t>Kostnad</t>
        </is>
      </c>
      <c r="D11" s="2" t="inlineStr">
        <is>
          <t>Lonnskostnader</t>
        </is>
      </c>
      <c r="E11" s="5" t="n">
        <v>185534915.91</v>
      </c>
      <c r="F11" s="5" t="n">
        <v>185611707.57</v>
      </c>
      <c r="G11" s="5" t="n">
        <v>186191518.78</v>
      </c>
      <c r="H11" s="5">
        <f>G11-F11</f>
        <v/>
      </c>
      <c r="I11" s="16">
        <f>IFERROR(H11/F11,"")</f>
        <v/>
      </c>
    </row>
    <row r="12">
      <c r="A12" s="30" t="n">
        <v>5800</v>
      </c>
      <c r="B12" s="2" t="inlineStr">
        <is>
          <t>Refusjon av sykepenger</t>
        </is>
      </c>
      <c r="C12" s="2" t="inlineStr">
        <is>
          <t>Kostnad</t>
        </is>
      </c>
      <c r="D12" s="2" t="inlineStr">
        <is>
          <t>Lonnskostnader</t>
        </is>
      </c>
      <c r="E12" s="5" t="n">
        <v>186617088.42</v>
      </c>
      <c r="F12" s="5" t="n">
        <v>186232981.44</v>
      </c>
      <c r="G12" s="5" t="n">
        <v>187633531.41</v>
      </c>
      <c r="H12" s="5">
        <f>G12-F12</f>
        <v/>
      </c>
      <c r="I12" s="16">
        <f>IFERROR(H12/F12,"")</f>
        <v/>
      </c>
    </row>
    <row r="13">
      <c r="A13" s="30" t="n">
        <v>5810</v>
      </c>
      <c r="B13" s="2" t="inlineStr">
        <is>
          <t>Refusjon av foreldrepenger</t>
        </is>
      </c>
      <c r="C13" s="2" t="inlineStr">
        <is>
          <t>Kostnad</t>
        </is>
      </c>
      <c r="D13" s="2" t="inlineStr">
        <is>
          <t>Lonnskostnader</t>
        </is>
      </c>
      <c r="E13" s="5" t="n">
        <v>184872741.54</v>
      </c>
      <c r="F13" s="5" t="n">
        <v>184398917.41</v>
      </c>
      <c r="G13" s="5" t="n">
        <v>185605474.43</v>
      </c>
      <c r="H13" s="5">
        <f>G13-F13</f>
        <v/>
      </c>
      <c r="I13" s="16">
        <f>IFERROR(H13/F13,"")</f>
        <v/>
      </c>
    </row>
    <row r="14">
      <c r="A14" s="30" t="n">
        <v>6000</v>
      </c>
      <c r="B14" s="2" t="inlineStr">
        <is>
          <t>Avskrivning immaterielle eiendeler</t>
        </is>
      </c>
      <c r="C14" s="2" t="inlineStr">
        <is>
          <t>Kostnad</t>
        </is>
      </c>
      <c r="D14" s="2" t="inlineStr">
        <is>
          <t>Av- og nedskrivninger</t>
        </is>
      </c>
      <c r="E14" s="5" t="n">
        <v>53850226.53</v>
      </c>
      <c r="F14" s="5" t="n">
        <v>53823851.78</v>
      </c>
      <c r="G14" s="5" t="n">
        <v>53972749.99</v>
      </c>
      <c r="H14" s="5">
        <f>G14-F14</f>
        <v/>
      </c>
      <c r="I14" s="16">
        <f>IFERROR(H14/F14,"")</f>
        <v/>
      </c>
    </row>
    <row r="15">
      <c r="A15" s="30" t="n">
        <v>6050</v>
      </c>
      <c r="B15" s="2" t="inlineStr">
        <is>
          <t>Avskrivning driftslosore/inventar/IKT</t>
        </is>
      </c>
      <c r="C15" s="2" t="inlineStr">
        <is>
          <t>Kostnad</t>
        </is>
      </c>
      <c r="D15" s="2" t="inlineStr">
        <is>
          <t>Av- og nedskrivninger</t>
        </is>
      </c>
      <c r="E15" s="5" t="n">
        <v>53490978.64</v>
      </c>
      <c r="F15" s="5" t="n">
        <v>53318159.55</v>
      </c>
      <c r="G15" s="5" t="n">
        <v>53556209.23</v>
      </c>
      <c r="H15" s="5">
        <f>G15-F15</f>
        <v/>
      </c>
      <c r="I15" s="16">
        <f>IFERROR(H15/F15,"")</f>
        <v/>
      </c>
    </row>
    <row r="16">
      <c r="A16" s="30" t="n">
        <v>6300</v>
      </c>
      <c r="B16" s="2" t="inlineStr">
        <is>
          <t>Leie lokaler</t>
        </is>
      </c>
      <c r="C16" s="2" t="inlineStr">
        <is>
          <t>Kostnad</t>
        </is>
      </c>
      <c r="D16" s="2" t="inlineStr">
        <is>
          <t>Andre driftskostnader</t>
        </is>
      </c>
      <c r="E16" s="5" t="n">
        <v>21467223.48</v>
      </c>
      <c r="F16" s="5" t="n">
        <v>21406634.08</v>
      </c>
      <c r="G16" s="5" t="n">
        <v>21506748.82</v>
      </c>
      <c r="H16" s="5">
        <f>G16-F16</f>
        <v/>
      </c>
      <c r="I16" s="16">
        <f>IFERROR(H16/F16,"")</f>
        <v/>
      </c>
    </row>
    <row r="17">
      <c r="A17" s="30" t="n">
        <v>6310</v>
      </c>
      <c r="B17" s="2" t="inlineStr">
        <is>
          <t>Leie lokaler fra Statsbygg</t>
        </is>
      </c>
      <c r="C17" s="2" t="inlineStr">
        <is>
          <t>Kostnad</t>
        </is>
      </c>
      <c r="D17" s="2" t="inlineStr">
        <is>
          <t>Andre driftskostnader</t>
        </is>
      </c>
      <c r="E17" s="5" t="n">
        <v>21501246.19</v>
      </c>
      <c r="F17" s="5" t="n">
        <v>21427892.65</v>
      </c>
      <c r="G17" s="5" t="n">
        <v>21559083.29</v>
      </c>
      <c r="H17" s="5">
        <f>G17-F17</f>
        <v/>
      </c>
      <c r="I17" s="16">
        <f>IFERROR(H17/F17,"")</f>
        <v/>
      </c>
    </row>
    <row r="18">
      <c r="A18" s="30" t="n">
        <v>6340</v>
      </c>
      <c r="B18" s="2" t="inlineStr">
        <is>
          <t>Lys, varme</t>
        </is>
      </c>
      <c r="C18" s="2" t="inlineStr">
        <is>
          <t>Kostnad</t>
        </is>
      </c>
      <c r="D18" s="2" t="inlineStr">
        <is>
          <t>Andre driftskostnader</t>
        </is>
      </c>
      <c r="E18" s="5" t="n">
        <v>21600221.16</v>
      </c>
      <c r="F18" s="5" t="n">
        <v>21544342.32</v>
      </c>
      <c r="G18" s="5" t="n">
        <v>21694039.67</v>
      </c>
      <c r="H18" s="5">
        <f>G18-F18</f>
        <v/>
      </c>
      <c r="I18" s="16">
        <f>IFERROR(H18/F18,"")</f>
        <v/>
      </c>
    </row>
    <row r="19">
      <c r="A19" s="30" t="n">
        <v>6360</v>
      </c>
      <c r="B19" s="2" t="inlineStr">
        <is>
          <t>Renhold, vakthold, vaktmester</t>
        </is>
      </c>
      <c r="C19" s="2" t="inlineStr">
        <is>
          <t>Kostnad</t>
        </is>
      </c>
      <c r="D19" s="2" t="inlineStr">
        <is>
          <t>Andre driftskostnader</t>
        </is>
      </c>
      <c r="E19" s="5" t="n">
        <v>21691354.81</v>
      </c>
      <c r="F19" s="5" t="n">
        <v>21622269.22</v>
      </c>
      <c r="G19" s="5" t="n">
        <v>21737653.8</v>
      </c>
      <c r="H19" s="5">
        <f>G19-F19</f>
        <v/>
      </c>
      <c r="I19" s="16">
        <f>IFERROR(H19/F19,"")</f>
        <v/>
      </c>
    </row>
    <row r="20">
      <c r="A20" s="30" t="n">
        <v>6420</v>
      </c>
      <c r="B20" s="2" t="inlineStr">
        <is>
          <t>Leie av datasystemer</t>
        </is>
      </c>
      <c r="C20" s="2" t="inlineStr">
        <is>
          <t>Kostnad</t>
        </is>
      </c>
      <c r="D20" s="2" t="inlineStr">
        <is>
          <t>Andre driftskostnader</t>
        </is>
      </c>
      <c r="E20" s="5" t="n">
        <v>21563120.57</v>
      </c>
      <c r="F20" s="5" t="n">
        <v>21616750.49</v>
      </c>
      <c r="G20" s="5" t="n">
        <v>21641050</v>
      </c>
      <c r="H20" s="5">
        <f>G20-F20</f>
        <v/>
      </c>
      <c r="I20" s="16">
        <f>IFERROR(H20/F20,"")</f>
        <v/>
      </c>
    </row>
    <row r="21">
      <c r="A21" s="30" t="n">
        <v>6540</v>
      </c>
      <c r="B21" s="2" t="inlineStr">
        <is>
          <t>Inventar</t>
        </is>
      </c>
      <c r="C21" s="2" t="inlineStr">
        <is>
          <t>Kostnad</t>
        </is>
      </c>
      <c r="D21" s="2" t="inlineStr">
        <is>
          <t>Andre driftskostnader</t>
        </is>
      </c>
      <c r="E21" s="5" t="n">
        <v>21382424.2</v>
      </c>
      <c r="F21" s="5" t="n">
        <v>21408631.29</v>
      </c>
      <c r="G21" s="5" t="n">
        <v>21416363.89</v>
      </c>
      <c r="H21" s="5">
        <f>G21-F21</f>
        <v/>
      </c>
      <c r="I21" s="16">
        <f>IFERROR(H21/F21,"")</f>
        <v/>
      </c>
    </row>
    <row r="22">
      <c r="A22" s="30" t="n">
        <v>6550</v>
      </c>
      <c r="B22" s="2" t="inlineStr">
        <is>
          <t>Datamaskiner og annet IKT-utstyr</t>
        </is>
      </c>
      <c r="C22" s="2" t="inlineStr">
        <is>
          <t>Kostnad</t>
        </is>
      </c>
      <c r="D22" s="2" t="inlineStr">
        <is>
          <t>Andre driftskostnader</t>
        </is>
      </c>
      <c r="E22" s="5" t="n">
        <v>21538414.41</v>
      </c>
      <c r="F22" s="5" t="n">
        <v>21417986.94</v>
      </c>
      <c r="G22" s="5" t="n">
        <v>21585743.02</v>
      </c>
      <c r="H22" s="5">
        <f>G22-F22</f>
        <v/>
      </c>
      <c r="I22" s="16">
        <f>IFERROR(H22/F22,"")</f>
        <v/>
      </c>
    </row>
    <row r="23">
      <c r="A23" s="30" t="n">
        <v>6630</v>
      </c>
      <c r="B23" s="2" t="inlineStr">
        <is>
          <t>Reparasjon og vedlikehold leide lokaler</t>
        </is>
      </c>
      <c r="C23" s="2" t="inlineStr">
        <is>
          <t>Kostnad</t>
        </is>
      </c>
      <c r="D23" s="2" t="inlineStr">
        <is>
          <t>Andre driftskostnader</t>
        </is>
      </c>
      <c r="E23" s="5" t="n">
        <v>21403345.49</v>
      </c>
      <c r="F23" s="5" t="n">
        <v>21442410.17</v>
      </c>
      <c r="G23" s="5" t="n">
        <v>21435507.55</v>
      </c>
      <c r="H23" s="5">
        <f>G23-F23</f>
        <v/>
      </c>
      <c r="I23" s="16">
        <f>IFERROR(H23/F23,"")</f>
        <v/>
      </c>
    </row>
    <row r="24">
      <c r="A24" s="30" t="n">
        <v>6700</v>
      </c>
      <c r="B24" s="2" t="inlineStr">
        <is>
          <t>Konsulenttjenester okonomi/revisjon/juss</t>
        </is>
      </c>
      <c r="C24" s="2" t="inlineStr">
        <is>
          <t>Kostnad</t>
        </is>
      </c>
      <c r="D24" s="2" t="inlineStr">
        <is>
          <t>Andre driftskostnader</t>
        </is>
      </c>
      <c r="E24" s="5" t="n">
        <v>21466045.01</v>
      </c>
      <c r="F24" s="5" t="n">
        <v>21441383.95</v>
      </c>
      <c r="G24" s="5" t="n">
        <v>21498797.89</v>
      </c>
      <c r="H24" s="5">
        <f>G24-F24</f>
        <v/>
      </c>
      <c r="I24" s="16">
        <f>IFERROR(H24/F24,"")</f>
        <v/>
      </c>
    </row>
    <row r="25">
      <c r="A25" s="30" t="n">
        <v>6710</v>
      </c>
      <c r="B25" s="2" t="inlineStr">
        <is>
          <t>Konsulenttjenester programvare/IKT</t>
        </is>
      </c>
      <c r="C25" s="2" t="inlineStr">
        <is>
          <t>Kostnad</t>
        </is>
      </c>
      <c r="D25" s="2" t="inlineStr">
        <is>
          <t>Andre driftskostnader</t>
        </is>
      </c>
      <c r="E25" s="5" t="n">
        <v>21448918.21</v>
      </c>
      <c r="F25" s="5" t="n">
        <v>21506076.73</v>
      </c>
      <c r="G25" s="5" t="n">
        <v>21509774.49</v>
      </c>
      <c r="H25" s="5">
        <f>G25-F25</f>
        <v/>
      </c>
      <c r="I25" s="16">
        <f>IFERROR(H25/F25,"")</f>
        <v/>
      </c>
    </row>
    <row r="26">
      <c r="A26" s="30" t="n">
        <v>6720</v>
      </c>
      <c r="B26" s="2" t="inlineStr">
        <is>
          <t>Konsulenttjenester organisasjonsutvikling</t>
        </is>
      </c>
      <c r="C26" s="2" t="inlineStr">
        <is>
          <t>Kostnad</t>
        </is>
      </c>
      <c r="D26" s="2" t="inlineStr">
        <is>
          <t>Andre driftskostnader</t>
        </is>
      </c>
      <c r="E26" s="5" t="n">
        <v>21580875.63</v>
      </c>
      <c r="F26" s="5" t="n">
        <v>21593398.97</v>
      </c>
      <c r="G26" s="5" t="n">
        <v>21607780.4</v>
      </c>
      <c r="H26" s="5">
        <f>G26-F26</f>
        <v/>
      </c>
      <c r="I26" s="16">
        <f>IFERROR(H26/F26,"")</f>
        <v/>
      </c>
    </row>
    <row r="27">
      <c r="A27" s="30" t="n">
        <v>6730</v>
      </c>
      <c r="B27" s="2" t="inlineStr">
        <is>
          <t>Andre konsulenttjenester</t>
        </is>
      </c>
      <c r="C27" s="2" t="inlineStr">
        <is>
          <t>Kostnad</t>
        </is>
      </c>
      <c r="D27" s="2" t="inlineStr">
        <is>
          <t>Andre driftskostnader</t>
        </is>
      </c>
      <c r="E27" s="5" t="n">
        <v>21601323.77</v>
      </c>
      <c r="F27" s="5" t="n">
        <v>21602696.19</v>
      </c>
      <c r="G27" s="5" t="n">
        <v>21634414.47</v>
      </c>
      <c r="H27" s="5">
        <f>G27-F27</f>
        <v/>
      </c>
      <c r="I27" s="16">
        <f>IFERROR(H27/F27,"")</f>
        <v/>
      </c>
    </row>
    <row r="28">
      <c r="A28" s="30" t="n">
        <v>6740</v>
      </c>
      <c r="B28" s="2" t="inlineStr">
        <is>
          <t>Innleie av vikarer</t>
        </is>
      </c>
      <c r="C28" s="2" t="inlineStr">
        <is>
          <t>Kostnad</t>
        </is>
      </c>
      <c r="D28" s="2" t="inlineStr">
        <is>
          <t>Andre driftskostnader</t>
        </is>
      </c>
      <c r="E28" s="5" t="n">
        <v>21544572</v>
      </c>
      <c r="F28" s="5" t="n">
        <v>21454121.11</v>
      </c>
      <c r="G28" s="5" t="n">
        <v>21545152.03</v>
      </c>
      <c r="H28" s="5">
        <f>G28-F28</f>
        <v/>
      </c>
      <c r="I28" s="16">
        <f>IFERROR(H28/F28,"")</f>
        <v/>
      </c>
    </row>
    <row r="29">
      <c r="A29" s="30" t="n">
        <v>6750</v>
      </c>
      <c r="B29" s="2" t="inlineStr">
        <is>
          <t>Tjenester til lopende IKT-drift</t>
        </is>
      </c>
      <c r="C29" s="2" t="inlineStr">
        <is>
          <t>Kostnad</t>
        </is>
      </c>
      <c r="D29" s="2" t="inlineStr">
        <is>
          <t>Andre driftskostnader</t>
        </is>
      </c>
      <c r="E29" s="5" t="n">
        <v>21412913.78</v>
      </c>
      <c r="F29" s="5" t="n">
        <v>21469967.47</v>
      </c>
      <c r="G29" s="5" t="n">
        <v>21471281.09</v>
      </c>
      <c r="H29" s="5">
        <f>G29-F29</f>
        <v/>
      </c>
      <c r="I29" s="16">
        <f>IFERROR(H29/F29,"")</f>
        <v/>
      </c>
    </row>
    <row r="30">
      <c r="A30" s="30" t="n">
        <v>6800</v>
      </c>
      <c r="B30" s="2" t="inlineStr">
        <is>
          <t>Kontorrekvisita</t>
        </is>
      </c>
      <c r="C30" s="2" t="inlineStr">
        <is>
          <t>Kostnad</t>
        </is>
      </c>
      <c r="D30" s="2" t="inlineStr">
        <is>
          <t>Andre driftskostnader</t>
        </is>
      </c>
      <c r="E30" s="5" t="n">
        <v>21531624.73</v>
      </c>
      <c r="F30" s="5" t="n">
        <v>21507563.66</v>
      </c>
      <c r="G30" s="5" t="n">
        <v>21577777.06</v>
      </c>
      <c r="H30" s="5">
        <f>G30-F30</f>
        <v/>
      </c>
      <c r="I30" s="16">
        <f>IFERROR(H30/F30,"")</f>
        <v/>
      </c>
    </row>
    <row r="31">
      <c r="A31" s="30" t="n">
        <v>6840</v>
      </c>
      <c r="B31" s="2" t="inlineStr">
        <is>
          <t>Aviser, tidsskrifter, boker</t>
        </is>
      </c>
      <c r="C31" s="2" t="inlineStr">
        <is>
          <t>Kostnad</t>
        </is>
      </c>
      <c r="D31" s="2" t="inlineStr">
        <is>
          <t>Andre driftskostnader</t>
        </is>
      </c>
      <c r="E31" s="5" t="n">
        <v>21437255.28</v>
      </c>
      <c r="F31" s="5" t="n">
        <v>21485434.1</v>
      </c>
      <c r="G31" s="5" t="n">
        <v>21521087.59</v>
      </c>
      <c r="H31" s="5">
        <f>G31-F31</f>
        <v/>
      </c>
      <c r="I31" s="16">
        <f>IFERROR(H31/F31,"")</f>
        <v/>
      </c>
    </row>
    <row r="32">
      <c r="A32" s="30" t="n">
        <v>6860</v>
      </c>
      <c r="B32" s="2" t="inlineStr">
        <is>
          <t>Moter</t>
        </is>
      </c>
      <c r="C32" s="2" t="inlineStr">
        <is>
          <t>Kostnad</t>
        </is>
      </c>
      <c r="D32" s="2" t="inlineStr">
        <is>
          <t>Andre driftskostnader</t>
        </is>
      </c>
      <c r="E32" s="5" t="n">
        <v>21527177.31</v>
      </c>
      <c r="F32" s="5" t="n">
        <v>21525789.23</v>
      </c>
      <c r="G32" s="5" t="n">
        <v>21561116.22</v>
      </c>
      <c r="H32" s="5">
        <f>G32-F32</f>
        <v/>
      </c>
      <c r="I32" s="16">
        <f>IFERROR(H32/F32,"")</f>
        <v/>
      </c>
    </row>
    <row r="33">
      <c r="A33" s="30" t="n">
        <v>6870</v>
      </c>
      <c r="B33" s="2" t="inlineStr">
        <is>
          <t>Kurs og seminarer egne ansatte</t>
        </is>
      </c>
      <c r="C33" s="2" t="inlineStr">
        <is>
          <t>Kostnad</t>
        </is>
      </c>
      <c r="D33" s="2" t="inlineStr">
        <is>
          <t>Andre driftskostnader</t>
        </is>
      </c>
      <c r="E33" s="5" t="n">
        <v>21459755.98</v>
      </c>
      <c r="F33" s="5" t="n">
        <v>21546419.14</v>
      </c>
      <c r="G33" s="5" t="n">
        <v>21517244.47</v>
      </c>
      <c r="H33" s="5">
        <f>G33-F33</f>
        <v/>
      </c>
      <c r="I33" s="16">
        <f>IFERROR(H33/F33,"")</f>
        <v/>
      </c>
    </row>
    <row r="34">
      <c r="A34" s="30" t="n">
        <v>6900</v>
      </c>
      <c r="B34" s="2" t="inlineStr">
        <is>
          <t>Telefoni og datakommunikasjon</t>
        </is>
      </c>
      <c r="C34" s="2" t="inlineStr">
        <is>
          <t>Kostnad</t>
        </is>
      </c>
      <c r="D34" s="2" t="inlineStr">
        <is>
          <t>Andre driftskostnader</t>
        </is>
      </c>
      <c r="E34" s="5" t="n">
        <v>21464621.12</v>
      </c>
      <c r="F34" s="5" t="n">
        <v>21502447.45</v>
      </c>
      <c r="G34" s="5" t="n">
        <v>21521745.65</v>
      </c>
      <c r="H34" s="5">
        <f>G34-F34</f>
        <v/>
      </c>
      <c r="I34" s="16">
        <f>IFERROR(H34/F34,"")</f>
        <v/>
      </c>
    </row>
    <row r="35">
      <c r="A35" s="30" t="n">
        <v>7100</v>
      </c>
      <c r="B35" s="2" t="inlineStr">
        <is>
          <t>Bilgodtgjorelse</t>
        </is>
      </c>
      <c r="C35" s="2" t="inlineStr">
        <is>
          <t>Kostnad</t>
        </is>
      </c>
      <c r="D35" s="2" t="inlineStr">
        <is>
          <t>Andre driftskostnader</t>
        </is>
      </c>
      <c r="E35" s="5" t="n">
        <v>21542462.52</v>
      </c>
      <c r="F35" s="5" t="n">
        <v>21529431.35</v>
      </c>
      <c r="G35" s="5" t="n">
        <v>21601001.65</v>
      </c>
      <c r="H35" s="5">
        <f>G35-F35</f>
        <v/>
      </c>
      <c r="I35" s="16">
        <f>IFERROR(H35/F35,"")</f>
        <v/>
      </c>
    </row>
    <row r="36">
      <c r="A36" s="30" t="n">
        <v>7130</v>
      </c>
      <c r="B36" s="2" t="inlineStr">
        <is>
          <t>Reisekostnad</t>
        </is>
      </c>
      <c r="C36" s="2" t="inlineStr">
        <is>
          <t>Kostnad</t>
        </is>
      </c>
      <c r="D36" s="2" t="inlineStr">
        <is>
          <t>Andre driftskostnader</t>
        </is>
      </c>
      <c r="E36" s="5" t="n">
        <v>21685075.26</v>
      </c>
      <c r="F36" s="5" t="n">
        <v>21611133.92</v>
      </c>
      <c r="G36" s="5" t="n">
        <v>21688508.56</v>
      </c>
      <c r="H36" s="5">
        <f>G36-F36</f>
        <v/>
      </c>
      <c r="I36" s="16">
        <f>IFERROR(H36/F36,"")</f>
        <v/>
      </c>
    </row>
    <row r="37">
      <c r="A37" s="30" t="n">
        <v>7150</v>
      </c>
      <c r="B37" s="2" t="inlineStr">
        <is>
          <t>Diettkostnad</t>
        </is>
      </c>
      <c r="C37" s="2" t="inlineStr">
        <is>
          <t>Kostnad</t>
        </is>
      </c>
      <c r="D37" s="2" t="inlineStr">
        <is>
          <t>Andre driftskostnader</t>
        </is>
      </c>
      <c r="E37" s="5" t="n">
        <v>21550321</v>
      </c>
      <c r="F37" s="5" t="n">
        <v>21465890.52</v>
      </c>
      <c r="G37" s="5" t="n">
        <v>21554215.22</v>
      </c>
      <c r="H37" s="5">
        <f>G37-F37</f>
        <v/>
      </c>
      <c r="I37" s="16">
        <f>IFERROR(H37/F37,"")</f>
        <v/>
      </c>
    </row>
    <row r="38">
      <c r="A38" s="30" t="n">
        <v>7320</v>
      </c>
      <c r="B38" s="2" t="inlineStr">
        <is>
          <t>Reklame og markedsforing</t>
        </is>
      </c>
      <c r="C38" s="2" t="inlineStr">
        <is>
          <t>Kostnad</t>
        </is>
      </c>
      <c r="D38" s="2" t="inlineStr">
        <is>
          <t>Andre driftskostnader</t>
        </is>
      </c>
      <c r="E38" s="5" t="n">
        <v>21499454.6</v>
      </c>
      <c r="F38" s="5" t="n">
        <v>21407039.8</v>
      </c>
      <c r="G38" s="5" t="n">
        <v>21525946.88</v>
      </c>
      <c r="H38" s="5">
        <f>G38-F38</f>
        <v/>
      </c>
      <c r="I38" s="16">
        <f>IFERROR(H38/F38,"")</f>
        <v/>
      </c>
    </row>
    <row r="39">
      <c r="A39" s="30" t="n">
        <v>7400</v>
      </c>
      <c r="B39" s="2" t="inlineStr">
        <is>
          <t>Kontingent</t>
        </is>
      </c>
      <c r="C39" s="2" t="inlineStr">
        <is>
          <t>Kostnad</t>
        </is>
      </c>
      <c r="D39" s="2" t="inlineStr">
        <is>
          <t>Andre driftskostnader</t>
        </is>
      </c>
      <c r="E39" s="5" t="n">
        <v>21490908.19</v>
      </c>
      <c r="F39" s="5" t="n">
        <v>21539853.39</v>
      </c>
      <c r="G39" s="5" t="n">
        <v>21576596.18</v>
      </c>
      <c r="H39" s="5">
        <f>G39-F39</f>
        <v/>
      </c>
      <c r="I39" s="16">
        <f>IFERROR(H39/F39,"")</f>
        <v/>
      </c>
    </row>
    <row r="40">
      <c r="A40" s="30" t="n">
        <v>7600</v>
      </c>
      <c r="B40" s="2" t="inlineStr">
        <is>
          <t>Lisensavgift og royalties</t>
        </is>
      </c>
      <c r="C40" s="2" t="inlineStr">
        <is>
          <t>Kostnad</t>
        </is>
      </c>
      <c r="D40" s="2" t="inlineStr">
        <is>
          <t>Andre driftskostnader</t>
        </is>
      </c>
      <c r="E40" s="5" t="n">
        <v>21459553.53</v>
      </c>
      <c r="F40" s="5" t="n">
        <v>21431433.7</v>
      </c>
      <c r="G40" s="5" t="n">
        <v>21490644.59</v>
      </c>
      <c r="H40" s="5">
        <f>G40-F40</f>
        <v/>
      </c>
      <c r="I40" s="16">
        <f>IFERROR(H40/F40,"")</f>
        <v/>
      </c>
    </row>
    <row r="41">
      <c r="A41" s="30" t="n">
        <v>7790</v>
      </c>
      <c r="B41" s="2" t="inlineStr">
        <is>
          <t>Annen kostnad</t>
        </is>
      </c>
      <c r="C41" s="2" t="inlineStr">
        <is>
          <t>Kostnad</t>
        </is>
      </c>
      <c r="D41" s="2" t="inlineStr">
        <is>
          <t>Andre driftskostnader</t>
        </is>
      </c>
      <c r="E41" s="5" t="n">
        <v>21643649.98</v>
      </c>
      <c r="F41" s="5" t="n">
        <v>21650818.16</v>
      </c>
      <c r="G41" s="5" t="n">
        <v>21699703.79</v>
      </c>
      <c r="H41" s="5">
        <f>G41-F41</f>
        <v/>
      </c>
      <c r="I41" s="16">
        <f>IFERROR(H41/F41,"")</f>
        <v/>
      </c>
    </row>
  </sheetData>
  <conditionalFormatting sqref="I2:I41">
    <cfRule type="expression" priority="2" dxfId="54">
      <formula>$I2&gt;0.05</formula>
    </cfRule>
    <cfRule type="expression" priority="3" dxfId="58">
      <formula>AND($I2&gt;=0.02,$I2&lt;=0.05)</formula>
    </cfRule>
    <cfRule type="expression" priority="4" dxfId="55">
      <formula>$I2&lt;0.02</formula>
    </cfRule>
  </conditionalFormatting>
  <conditionalFormatting sqref="H2:H41">
    <cfRule type="dataBar" priority="5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4.5"/>
  <cols>
    <col width="9.90625" bestFit="1" customWidth="1" style="6" min="1" max="1"/>
    <col width="20.81640625" bestFit="1" customWidth="1" style="6" min="2" max="2"/>
    <col width="17.81640625" bestFit="1" customWidth="1" style="6" min="3" max="3"/>
    <col width="18.26953125" bestFit="1" customWidth="1" style="6" min="4" max="4"/>
    <col width="16.6328125" bestFit="1" customWidth="1" style="6" min="5" max="5"/>
    <col width="12.453125" bestFit="1" customWidth="1" style="6" min="6" max="6"/>
    <col width="11.81640625" bestFit="1" customWidth="1" style="6" min="7" max="8"/>
    <col width="14.54296875" bestFit="1" customWidth="1" style="6" min="9" max="9"/>
    <col width="17.36328125" customWidth="1" style="6" min="10" max="10"/>
  </cols>
  <sheetData>
    <row r="1">
      <c r="A1" t="inlineStr">
        <is>
          <t>Prosjekt</t>
        </is>
      </c>
      <c r="B1" t="inlineStr">
        <is>
          <t>Prosjektnavn</t>
        </is>
      </c>
      <c r="C1" t="inlineStr">
        <is>
          <t>Finansieringstype</t>
        </is>
      </c>
      <c r="D1" t="inlineStr">
        <is>
          <t>Finansieringskilde</t>
        </is>
      </c>
      <c r="E1" t="inlineStr">
        <is>
          <t>Kontraktsbelop</t>
        </is>
      </c>
      <c r="F1" t="inlineStr">
        <is>
          <t>Budsjett</t>
        </is>
      </c>
      <c r="G1" t="inlineStr">
        <is>
          <t>Frikjop</t>
        </is>
      </c>
      <c r="H1" t="inlineStr">
        <is>
          <t>DirekteDrift</t>
        </is>
      </c>
      <c r="I1" t="inlineStr">
        <is>
          <t>Overhead</t>
        </is>
      </c>
      <c r="J1" t="inlineStr">
        <is>
          <t>Leiested</t>
        </is>
      </c>
      <c r="K1" t="inlineStr">
        <is>
          <t>PåløptKostnad</t>
        </is>
      </c>
      <c r="L1" t="inlineStr">
        <is>
          <t>Inntektsført</t>
        </is>
      </c>
      <c r="M1" t="inlineStr">
        <is>
          <t>Dekningsgrad</t>
        </is>
      </c>
      <c r="N1" t="inlineStr">
        <is>
          <t>%TidGått</t>
        </is>
      </c>
      <c r="O1" t="inlineStr">
        <is>
          <t>%BudsjettForbrukt</t>
        </is>
      </c>
      <c r="P1" t="inlineStr">
        <is>
          <t>Forbruksavvik</t>
        </is>
      </c>
      <c r="Q1" t="inlineStr">
        <is>
          <t>RAG_Status</t>
        </is>
      </c>
      <c r="R1" t="inlineStr">
        <is>
          <t>StatusMerknad</t>
        </is>
      </c>
    </row>
    <row r="2">
      <c r="A2" t="inlineStr">
        <is>
          <t>NFR001</t>
        </is>
      </c>
      <c r="B2" t="inlineStr">
        <is>
          <t>NFR-AI: Kunstig intelligens i styring</t>
        </is>
      </c>
      <c r="C2" t="inlineStr">
        <is>
          <t>Bidrag</t>
        </is>
      </c>
      <c r="D2" t="inlineStr">
        <is>
          <t>NFR</t>
        </is>
      </c>
      <c r="E2" t="n">
        <v>12000000</v>
      </c>
      <c r="F2" t="n">
        <v>4000000</v>
      </c>
      <c r="G2" t="n">
        <v>1800000</v>
      </c>
      <c r="H2" t="n">
        <v>1100000</v>
      </c>
      <c r="I2" t="n">
        <v>880000</v>
      </c>
      <c r="J2" t="n">
        <v>220000</v>
      </c>
      <c r="K2" t="n">
        <v>1680000</v>
      </c>
      <c r="L2" t="n">
        <v>1680000</v>
      </c>
      <c r="M2" t="n">
        <v>0.22</v>
      </c>
      <c r="N2" t="n">
        <v>0.65</v>
      </c>
      <c r="O2" t="n">
        <v>0.42</v>
      </c>
      <c r="P2" t="n">
        <v>-0.23</v>
      </c>
      <c r="Q2" t="inlineStr">
        <is>
          <t>GUL: Betydelig fremdriftsforsinkelse</t>
        </is>
      </c>
      <c r="R2" t="inlineStr">
        <is>
          <t>Forsinket stipendiatrekruttering og lav fremdrift. Tiltak T003 iverksatt.</t>
        </is>
      </c>
    </row>
    <row r="3">
      <c r="A3" t="inlineStr">
        <is>
          <t>NFR002</t>
        </is>
      </c>
      <c r="B3" t="inlineStr">
        <is>
          <t>NFR-Helse: Pasientsikkerhet i helsefag</t>
        </is>
      </c>
      <c r="C3" t="inlineStr">
        <is>
          <t>Bidrag</t>
        </is>
      </c>
      <c r="D3" t="inlineStr">
        <is>
          <t>NFR</t>
        </is>
      </c>
      <c r="E3" t="n">
        <v>8500000</v>
      </c>
      <c r="F3" t="n">
        <v>2800000</v>
      </c>
      <c r="G3" t="n">
        <v>1300000</v>
      </c>
      <c r="H3" t="n">
        <v>800000</v>
      </c>
      <c r="I3" t="n">
        <v>616000</v>
      </c>
      <c r="J3" t="n">
        <v>84000</v>
      </c>
      <c r="K3" t="n">
        <v>1450000</v>
      </c>
      <c r="L3" t="n">
        <v>1450000</v>
      </c>
      <c r="M3" t="n">
        <v>0.22</v>
      </c>
      <c r="N3" t="n">
        <v>0.52</v>
      </c>
      <c r="O3" t="n">
        <v>0.518</v>
      </c>
      <c r="P3" t="n">
        <v>-0.002</v>
      </c>
      <c r="Q3" t="inlineStr">
        <is>
          <t>GRØNN: I rute</t>
        </is>
      </c>
      <c r="R3" t="inlineStr">
        <is>
          <t>I rute iht. prosjektplan og milepæler.</t>
        </is>
      </c>
    </row>
    <row r="4">
      <c r="A4" t="inlineStr">
        <is>
          <t>EU001</t>
        </is>
      </c>
      <c r="B4" t="inlineStr">
        <is>
          <t>EU Horizon: Green Maritime Tech</t>
        </is>
      </c>
      <c r="C4" t="inlineStr">
        <is>
          <t>Bidrag</t>
        </is>
      </c>
      <c r="D4" t="inlineStr">
        <is>
          <t>EU</t>
        </is>
      </c>
      <c r="E4" t="n">
        <v>18500000</v>
      </c>
      <c r="F4" t="n">
        <v>6200000</v>
      </c>
      <c r="G4" t="n">
        <v>2800000</v>
      </c>
      <c r="H4" t="n">
        <v>1800000</v>
      </c>
      <c r="I4" t="n">
        <v>1364000</v>
      </c>
      <c r="J4" t="n">
        <v>236000</v>
      </c>
      <c r="K4" t="n">
        <v>3100000</v>
      </c>
      <c r="L4" t="n">
        <v>3100000</v>
      </c>
      <c r="M4" t="n">
        <v>0.22</v>
      </c>
      <c r="N4" t="n">
        <v>0.5</v>
      </c>
      <c r="O4" t="n">
        <v>0.5</v>
      </c>
      <c r="P4" t="n">
        <v>0</v>
      </c>
      <c r="Q4" t="inlineStr">
        <is>
          <t>GRØNN: I rute</t>
        </is>
      </c>
      <c r="R4" t="inlineStr">
        <is>
          <t>Green Maritime Tech i rute for Horizon Europe.</t>
        </is>
      </c>
    </row>
    <row r="5">
      <c r="A5" t="inlineStr">
        <is>
          <t>EU002</t>
        </is>
      </c>
      <c r="B5" t="inlineStr">
        <is>
          <t>EU Horizon: Digital Governance</t>
        </is>
      </c>
      <c r="C5" t="inlineStr">
        <is>
          <t>Bidrag</t>
        </is>
      </c>
      <c r="D5" t="inlineStr">
        <is>
          <t>EU</t>
        </is>
      </c>
      <c r="E5" t="n">
        <v>14000000</v>
      </c>
      <c r="F5" t="n">
        <v>4500000</v>
      </c>
      <c r="G5" t="n">
        <v>2100000</v>
      </c>
      <c r="H5" t="n">
        <v>1200000</v>
      </c>
      <c r="I5" t="n">
        <v>990000</v>
      </c>
      <c r="J5" t="n">
        <v>210000</v>
      </c>
      <c r="K5" t="n">
        <v>2150000</v>
      </c>
      <c r="L5" t="n">
        <v>2150000</v>
      </c>
      <c r="M5" t="n">
        <v>0.22</v>
      </c>
      <c r="N5" t="n">
        <v>0.48</v>
      </c>
      <c r="O5" t="n">
        <v>0.478</v>
      </c>
      <c r="P5" t="n">
        <v>-0.002</v>
      </c>
      <c r="Q5" t="inlineStr">
        <is>
          <t>GRØNN: I rute</t>
        </is>
      </c>
      <c r="R5" t="inlineStr">
        <is>
          <t>Digital Governance i rute for Horizon Europe.</t>
        </is>
      </c>
    </row>
    <row r="6">
      <c r="A6" t="inlineStr">
        <is>
          <t>EVU001</t>
        </is>
      </c>
      <c r="B6" t="inlineStr">
        <is>
          <t>EVU Videreutdanning for kommuner</t>
        </is>
      </c>
      <c r="C6" t="inlineStr">
        <is>
          <t>Oppdrag</t>
        </is>
      </c>
      <c r="D6" t="inlineStr">
        <is>
          <t>Ekstern</t>
        </is>
      </c>
      <c r="E6" t="n">
        <v>3500000</v>
      </c>
      <c r="F6" t="n">
        <v>1200000</v>
      </c>
      <c r="G6" t="n">
        <v>450000</v>
      </c>
      <c r="H6" t="n">
        <v>450000</v>
      </c>
      <c r="I6" t="n">
        <v>300000</v>
      </c>
      <c r="J6" t="n">
        <v>0</v>
      </c>
      <c r="K6" t="n">
        <v>864000</v>
      </c>
      <c r="L6" t="n">
        <v>600000</v>
      </c>
      <c r="M6" t="n">
        <v>0.25</v>
      </c>
      <c r="N6" t="n">
        <v>0.5</v>
      </c>
      <c r="O6" t="n">
        <v>0.72</v>
      </c>
      <c r="P6" t="n">
        <v>0.22</v>
      </c>
      <c r="Q6" t="inlineStr">
        <is>
          <t>RØD: Betydelig merforbruk</t>
        </is>
      </c>
      <c r="R6" t="inlineStr">
        <is>
          <t>Konsulentmerforbruk og tapsrisiko (SRS 9). Tapsavsetning konto 7790/2800. Tiltak T004.</t>
        </is>
      </c>
    </row>
    <row r="7">
      <c r="A7" t="inlineStr">
        <is>
          <t>OPPDRAG01</t>
        </is>
      </c>
      <c r="B7" t="inlineStr">
        <is>
          <t>Oppdragsforskning Batteriteknologi</t>
        </is>
      </c>
      <c r="C7" t="inlineStr">
        <is>
          <t>Oppdrag</t>
        </is>
      </c>
      <c r="D7" t="inlineStr">
        <is>
          <t>Næringsliv</t>
        </is>
      </c>
      <c r="E7" t="n">
        <v>5000000</v>
      </c>
      <c r="F7" t="n">
        <v>1800000</v>
      </c>
      <c r="G7" t="n">
        <v>750000</v>
      </c>
      <c r="H7" t="n">
        <v>550000</v>
      </c>
      <c r="I7" t="n">
        <v>450000</v>
      </c>
      <c r="J7" t="n">
        <v>50000</v>
      </c>
      <c r="K7" t="n">
        <v>890000</v>
      </c>
      <c r="L7" t="n">
        <v>890000</v>
      </c>
      <c r="M7" t="n">
        <v>0.25</v>
      </c>
      <c r="N7" t="n">
        <v>0.5</v>
      </c>
      <c r="O7" t="n">
        <v>0.494</v>
      </c>
      <c r="P7" t="n">
        <v>-0.006</v>
      </c>
      <c r="Q7" t="inlineStr">
        <is>
          <t>GRØNN: I rute</t>
        </is>
      </c>
      <c r="R7" t="inlineStr">
        <is>
          <t>Batteriteknologi oppdrag i henhold til leveranseplan.</t>
        </is>
      </c>
    </row>
  </sheetData>
  <conditionalFormatting sqref="J2:J5">
    <cfRule type="expression" priority="1" dxfId="54">
      <formula>$J2&gt;0.05</formula>
    </cfRule>
    <cfRule type="expression" priority="2" dxfId="58">
      <formula>AND($J2&gt;=0.02,$J2&lt;=0.05)</formula>
    </cfRule>
    <cfRule type="expression" priority="3" dxfId="55">
      <formula>$J2&lt;0.02</formula>
    </cfRule>
  </conditionalFormatting>
  <conditionalFormatting sqref="I2:I5">
    <cfRule type="dataBar" priority="4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4.5"/>
  <cols>
    <col width="15.90625" bestFit="1" customWidth="1" style="6" min="1" max="1"/>
    <col width="25.81640625" bestFit="1" customWidth="1" style="6" min="2" max="2"/>
    <col width="18.08984375" bestFit="1" customWidth="1" style="6" min="3" max="3"/>
    <col width="10.36328125" bestFit="1" customWidth="1" style="6" min="4" max="4"/>
    <col width="16.1796875" bestFit="1" customWidth="1" style="6" min="5" max="5"/>
  </cols>
  <sheetData>
    <row r="1">
      <c r="A1" s="4" t="inlineStr">
        <is>
          <t>Stillingsgruppe</t>
        </is>
      </c>
      <c r="B1" s="4" t="inlineStr">
        <is>
          <t>Stillingsgruppenavn</t>
        </is>
      </c>
      <c r="C1" s="4" t="inlineStr">
        <is>
          <t>Stillingskategori</t>
        </is>
      </c>
      <c r="D1" s="4" t="inlineStr">
        <is>
          <t>Aarsverk</t>
        </is>
      </c>
      <c r="E1" s="4" t="inlineStr">
        <is>
          <t>FagligeAarsverk</t>
        </is>
      </c>
    </row>
    <row r="2">
      <c r="A2" s="2" t="inlineStr">
        <is>
          <t>ADM</t>
        </is>
      </c>
      <c r="B2" s="2" t="inlineStr">
        <is>
          <t>Administrativ</t>
        </is>
      </c>
      <c r="C2" s="2" t="inlineStr">
        <is>
          <t>Teknisk-administrativ</t>
        </is>
      </c>
      <c r="D2" s="5" t="n">
        <v>493.39</v>
      </c>
      <c r="E2" s="5" t="n">
        <v>0</v>
      </c>
    </row>
    <row r="3">
      <c r="A3" s="2" t="inlineStr">
        <is>
          <t>FORST</t>
        </is>
      </c>
      <c r="B3" s="2" t="inlineStr">
        <is>
          <t>Forsteamanuensis/forstelektor</t>
        </is>
      </c>
      <c r="C3" s="2" t="inlineStr">
        <is>
          <t>Vitenskapelig</t>
        </is>
      </c>
      <c r="D3" s="5" t="n">
        <v>326.51</v>
      </c>
      <c r="E3" s="5" t="n">
        <v>326.51</v>
      </c>
    </row>
    <row r="4">
      <c r="A4" s="2" t="inlineStr">
        <is>
          <t>PROF</t>
        </is>
      </c>
      <c r="B4" s="2" t="inlineStr">
        <is>
          <t>Professor/dosent</t>
        </is>
      </c>
      <c r="C4" s="2" t="inlineStr">
        <is>
          <t>Vitenskapelig</t>
        </is>
      </c>
      <c r="D4" s="5" t="n">
        <v>207.29</v>
      </c>
      <c r="E4" s="5" t="n">
        <v>207.29</v>
      </c>
    </row>
    <row r="5">
      <c r="A5" s="2" t="inlineStr">
        <is>
          <t>REKR</t>
        </is>
      </c>
      <c r="B5" s="2" t="inlineStr">
        <is>
          <t>Stipendiat/postdoktor</t>
        </is>
      </c>
      <c r="C5" s="2" t="inlineStr">
        <is>
          <t>Rekruttering</t>
        </is>
      </c>
      <c r="D5" s="5" t="n">
        <v>127.97</v>
      </c>
      <c r="E5" s="5" t="n">
        <v>127.97</v>
      </c>
    </row>
    <row r="6">
      <c r="A6" s="2" t="inlineStr">
        <is>
          <t>TEK</t>
        </is>
      </c>
      <c r="B6" s="2" t="inlineStr">
        <is>
          <t>Teknisk</t>
        </is>
      </c>
      <c r="C6" s="2" t="inlineStr">
        <is>
          <t>Teknisk-administrativ</t>
        </is>
      </c>
      <c r="D6" s="5" t="n">
        <v>130.77</v>
      </c>
      <c r="E6" s="5" t="n">
        <v>0</v>
      </c>
    </row>
  </sheetData>
  <conditionalFormatting sqref="D2:D6">
    <cfRule type="dataBar" priority="1">
      <dataBar>
        <cfvo type="min"/>
        <cfvo type="max"/>
        <color rgb="FF638EC6"/>
      </dataBar>
    </cfRule>
  </conditionalFormatting>
  <conditionalFormatting sqref="E2:E6">
    <cfRule type="dataBar" priority="2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:H1"/>
    </sheetView>
  </sheetViews>
  <sheetFormatPr baseColWidth="8" defaultRowHeight="14.5"/>
  <cols>
    <col width="15.6328125" bestFit="1" customWidth="1" style="6" min="1" max="1"/>
    <col width="50.453125" bestFit="1" customWidth="1" style="6" min="2" max="2"/>
    <col width="12.90625" bestFit="1" customWidth="1" style="6" min="3" max="3"/>
    <col width="10.08984375" bestFit="1" customWidth="1" style="6" min="4" max="5"/>
    <col width="21.6328125" bestFit="1" customWidth="1" style="6" min="6" max="6"/>
    <col width="19.90625" bestFit="1" customWidth="1" style="6" min="7" max="7"/>
    <col width="8.26953125" bestFit="1" customWidth="1" style="6" min="8" max="8"/>
    <col width="20.81640625" bestFit="1" customWidth="1" style="6" min="9" max="9"/>
    <col width="16.90625" bestFit="1" customWidth="1" style="6" min="10" max="10"/>
  </cols>
  <sheetData>
    <row r="1">
      <c r="A1" s="4" t="inlineStr">
        <is>
          <t>Studieprogram</t>
        </is>
      </c>
      <c r="B1" s="4" t="inlineStr">
        <is>
          <t>Studieprogramnavn</t>
        </is>
      </c>
      <c r="C1" s="4" t="inlineStr">
        <is>
          <t>Studienivaa</t>
        </is>
      </c>
      <c r="D1" s="4" t="inlineStr">
        <is>
          <t>Fakultet</t>
        </is>
      </c>
      <c r="E1" s="4" t="inlineStr">
        <is>
          <t>Institutt</t>
        </is>
      </c>
      <c r="F1" s="4" t="inlineStr">
        <is>
          <t>PlanlagteStudiepoeng</t>
        </is>
      </c>
      <c r="G1" s="4" t="inlineStr">
        <is>
          <t>AvlagteStudiepoeng</t>
        </is>
      </c>
      <c r="H1" s="4" t="inlineStr">
        <is>
          <t>SPE60</t>
        </is>
      </c>
      <c r="I1" s="4" t="inlineStr">
        <is>
          <t>RegistrerteStudenter</t>
        </is>
      </c>
      <c r="J1" s="4" t="inlineStr">
        <is>
          <t>Maaloppnaaelse</t>
        </is>
      </c>
    </row>
    <row r="2">
      <c r="A2" s="2" t="inlineStr">
        <is>
          <t>I001BA</t>
        </is>
      </c>
      <c r="B2" s="2" t="inlineStr">
        <is>
          <t>Bachelorprogram Institutt/enhet 1 - Handelshoyskolen</t>
        </is>
      </c>
      <c r="C2" s="2" t="inlineStr">
        <is>
          <t>Bachelor</t>
        </is>
      </c>
      <c r="D2" s="2" t="inlineStr">
        <is>
          <t>FAK-HH</t>
        </is>
      </c>
      <c r="E2" s="2" t="inlineStr">
        <is>
          <t>I001</t>
        </is>
      </c>
      <c r="F2" s="5" t="n">
        <v>22150</v>
      </c>
      <c r="G2" s="5" t="n">
        <v>18744</v>
      </c>
      <c r="H2" s="5" t="n">
        <v>312.397</v>
      </c>
      <c r="I2" s="5" t="n">
        <v>355</v>
      </c>
      <c r="J2" s="16">
        <f>IFERROR(G2/F2,"")</f>
        <v/>
      </c>
    </row>
    <row r="3">
      <c r="A3" s="2" t="inlineStr">
        <is>
          <t>I001MA</t>
        </is>
      </c>
      <c r="B3" s="2" t="inlineStr">
        <is>
          <t>Masterprogram Institutt/enhet 1 - Handelshoyskolen</t>
        </is>
      </c>
      <c r="C3" s="2" t="inlineStr">
        <is>
          <t>Master</t>
        </is>
      </c>
      <c r="D3" s="2" t="inlineStr">
        <is>
          <t>FAK-HH</t>
        </is>
      </c>
      <c r="E3" s="2" t="inlineStr">
        <is>
          <t>I001</t>
        </is>
      </c>
      <c r="F3" s="5" t="n">
        <v>8450</v>
      </c>
      <c r="G3" s="5" t="n">
        <v>7205.6</v>
      </c>
      <c r="H3" s="5" t="n">
        <v>120.096</v>
      </c>
      <c r="I3" s="5" t="n">
        <v>144</v>
      </c>
      <c r="J3" s="16">
        <f>IFERROR(G3/F3,"")</f>
        <v/>
      </c>
    </row>
    <row r="4">
      <c r="A4" s="2" t="inlineStr">
        <is>
          <t>I002BA</t>
        </is>
      </c>
      <c r="B4" s="2" t="inlineStr">
        <is>
          <t>Bachelorprogram Institutt/enhet 2 - Handelshoyskolen</t>
        </is>
      </c>
      <c r="C4" s="2" t="inlineStr">
        <is>
          <t>Bachelor</t>
        </is>
      </c>
      <c r="D4" s="2" t="inlineStr">
        <is>
          <t>FAK-HH</t>
        </is>
      </c>
      <c r="E4" s="2" t="inlineStr">
        <is>
          <t>I002</t>
        </is>
      </c>
      <c r="F4" s="5" t="n">
        <v>21830</v>
      </c>
      <c r="G4" s="5" t="n">
        <v>18891.6</v>
      </c>
      <c r="H4" s="5" t="n">
        <v>314.857</v>
      </c>
      <c r="I4" s="5" t="n">
        <v>363</v>
      </c>
      <c r="J4" s="16">
        <f>IFERROR(G4/F4,"")</f>
        <v/>
      </c>
    </row>
    <row r="5">
      <c r="A5" s="2" t="inlineStr">
        <is>
          <t>I002MA</t>
        </is>
      </c>
      <c r="B5" s="2" t="inlineStr">
        <is>
          <t>Masterprogram Institutt/enhet 2 - Handelshoyskolen</t>
        </is>
      </c>
      <c r="C5" s="2" t="inlineStr">
        <is>
          <t>Master</t>
        </is>
      </c>
      <c r="D5" s="2" t="inlineStr">
        <is>
          <t>FAK-HH</t>
        </is>
      </c>
      <c r="E5" s="2" t="inlineStr">
        <is>
          <t>I002</t>
        </is>
      </c>
      <c r="F5" s="5" t="n">
        <v>9160</v>
      </c>
      <c r="G5" s="5" t="n">
        <v>8066.9</v>
      </c>
      <c r="H5" s="5" t="n">
        <v>134.447</v>
      </c>
      <c r="I5" s="5" t="n">
        <v>153</v>
      </c>
      <c r="J5" s="16">
        <f>IFERROR(G5/F5,"")</f>
        <v/>
      </c>
    </row>
    <row r="6">
      <c r="A6" s="2" t="inlineStr">
        <is>
          <t>I003BA</t>
        </is>
      </c>
      <c r="B6" s="2" t="inlineStr">
        <is>
          <t>Bachelorprogram Institutt/enhet 3 - Handelshoyskolen</t>
        </is>
      </c>
      <c r="C6" s="2" t="inlineStr">
        <is>
          <t>Bachelor</t>
        </is>
      </c>
      <c r="D6" s="2" t="inlineStr">
        <is>
          <t>FAK-HH</t>
        </is>
      </c>
      <c r="E6" s="2" t="inlineStr">
        <is>
          <t>I003</t>
        </is>
      </c>
      <c r="F6" s="5" t="n">
        <v>21110</v>
      </c>
      <c r="G6" s="5" t="n">
        <v>18230.2</v>
      </c>
      <c r="H6" s="5" t="n">
        <v>303.834</v>
      </c>
      <c r="I6" s="5" t="n">
        <v>348</v>
      </c>
      <c r="J6" s="16">
        <f>IFERROR(G6/F6,"")</f>
        <v/>
      </c>
    </row>
    <row r="7">
      <c r="A7" s="2" t="inlineStr">
        <is>
          <t>I003MA</t>
        </is>
      </c>
      <c r="B7" s="2" t="inlineStr">
        <is>
          <t>Masterprogram Institutt/enhet 3 - Handelshoyskolen</t>
        </is>
      </c>
      <c r="C7" s="2" t="inlineStr">
        <is>
          <t>Master</t>
        </is>
      </c>
      <c r="D7" s="2" t="inlineStr">
        <is>
          <t>FAK-HH</t>
        </is>
      </c>
      <c r="E7" s="2" t="inlineStr">
        <is>
          <t>I003</t>
        </is>
      </c>
      <c r="F7" s="5" t="n">
        <v>4710</v>
      </c>
      <c r="G7" s="5" t="n">
        <v>4062.3</v>
      </c>
      <c r="H7" s="5" t="n">
        <v>67.705</v>
      </c>
      <c r="I7" s="5" t="n">
        <v>78</v>
      </c>
      <c r="J7" s="16">
        <f>IFERROR(G7/F7,"")</f>
        <v/>
      </c>
    </row>
    <row r="8">
      <c r="A8" s="2" t="inlineStr">
        <is>
          <t>I004BA</t>
        </is>
      </c>
      <c r="B8" s="2" t="inlineStr">
        <is>
          <t>Bachelorprogram Institutt/enhet 1 - Helse- og idrettsvitenskap</t>
        </is>
      </c>
      <c r="C8" s="2" t="inlineStr">
        <is>
          <t>Bachelor</t>
        </is>
      </c>
      <c r="D8" s="2" t="inlineStr">
        <is>
          <t>FAK-HI</t>
        </is>
      </c>
      <c r="E8" s="2" t="inlineStr">
        <is>
          <t>I004</t>
        </is>
      </c>
      <c r="F8" s="5" t="n">
        <v>8970</v>
      </c>
      <c r="G8" s="5" t="n">
        <v>7686.9</v>
      </c>
      <c r="H8" s="5" t="n">
        <v>128.112</v>
      </c>
      <c r="I8" s="5" t="n">
        <v>150</v>
      </c>
      <c r="J8" s="16">
        <f>IFERROR(G8/F8,"")</f>
        <v/>
      </c>
    </row>
    <row r="9">
      <c r="A9" s="2" t="inlineStr">
        <is>
          <t>I004MA</t>
        </is>
      </c>
      <c r="B9" s="2" t="inlineStr">
        <is>
          <t>Masterprogram Institutt/enhet 1 - Helse- og idrettsvitenskap</t>
        </is>
      </c>
      <c r="C9" s="2" t="inlineStr">
        <is>
          <t>Master</t>
        </is>
      </c>
      <c r="D9" s="2" t="inlineStr">
        <is>
          <t>FAK-HI</t>
        </is>
      </c>
      <c r="E9" s="2" t="inlineStr">
        <is>
          <t>I004</t>
        </is>
      </c>
      <c r="F9" s="5" t="n">
        <v>3350</v>
      </c>
      <c r="G9" s="5" t="n">
        <v>2905.3</v>
      </c>
      <c r="H9" s="5" t="n">
        <v>48.421</v>
      </c>
      <c r="I9" s="5" t="n">
        <v>57</v>
      </c>
      <c r="J9" s="16">
        <f>IFERROR(G9/F9,"")</f>
        <v/>
      </c>
    </row>
    <row r="10">
      <c r="A10" s="2" t="inlineStr">
        <is>
          <t>I005BA</t>
        </is>
      </c>
      <c r="B10" s="2" t="inlineStr">
        <is>
          <t>Bachelorprogram Institutt/enhet 2 - Helse- og idrettsvitenskap</t>
        </is>
      </c>
      <c r="C10" s="2" t="inlineStr">
        <is>
          <t>Bachelor</t>
        </is>
      </c>
      <c r="D10" s="2" t="inlineStr">
        <is>
          <t>FAK-HI</t>
        </is>
      </c>
      <c r="E10" s="2" t="inlineStr">
        <is>
          <t>I005</t>
        </is>
      </c>
      <c r="F10" s="5" t="n">
        <v>11975</v>
      </c>
      <c r="G10" s="5" t="n">
        <v>10181.3</v>
      </c>
      <c r="H10" s="5" t="n">
        <v>169.689</v>
      </c>
      <c r="I10" s="5" t="n">
        <v>209</v>
      </c>
      <c r="J10" s="16">
        <f>IFERROR(G10/F10,"")</f>
        <v/>
      </c>
    </row>
    <row r="11">
      <c r="A11" s="2" t="inlineStr">
        <is>
          <t>I005MA</t>
        </is>
      </c>
      <c r="B11" s="2" t="inlineStr">
        <is>
          <t>Masterprogram Institutt/enhet 2 - Helse- og idrettsvitenskap</t>
        </is>
      </c>
      <c r="C11" s="2" t="inlineStr">
        <is>
          <t>Master</t>
        </is>
      </c>
      <c r="D11" s="2" t="inlineStr">
        <is>
          <t>FAK-HI</t>
        </is>
      </c>
      <c r="E11" s="2" t="inlineStr">
        <is>
          <t>I005</t>
        </is>
      </c>
      <c r="F11" s="5" t="n">
        <v>3650</v>
      </c>
      <c r="G11" s="5" t="n">
        <v>3128</v>
      </c>
      <c r="H11" s="5" t="n">
        <v>52.133</v>
      </c>
      <c r="I11" s="5" t="n">
        <v>60</v>
      </c>
      <c r="J11" s="16">
        <f>IFERROR(G11/F11,"")</f>
        <v/>
      </c>
    </row>
    <row r="12">
      <c r="A12" s="2" t="inlineStr">
        <is>
          <t>I006BA</t>
        </is>
      </c>
      <c r="B12" s="2" t="inlineStr">
        <is>
          <t>Bachelorprogram Institutt/enhet 3 - Helse- og idrettsvitenskap</t>
        </is>
      </c>
      <c r="C12" s="2" t="inlineStr">
        <is>
          <t>Bachelor</t>
        </is>
      </c>
      <c r="D12" s="2" t="inlineStr">
        <is>
          <t>FAK-HI</t>
        </is>
      </c>
      <c r="E12" s="2" t="inlineStr">
        <is>
          <t>I006</t>
        </is>
      </c>
      <c r="F12" s="5" t="n">
        <v>15700</v>
      </c>
      <c r="G12" s="5" t="n">
        <v>13444.4</v>
      </c>
      <c r="H12" s="5" t="n">
        <v>224.072</v>
      </c>
      <c r="I12" s="5" t="n">
        <v>257</v>
      </c>
      <c r="J12" s="16">
        <f>IFERROR(G12/F12,"")</f>
        <v/>
      </c>
    </row>
    <row r="13">
      <c r="A13" s="2" t="inlineStr">
        <is>
          <t>I006MA</t>
        </is>
      </c>
      <c r="B13" s="2" t="inlineStr">
        <is>
          <t>Masterprogram Institutt/enhet 3 - Helse- og idrettsvitenskap</t>
        </is>
      </c>
      <c r="C13" s="2" t="inlineStr">
        <is>
          <t>Master</t>
        </is>
      </c>
      <c r="D13" s="2" t="inlineStr">
        <is>
          <t>FAK-HI</t>
        </is>
      </c>
      <c r="E13" s="2" t="inlineStr">
        <is>
          <t>I006</t>
        </is>
      </c>
      <c r="F13" s="5" t="n">
        <v>5285</v>
      </c>
      <c r="G13" s="5" t="n">
        <v>4457.1</v>
      </c>
      <c r="H13" s="5" t="n">
        <v>74.282</v>
      </c>
      <c r="I13" s="5" t="n">
        <v>84</v>
      </c>
      <c r="J13" s="16">
        <f>IFERROR(G13/F13,"")</f>
        <v/>
      </c>
    </row>
    <row r="14">
      <c r="A14" s="2" t="inlineStr">
        <is>
          <t>I007BA</t>
        </is>
      </c>
      <c r="B14" s="2" t="inlineStr">
        <is>
          <t>Bachelorprogram Institutt/enhet 1 - Humaniora og pedagogikk</t>
        </is>
      </c>
      <c r="C14" s="2" t="inlineStr">
        <is>
          <t>Bachelor</t>
        </is>
      </c>
      <c r="D14" s="2" t="inlineStr">
        <is>
          <t>FAK-HP</t>
        </is>
      </c>
      <c r="E14" s="2" t="inlineStr">
        <is>
          <t>I007</t>
        </is>
      </c>
      <c r="F14" s="5" t="n">
        <v>7045</v>
      </c>
      <c r="G14" s="5" t="n">
        <v>5985.9</v>
      </c>
      <c r="H14" s="5" t="n">
        <v>99.762</v>
      </c>
      <c r="I14" s="5" t="n">
        <v>113</v>
      </c>
      <c r="J14" s="16">
        <f>IFERROR(G14/F14,"")</f>
        <v/>
      </c>
    </row>
    <row r="15">
      <c r="A15" s="2" t="inlineStr">
        <is>
          <t>I007MA</t>
        </is>
      </c>
      <c r="B15" s="2" t="inlineStr">
        <is>
          <t>Masterprogram Institutt/enhet 1 - Humaniora og pedagogikk</t>
        </is>
      </c>
      <c r="C15" s="2" t="inlineStr">
        <is>
          <t>Master</t>
        </is>
      </c>
      <c r="D15" s="2" t="inlineStr">
        <is>
          <t>FAK-HP</t>
        </is>
      </c>
      <c r="E15" s="2" t="inlineStr">
        <is>
          <t>I007</t>
        </is>
      </c>
      <c r="F15" s="5" t="n">
        <v>6915</v>
      </c>
      <c r="G15" s="5" t="n">
        <v>5930.6</v>
      </c>
      <c r="H15" s="5" t="n">
        <v>98.843</v>
      </c>
      <c r="I15" s="5" t="n">
        <v>114</v>
      </c>
      <c r="J15" s="16">
        <f>IFERROR(G15/F15,"")</f>
        <v/>
      </c>
    </row>
    <row r="16">
      <c r="A16" s="2" t="inlineStr">
        <is>
          <t>I008BA</t>
        </is>
      </c>
      <c r="B16" s="2" t="inlineStr">
        <is>
          <t>Bachelorprogram Institutt/enhet 2 - Humaniora og pedagogikk</t>
        </is>
      </c>
      <c r="C16" s="2" t="inlineStr">
        <is>
          <t>Bachelor</t>
        </is>
      </c>
      <c r="D16" s="2" t="inlineStr">
        <is>
          <t>FAK-HP</t>
        </is>
      </c>
      <c r="E16" s="2" t="inlineStr">
        <is>
          <t>I008</t>
        </is>
      </c>
      <c r="F16" s="5" t="n">
        <v>22860</v>
      </c>
      <c r="G16" s="5" t="n">
        <v>19787.9</v>
      </c>
      <c r="H16" s="5" t="n">
        <v>329.799</v>
      </c>
      <c r="I16" s="5" t="n">
        <v>386</v>
      </c>
      <c r="J16" s="16">
        <f>IFERROR(G16/F16,"")</f>
        <v/>
      </c>
    </row>
    <row r="17">
      <c r="A17" s="2" t="inlineStr">
        <is>
          <t>I008MA</t>
        </is>
      </c>
      <c r="B17" s="2" t="inlineStr">
        <is>
          <t>Masterprogram Institutt/enhet 2 - Humaniora og pedagogikk</t>
        </is>
      </c>
      <c r="C17" s="2" t="inlineStr">
        <is>
          <t>Master</t>
        </is>
      </c>
      <c r="D17" s="2" t="inlineStr">
        <is>
          <t>FAK-HP</t>
        </is>
      </c>
      <c r="E17" s="2" t="inlineStr">
        <is>
          <t>I008</t>
        </is>
      </c>
      <c r="F17" s="5" t="n">
        <v>5070</v>
      </c>
      <c r="G17" s="5" t="n">
        <v>4400.4</v>
      </c>
      <c r="H17" s="5" t="n">
        <v>73.342</v>
      </c>
      <c r="I17" s="5" t="n">
        <v>83</v>
      </c>
      <c r="J17" s="16">
        <f>IFERROR(G17/F17,"")</f>
        <v/>
      </c>
    </row>
    <row r="18">
      <c r="A18" s="2" t="inlineStr">
        <is>
          <t>I009BA</t>
        </is>
      </c>
      <c r="B18" s="2" t="inlineStr">
        <is>
          <t>Bachelorprogram Institutt/enhet 3 - Humaniora og pedagogikk</t>
        </is>
      </c>
      <c r="C18" s="2" t="inlineStr">
        <is>
          <t>Bachelor</t>
        </is>
      </c>
      <c r="D18" s="2" t="inlineStr">
        <is>
          <t>FAK-HP</t>
        </is>
      </c>
      <c r="E18" s="2" t="inlineStr">
        <is>
          <t>I009</t>
        </is>
      </c>
      <c r="F18" s="5" t="n">
        <v>15115</v>
      </c>
      <c r="G18" s="5" t="n">
        <v>13084.8</v>
      </c>
      <c r="H18" s="5" t="n">
        <v>218.081</v>
      </c>
      <c r="I18" s="5" t="n">
        <v>245</v>
      </c>
      <c r="J18" s="16">
        <f>IFERROR(G18/F18,"")</f>
        <v/>
      </c>
    </row>
    <row r="19">
      <c r="A19" s="2" t="inlineStr">
        <is>
          <t>I009MA</t>
        </is>
      </c>
      <c r="B19" s="2" t="inlineStr">
        <is>
          <t>Masterprogram Institutt/enhet 3 - Humaniora og pedagogikk</t>
        </is>
      </c>
      <c r="C19" s="2" t="inlineStr">
        <is>
          <t>Master</t>
        </is>
      </c>
      <c r="D19" s="2" t="inlineStr">
        <is>
          <t>FAK-HP</t>
        </is>
      </c>
      <c r="E19" s="2" t="inlineStr">
        <is>
          <t>I009</t>
        </is>
      </c>
      <c r="F19" s="5" t="n">
        <v>4005</v>
      </c>
      <c r="G19" s="5" t="n">
        <v>3509.2</v>
      </c>
      <c r="H19" s="5" t="n">
        <v>58.483</v>
      </c>
      <c r="I19" s="5" t="n">
        <v>66</v>
      </c>
      <c r="J19" s="16">
        <f>IFERROR(G19/F19,"")</f>
        <v/>
      </c>
    </row>
    <row r="20">
      <c r="A20" s="2" t="inlineStr">
        <is>
          <t>I010BA</t>
        </is>
      </c>
      <c r="B20" s="2" t="inlineStr">
        <is>
          <t>Bachelorprogram Institutt/enhet 1 - Kunstfag</t>
        </is>
      </c>
      <c r="C20" s="2" t="inlineStr">
        <is>
          <t>Bachelor</t>
        </is>
      </c>
      <c r="D20" s="2" t="inlineStr">
        <is>
          <t>FAK-KF</t>
        </is>
      </c>
      <c r="E20" s="2" t="inlineStr">
        <is>
          <t>I010</t>
        </is>
      </c>
      <c r="F20" s="5" t="n">
        <v>15175</v>
      </c>
      <c r="G20" s="5" t="n">
        <v>13448.7</v>
      </c>
      <c r="H20" s="5" t="n">
        <v>224.148</v>
      </c>
      <c r="I20" s="5" t="n">
        <v>248</v>
      </c>
      <c r="J20" s="16">
        <f>IFERROR(G20/F20,"")</f>
        <v/>
      </c>
    </row>
    <row r="21">
      <c r="A21" s="2" t="inlineStr">
        <is>
          <t>I010MA</t>
        </is>
      </c>
      <c r="B21" s="2" t="inlineStr">
        <is>
          <t>Masterprogram Institutt/enhet 1 - Kunstfag</t>
        </is>
      </c>
      <c r="C21" s="2" t="inlineStr">
        <is>
          <t>Master</t>
        </is>
      </c>
      <c r="D21" s="2" t="inlineStr">
        <is>
          <t>FAK-KF</t>
        </is>
      </c>
      <c r="E21" s="2" t="inlineStr">
        <is>
          <t>I010</t>
        </is>
      </c>
      <c r="F21" s="5" t="n">
        <v>2865</v>
      </c>
      <c r="G21" s="5" t="n">
        <v>2458.5</v>
      </c>
      <c r="H21" s="5" t="n">
        <v>40.978</v>
      </c>
      <c r="I21" s="5" t="n">
        <v>49</v>
      </c>
      <c r="J21" s="16">
        <f>IFERROR(G21/F21,"")</f>
        <v/>
      </c>
    </row>
    <row r="22">
      <c r="A22" s="2" t="inlineStr">
        <is>
          <t>I011BA</t>
        </is>
      </c>
      <c r="B22" s="2" t="inlineStr">
        <is>
          <t>Bachelorprogram Institutt/enhet 2 - Kunstfag</t>
        </is>
      </c>
      <c r="C22" s="2" t="inlineStr">
        <is>
          <t>Bachelor</t>
        </is>
      </c>
      <c r="D22" s="2" t="inlineStr">
        <is>
          <t>FAK-KF</t>
        </is>
      </c>
      <c r="E22" s="2" t="inlineStr">
        <is>
          <t>I011</t>
        </is>
      </c>
      <c r="F22" s="5" t="n">
        <v>6905</v>
      </c>
      <c r="G22" s="5" t="n">
        <v>5945.2</v>
      </c>
      <c r="H22" s="5" t="n">
        <v>99.083</v>
      </c>
      <c r="I22" s="5" t="n">
        <v>116</v>
      </c>
      <c r="J22" s="16">
        <f>IFERROR(G22/F22,"")</f>
        <v/>
      </c>
    </row>
    <row r="23">
      <c r="A23" s="2" t="inlineStr">
        <is>
          <t>I011MA</t>
        </is>
      </c>
      <c r="B23" s="2" t="inlineStr">
        <is>
          <t>Masterprogram Institutt/enhet 2 - Kunstfag</t>
        </is>
      </c>
      <c r="C23" s="2" t="inlineStr">
        <is>
          <t>Master</t>
        </is>
      </c>
      <c r="D23" s="2" t="inlineStr">
        <is>
          <t>FAK-KF</t>
        </is>
      </c>
      <c r="E23" s="2" t="inlineStr">
        <is>
          <t>I011</t>
        </is>
      </c>
      <c r="F23" s="5" t="n">
        <v>7435</v>
      </c>
      <c r="G23" s="5" t="n">
        <v>6290.5</v>
      </c>
      <c r="H23" s="5" t="n">
        <v>104.841</v>
      </c>
      <c r="I23" s="5" t="n">
        <v>128</v>
      </c>
      <c r="J23" s="16">
        <f>IFERROR(G23/F23,"")</f>
        <v/>
      </c>
    </row>
    <row r="24">
      <c r="A24" s="2" t="inlineStr">
        <is>
          <t>I012BA</t>
        </is>
      </c>
      <c r="B24" s="2" t="inlineStr">
        <is>
          <t>Bachelorprogram Institutt/enhet 3 - Kunstfag</t>
        </is>
      </c>
      <c r="C24" s="2" t="inlineStr">
        <is>
          <t>Bachelor</t>
        </is>
      </c>
      <c r="D24" s="2" t="inlineStr">
        <is>
          <t>FAK-KF</t>
        </is>
      </c>
      <c r="E24" s="2" t="inlineStr">
        <is>
          <t>I012</t>
        </is>
      </c>
      <c r="F24" s="5" t="n">
        <v>10820</v>
      </c>
      <c r="G24" s="5" t="n">
        <v>9468.700000000001</v>
      </c>
      <c r="H24" s="5" t="n">
        <v>157.815</v>
      </c>
      <c r="I24" s="5" t="n">
        <v>176</v>
      </c>
      <c r="J24" s="16">
        <f>IFERROR(G24/F24,"")</f>
        <v/>
      </c>
    </row>
    <row r="25">
      <c r="A25" s="2" t="inlineStr">
        <is>
          <t>I012MA</t>
        </is>
      </c>
      <c r="B25" s="2" t="inlineStr">
        <is>
          <t>Masterprogram Institutt/enhet 3 - Kunstfag</t>
        </is>
      </c>
      <c r="C25" s="2" t="inlineStr">
        <is>
          <t>Master</t>
        </is>
      </c>
      <c r="D25" s="2" t="inlineStr">
        <is>
          <t>FAK-KF</t>
        </is>
      </c>
      <c r="E25" s="2" t="inlineStr">
        <is>
          <t>I012</t>
        </is>
      </c>
      <c r="F25" s="5" t="n">
        <v>6825</v>
      </c>
      <c r="G25" s="5" t="n">
        <v>5933.4</v>
      </c>
      <c r="H25" s="5" t="n">
        <v>98.88800000000001</v>
      </c>
      <c r="I25" s="5" t="n">
        <v>114</v>
      </c>
      <c r="J25" s="16">
        <f>IFERROR(G25/F25,"")</f>
        <v/>
      </c>
    </row>
    <row r="26">
      <c r="A26" s="2" t="inlineStr">
        <is>
          <t>I013BA</t>
        </is>
      </c>
      <c r="B26" s="2" t="inlineStr">
        <is>
          <t>Bachelorprogram Institutt/enhet 1 - Samfunnsvitenskap</t>
        </is>
      </c>
      <c r="C26" s="2" t="inlineStr">
        <is>
          <t>Bachelor</t>
        </is>
      </c>
      <c r="D26" s="2" t="inlineStr">
        <is>
          <t>FAK-SV</t>
        </is>
      </c>
      <c r="E26" s="2" t="inlineStr">
        <is>
          <t>I013</t>
        </is>
      </c>
      <c r="F26" s="5" t="n">
        <v>18570</v>
      </c>
      <c r="G26" s="5" t="n">
        <v>15881.7</v>
      </c>
      <c r="H26" s="5" t="n">
        <v>264.692</v>
      </c>
      <c r="I26" s="5" t="n">
        <v>314</v>
      </c>
      <c r="J26" s="16">
        <f>IFERROR(G26/F26,"")</f>
        <v/>
      </c>
    </row>
    <row r="27">
      <c r="A27" s="2" t="inlineStr">
        <is>
          <t>I013MA</t>
        </is>
      </c>
      <c r="B27" s="2" t="inlineStr">
        <is>
          <t>Masterprogram Institutt/enhet 1 - Samfunnsvitenskap</t>
        </is>
      </c>
      <c r="C27" s="2" t="inlineStr">
        <is>
          <t>Master</t>
        </is>
      </c>
      <c r="D27" s="2" t="inlineStr">
        <is>
          <t>FAK-SV</t>
        </is>
      </c>
      <c r="E27" s="2" t="inlineStr">
        <is>
          <t>I013</t>
        </is>
      </c>
      <c r="F27" s="5" t="n">
        <v>7055</v>
      </c>
      <c r="G27" s="5" t="n">
        <v>6044.6</v>
      </c>
      <c r="H27" s="5" t="n">
        <v>100.738</v>
      </c>
      <c r="I27" s="5" t="n">
        <v>116</v>
      </c>
      <c r="J27" s="16">
        <f>IFERROR(G27/F27,"")</f>
        <v/>
      </c>
    </row>
    <row r="28">
      <c r="A28" s="2" t="inlineStr">
        <is>
          <t>I014BA</t>
        </is>
      </c>
      <c r="B28" s="2" t="inlineStr">
        <is>
          <t>Bachelorprogram Institutt/enhet 2 - Samfunnsvitenskap</t>
        </is>
      </c>
      <c r="C28" s="2" t="inlineStr">
        <is>
          <t>Bachelor</t>
        </is>
      </c>
      <c r="D28" s="2" t="inlineStr">
        <is>
          <t>FAK-SV</t>
        </is>
      </c>
      <c r="E28" s="2" t="inlineStr">
        <is>
          <t>I014</t>
        </is>
      </c>
      <c r="F28" s="5" t="n">
        <v>12515</v>
      </c>
      <c r="G28" s="5" t="n">
        <v>10848.1</v>
      </c>
      <c r="H28" s="5" t="n">
        <v>180.805</v>
      </c>
      <c r="I28" s="5" t="n">
        <v>211</v>
      </c>
      <c r="J28" s="16">
        <f>IFERROR(G28/F28,"")</f>
        <v/>
      </c>
    </row>
    <row r="29">
      <c r="A29" s="2" t="inlineStr">
        <is>
          <t>I014MA</t>
        </is>
      </c>
      <c r="B29" s="2" t="inlineStr">
        <is>
          <t>Masterprogram Institutt/enhet 2 - Samfunnsvitenskap</t>
        </is>
      </c>
      <c r="C29" s="2" t="inlineStr">
        <is>
          <t>Master</t>
        </is>
      </c>
      <c r="D29" s="2" t="inlineStr">
        <is>
          <t>FAK-SV</t>
        </is>
      </c>
      <c r="E29" s="2" t="inlineStr">
        <is>
          <t>I014</t>
        </is>
      </c>
      <c r="F29" s="5" t="n">
        <v>5535</v>
      </c>
      <c r="G29" s="5" t="n">
        <v>4777.3</v>
      </c>
      <c r="H29" s="5" t="n">
        <v>79.625</v>
      </c>
      <c r="I29" s="5" t="n">
        <v>88</v>
      </c>
      <c r="J29" s="16">
        <f>IFERROR(G29/F29,"")</f>
        <v/>
      </c>
    </row>
    <row r="30">
      <c r="A30" s="2" t="inlineStr">
        <is>
          <t>I015BA</t>
        </is>
      </c>
      <c r="B30" s="2" t="inlineStr">
        <is>
          <t>Bachelorprogram Institutt/enhet 3 - Samfunnsvitenskap</t>
        </is>
      </c>
      <c r="C30" s="2" t="inlineStr">
        <is>
          <t>Bachelor</t>
        </is>
      </c>
      <c r="D30" s="2" t="inlineStr">
        <is>
          <t>FAK-SV</t>
        </is>
      </c>
      <c r="E30" s="2" t="inlineStr">
        <is>
          <t>I015</t>
        </is>
      </c>
      <c r="F30" s="5" t="n">
        <v>7180</v>
      </c>
      <c r="G30" s="5" t="n">
        <v>6267.8</v>
      </c>
      <c r="H30" s="5" t="n">
        <v>104.462</v>
      </c>
      <c r="I30" s="5" t="n">
        <v>119</v>
      </c>
      <c r="J30" s="16">
        <f>IFERROR(G30/F30,"")</f>
        <v/>
      </c>
    </row>
    <row r="31">
      <c r="A31" s="2" t="inlineStr">
        <is>
          <t>I015MA</t>
        </is>
      </c>
      <c r="B31" s="2" t="inlineStr">
        <is>
          <t>Masterprogram Institutt/enhet 3 - Samfunnsvitenskap</t>
        </is>
      </c>
      <c r="C31" s="2" t="inlineStr">
        <is>
          <t>Master</t>
        </is>
      </c>
      <c r="D31" s="2" t="inlineStr">
        <is>
          <t>FAK-SV</t>
        </is>
      </c>
      <c r="E31" s="2" t="inlineStr">
        <is>
          <t>I015</t>
        </is>
      </c>
      <c r="F31" s="5" t="n">
        <v>8280</v>
      </c>
      <c r="G31" s="5" t="n">
        <v>7073.1</v>
      </c>
      <c r="H31" s="5" t="n">
        <v>117.882</v>
      </c>
      <c r="I31" s="5" t="n">
        <v>136</v>
      </c>
      <c r="J31" s="16">
        <f>IFERROR(G31/F31,"")</f>
        <v/>
      </c>
    </row>
    <row r="32">
      <c r="A32" s="2" t="inlineStr">
        <is>
          <t>I016BA</t>
        </is>
      </c>
      <c r="B32" s="2" t="inlineStr">
        <is>
          <t>Bachelorprogram Institutt/enhet 1 - Teknologi og realfag</t>
        </is>
      </c>
      <c r="C32" s="2" t="inlineStr">
        <is>
          <t>Bachelor</t>
        </is>
      </c>
      <c r="D32" s="2" t="inlineStr">
        <is>
          <t>FAK-TR</t>
        </is>
      </c>
      <c r="E32" s="2" t="inlineStr">
        <is>
          <t>I016</t>
        </is>
      </c>
      <c r="F32" s="5" t="n">
        <v>26345</v>
      </c>
      <c r="G32" s="5" t="n">
        <v>23160.8</v>
      </c>
      <c r="H32" s="5" t="n">
        <v>386.012</v>
      </c>
      <c r="I32" s="5" t="n">
        <v>447</v>
      </c>
      <c r="J32" s="16">
        <f>IFERROR(G32/F32,"")</f>
        <v/>
      </c>
    </row>
    <row r="33">
      <c r="A33" s="2" t="inlineStr">
        <is>
          <t>I016MA</t>
        </is>
      </c>
      <c r="B33" s="2" t="inlineStr">
        <is>
          <t>Masterprogram Institutt/enhet 1 - Teknologi og realfag</t>
        </is>
      </c>
      <c r="C33" s="2" t="inlineStr">
        <is>
          <t>Master</t>
        </is>
      </c>
      <c r="D33" s="2" t="inlineStr">
        <is>
          <t>FAK-TR</t>
        </is>
      </c>
      <c r="E33" s="2" t="inlineStr">
        <is>
          <t>I016</t>
        </is>
      </c>
      <c r="F33" s="5" t="n">
        <v>8970</v>
      </c>
      <c r="G33" s="5" t="n">
        <v>7777</v>
      </c>
      <c r="H33" s="5" t="n">
        <v>129.617</v>
      </c>
      <c r="I33" s="5" t="n">
        <v>145</v>
      </c>
      <c r="J33" s="16">
        <f>IFERROR(G33/F33,"")</f>
        <v/>
      </c>
    </row>
    <row r="34">
      <c r="A34" s="2" t="inlineStr">
        <is>
          <t>I017BA</t>
        </is>
      </c>
      <c r="B34" s="2" t="inlineStr">
        <is>
          <t>Bachelorprogram Institutt/enhet 2 - Teknologi og realfag</t>
        </is>
      </c>
      <c r="C34" s="2" t="inlineStr">
        <is>
          <t>Bachelor</t>
        </is>
      </c>
      <c r="D34" s="2" t="inlineStr">
        <is>
          <t>FAK-TR</t>
        </is>
      </c>
      <c r="E34" s="2" t="inlineStr">
        <is>
          <t>I017</t>
        </is>
      </c>
      <c r="F34" s="5" t="n">
        <v>20240</v>
      </c>
      <c r="G34" s="5" t="n">
        <v>17521.3</v>
      </c>
      <c r="H34" s="5" t="n">
        <v>292.021</v>
      </c>
      <c r="I34" s="5" t="n">
        <v>346</v>
      </c>
      <c r="J34" s="16">
        <f>IFERROR(G34/F34,"")</f>
        <v/>
      </c>
    </row>
    <row r="35">
      <c r="A35" s="2" t="inlineStr">
        <is>
          <t>I017MA</t>
        </is>
      </c>
      <c r="B35" s="2" t="inlineStr">
        <is>
          <t>Masterprogram Institutt/enhet 2 - Teknologi og realfag</t>
        </is>
      </c>
      <c r="C35" s="2" t="inlineStr">
        <is>
          <t>Master</t>
        </is>
      </c>
      <c r="D35" s="2" t="inlineStr">
        <is>
          <t>FAK-TR</t>
        </is>
      </c>
      <c r="E35" s="2" t="inlineStr">
        <is>
          <t>I017</t>
        </is>
      </c>
      <c r="F35" s="5" t="n">
        <v>8115</v>
      </c>
      <c r="G35" s="5" t="n">
        <v>6984</v>
      </c>
      <c r="H35" s="5" t="n">
        <v>116.4</v>
      </c>
      <c r="I35" s="5" t="n">
        <v>137</v>
      </c>
      <c r="J35" s="16">
        <f>IFERROR(G35/F35,"")</f>
        <v/>
      </c>
    </row>
    <row r="36">
      <c r="A36" s="2" t="inlineStr">
        <is>
          <t>I018BA</t>
        </is>
      </c>
      <c r="B36" s="2" t="inlineStr">
        <is>
          <t>Bachelorprogram Institutt/enhet 3 - Teknologi og realfag</t>
        </is>
      </c>
      <c r="C36" s="2" t="inlineStr">
        <is>
          <t>Bachelor</t>
        </is>
      </c>
      <c r="D36" s="2" t="inlineStr">
        <is>
          <t>FAK-TR</t>
        </is>
      </c>
      <c r="E36" s="2" t="inlineStr">
        <is>
          <t>I018</t>
        </is>
      </c>
      <c r="F36" s="5" t="n">
        <v>12550</v>
      </c>
      <c r="G36" s="5" t="n">
        <v>11009</v>
      </c>
      <c r="H36" s="5" t="n">
        <v>183.485</v>
      </c>
      <c r="I36" s="5" t="n">
        <v>213</v>
      </c>
      <c r="J36" s="16">
        <f>IFERROR(G36/F36,"")</f>
        <v/>
      </c>
    </row>
    <row r="37">
      <c r="A37" s="2" t="inlineStr">
        <is>
          <t>I018MA</t>
        </is>
      </c>
      <c r="B37" s="2" t="inlineStr">
        <is>
          <t>Masterprogram Institutt/enhet 3 - Teknologi og realfag</t>
        </is>
      </c>
      <c r="C37" s="2" t="inlineStr">
        <is>
          <t>Master</t>
        </is>
      </c>
      <c r="D37" s="2" t="inlineStr">
        <is>
          <t>FAK-TR</t>
        </is>
      </c>
      <c r="E37" s="2" t="inlineStr">
        <is>
          <t>I018</t>
        </is>
      </c>
      <c r="F37" s="5" t="n">
        <v>7365</v>
      </c>
      <c r="G37" s="5" t="n">
        <v>6353.3</v>
      </c>
      <c r="H37" s="5" t="n">
        <v>105.891</v>
      </c>
      <c r="I37" s="5" t="n">
        <v>122</v>
      </c>
      <c r="J37" s="16">
        <f>IFERROR(G37/F37,"")</f>
        <v/>
      </c>
    </row>
  </sheetData>
  <conditionalFormatting sqref="J2:J37">
    <cfRule type="expression" priority="1" dxfId="54">
      <formula>$J2&lt;0.8</formula>
    </cfRule>
    <cfRule type="expression" priority="2" dxfId="58">
      <formula>AND($J2&gt;=0.8,$J2&lt;0.9)</formula>
    </cfRule>
    <cfRule type="expression" priority="3" dxfId="55">
      <formula>$J2&gt;=0.9</formula>
    </cfRule>
  </conditionalFormatting>
  <conditionalFormatting sqref="H2:H37">
    <cfRule type="dataBar" priority="4">
      <dataBar>
        <cfvo type="min"/>
        <cfvo type="max"/>
        <color rgb="FF638EC6"/>
      </dataBar>
    </cfRule>
  </conditionalFormatting>
  <conditionalFormatting sqref="I2:I37">
    <cfRule type="dataBar" priority="5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:H1"/>
    </sheetView>
  </sheetViews>
  <sheetFormatPr baseColWidth="8" defaultRowHeight="14.5"/>
  <cols>
    <col width="9.54296875" bestFit="1" customWidth="1" style="6" min="1" max="1"/>
    <col width="10.08984375" bestFit="1" customWidth="1" style="6" min="2" max="3"/>
    <col width="20.7265625" customWidth="1" style="6" min="4" max="4"/>
    <col width="9.90625" bestFit="1" customWidth="1" style="6" min="5" max="5"/>
    <col width="13.90625" bestFit="1" customWidth="1" style="6" min="6" max="6"/>
    <col width="8" bestFit="1" customWidth="1" style="6" min="7" max="7"/>
    <col width="14.54296875" bestFit="1" customWidth="1" style="6" min="8" max="8"/>
    <col width="27.26953125" customWidth="1" style="22" min="9" max="10"/>
    <col width="15" bestFit="1" customWidth="1" style="6" min="11" max="11"/>
    <col width="16.90625" bestFit="1" customWidth="1" style="6" min="12" max="12"/>
    <col width="16.54296875" bestFit="1" customWidth="1" style="6" min="13" max="13"/>
    <col width="16" bestFit="1" customWidth="1" style="6" min="14" max="14"/>
    <col width="15.453125" bestFit="1" customWidth="1" style="6" min="15" max="15"/>
    <col width="10.81640625" bestFit="1" customWidth="1" style="6" min="16" max="16"/>
    <col width="9.81640625" bestFit="1" customWidth="1" style="6" min="17" max="17"/>
    <col width="15.08984375" bestFit="1" customWidth="1" style="6" min="18" max="18"/>
  </cols>
  <sheetData>
    <row r="1">
      <c r="A1" t="inlineStr">
        <is>
          <t>TiltakID</t>
        </is>
      </c>
      <c r="B1" t="inlineStr">
        <is>
          <t>Organisasjonsnokkel</t>
        </is>
      </c>
      <c r="C1" t="inlineStr">
        <is>
          <t>Prosjekt</t>
        </is>
      </c>
      <c r="D1" t="inlineStr">
        <is>
          <t>Konto</t>
        </is>
      </c>
      <c r="E1" t="inlineStr">
        <is>
          <t>Avviksarsak</t>
        </is>
      </c>
      <c r="F1" t="inlineStr">
        <is>
          <t>Tiltaksbeskrivelse</t>
        </is>
      </c>
      <c r="G1" t="inlineStr">
        <is>
          <t>AnsvarligRolle</t>
        </is>
      </c>
      <c r="H1" t="inlineStr">
        <is>
          <t>StartDatoNokkel</t>
        </is>
      </c>
      <c r="I1" t="inlineStr">
        <is>
          <t>FristDatoNokkel</t>
        </is>
      </c>
      <c r="J1" t="inlineStr">
        <is>
          <t>ForventetEffekt</t>
        </is>
      </c>
      <c r="K1" t="inlineStr">
        <is>
          <t>RealisertEffekt</t>
        </is>
      </c>
      <c r="L1" t="inlineStr">
        <is>
          <t>Status</t>
        </is>
      </c>
      <c r="M1" t="inlineStr">
        <is>
          <t>Prioritet</t>
        </is>
      </c>
      <c r="N1" t="inlineStr">
        <is>
          <t>Sannsynlighet</t>
        </is>
      </c>
      <c r="O1" t="inlineStr">
        <is>
          <t>UseCasesRef</t>
        </is>
      </c>
    </row>
    <row r="2">
      <c r="A2" t="inlineStr">
        <is>
          <t>T001</t>
        </is>
      </c>
      <c r="B2" t="inlineStr">
        <is>
          <t>I013K1</t>
        </is>
      </c>
      <c r="C2" t="inlineStr">
        <is>
          <t>DRIFT</t>
        </is>
      </c>
      <c r="D2" t="n">
        <v>5000</v>
      </c>
      <c r="E2" t="inlineStr">
        <is>
          <t>Fallende studenttall og lavere ECTS-inntekt</t>
        </is>
      </c>
      <c r="F2" t="inlineStr">
        <is>
          <t>Ansettelsesstopp og vakansestyring ved I013</t>
        </is>
      </c>
      <c r="G2" t="inlineStr">
        <is>
          <t>Dekan / Instituttleder</t>
        </is>
      </c>
      <c r="H2" t="n">
        <v>20260401</v>
      </c>
      <c r="I2" t="n">
        <v>20261231</v>
      </c>
      <c r="J2" t="n">
        <v>850000</v>
      </c>
      <c r="K2" t="n">
        <v>420000</v>
      </c>
      <c r="L2" t="inlineStr">
        <is>
          <t>Pågår</t>
        </is>
      </c>
      <c r="M2" t="inlineStr">
        <is>
          <t>Høy</t>
        </is>
      </c>
      <c r="N2" t="n">
        <v>0.85</v>
      </c>
      <c r="O2" t="inlineStr">
        <is>
          <t>Use Case: Fallende studiepoeng</t>
        </is>
      </c>
    </row>
    <row r="3">
      <c r="A3" t="inlineStr">
        <is>
          <t>T002</t>
        </is>
      </c>
      <c r="B3" t="inlineStr">
        <is>
          <t>I016K1</t>
        </is>
      </c>
      <c r="C3" t="inlineStr">
        <is>
          <t>INV001</t>
        </is>
      </c>
      <c r="D3" t="n">
        <v>2080</v>
      </c>
      <c r="E3" t="inlineStr">
        <is>
          <t>Akkumulert avsetning over 5 %-grensen (F-05-20)</t>
        </is>
      </c>
      <c r="F3" t="inlineStr">
        <is>
          <t>Utarbeide forpliktende investeringsplan for labutstyr</t>
        </is>
      </c>
      <c r="G3" t="inlineStr">
        <is>
          <t>Controller / Instituttleder</t>
        </is>
      </c>
      <c r="H3" t="n">
        <v>20260501</v>
      </c>
      <c r="I3" t="n">
        <v>20261031</v>
      </c>
      <c r="J3" t="n">
        <v>2400000</v>
      </c>
      <c r="K3" t="n">
        <v>1800000</v>
      </c>
      <c r="L3" t="inlineStr">
        <is>
          <t>Gjennomført</t>
        </is>
      </c>
      <c r="M3" t="inlineStr">
        <is>
          <t>Høy</t>
        </is>
      </c>
      <c r="N3" t="n">
        <v>0.9</v>
      </c>
      <c r="O3" t="inlineStr">
        <is>
          <t>Use Case 1: F-05-20 Avsetningskontroll</t>
        </is>
      </c>
    </row>
    <row r="4">
      <c r="A4" t="inlineStr">
        <is>
          <t>T003</t>
        </is>
      </c>
      <c r="B4" t="inlineStr">
        <is>
          <t>I016K2</t>
        </is>
      </c>
      <c r="C4" t="inlineStr">
        <is>
          <t>NFR001</t>
        </is>
      </c>
      <c r="D4" t="n">
        <v>2180</v>
      </c>
      <c r="E4" t="inlineStr">
        <is>
          <t>Forsinket stipendiatrekruttering og lav fremdrift</t>
        </is>
      </c>
      <c r="F4" t="inlineStr">
        <is>
          <t>Rerekruttering og framdriftsoppfølging NFR001</t>
        </is>
      </c>
      <c r="G4" t="inlineStr">
        <is>
          <t>Prosjektleder</t>
        </is>
      </c>
      <c r="H4" t="n">
        <v>20260301</v>
      </c>
      <c r="I4" t="n">
        <v>20260930</v>
      </c>
      <c r="J4" t="n">
        <v>600000</v>
      </c>
      <c r="K4" t="n">
        <v>300000</v>
      </c>
      <c r="L4" t="inlineStr">
        <is>
          <t>Pågår</t>
        </is>
      </c>
      <c r="M4" t="inlineStr">
        <is>
          <t>Middels</t>
        </is>
      </c>
      <c r="N4" t="n">
        <v>0.75</v>
      </c>
      <c r="O4" t="inlineStr">
        <is>
          <t>Use Case 2: SRS 10 Prosjektkontroll</t>
        </is>
      </c>
    </row>
    <row r="5">
      <c r="A5" t="inlineStr">
        <is>
          <t>T004</t>
        </is>
      </c>
      <c r="B5" t="inlineStr">
        <is>
          <t>I001K2</t>
        </is>
      </c>
      <c r="C5" t="inlineStr">
        <is>
          <t>EVU001</t>
        </is>
      </c>
      <c r="D5" t="n">
        <v>7790</v>
      </c>
      <c r="E5" t="inlineStr">
        <is>
          <t>Konsulentmerforbruk og tapsrisiko på oppdrag</t>
        </is>
      </c>
      <c r="F5" t="inlineStr">
        <is>
          <t>Sikre tilleggsavtale med oppdragsgiver EVU</t>
        </is>
      </c>
      <c r="G5" t="inlineStr">
        <is>
          <t>Prosjektleder / Controller</t>
        </is>
      </c>
      <c r="H5" t="n">
        <v>20260601</v>
      </c>
      <c r="I5" t="n">
        <v>20261130</v>
      </c>
      <c r="J5" t="n">
        <v>150000</v>
      </c>
      <c r="K5" t="n">
        <v>0</v>
      </c>
      <c r="L5" t="inlineStr">
        <is>
          <t>Forsinket</t>
        </is>
      </c>
      <c r="M5" t="inlineStr">
        <is>
          <t>Høy</t>
        </is>
      </c>
      <c r="N5" t="n">
        <v>0.6</v>
      </c>
      <c r="O5" t="inlineStr">
        <is>
          <t>Use Case 3: SRS 9 Tapsoppfølging</t>
        </is>
      </c>
    </row>
    <row r="6">
      <c r="A6" t="inlineStr">
        <is>
          <t>T005</t>
        </is>
      </c>
      <c r="B6" t="inlineStr">
        <is>
          <t>I016K1</t>
        </is>
      </c>
      <c r="C6" t="inlineStr">
        <is>
          <t>DRIFT</t>
        </is>
      </c>
      <c r="D6" t="n">
        <v>6710</v>
      </c>
      <c r="E6" t="inlineStr">
        <is>
          <t>Ulovlig direkteanskaffelse &gt; 500k kr uten anbud</t>
        </is>
      </c>
      <c r="F6" t="inlineStr">
        <is>
          <t>Overføre avtale til Innkjøpskontoret for minikonkurranse</t>
        </is>
      </c>
      <c r="G6" t="inlineStr">
        <is>
          <t>Innkjøpsansvarlig</t>
        </is>
      </c>
      <c r="H6" t="n">
        <v>20260515</v>
      </c>
      <c r="I6" t="n">
        <v>20260831</v>
      </c>
      <c r="J6" t="n">
        <v>0</v>
      </c>
      <c r="K6" t="n">
        <v>0</v>
      </c>
      <c r="L6" t="inlineStr">
        <is>
          <t>Gjennomført</t>
        </is>
      </c>
      <c r="M6" t="inlineStr">
        <is>
          <t>Høy</t>
        </is>
      </c>
      <c r="N6" t="n">
        <v>0.95</v>
      </c>
      <c r="O6" t="inlineStr">
        <is>
          <t>Use Case 5: FOA Innkjøpsavvik</t>
        </is>
      </c>
    </row>
    <row r="7">
      <c r="A7" t="inlineStr">
        <is>
          <t>T006</t>
        </is>
      </c>
      <c r="B7" t="inlineStr">
        <is>
          <t>I004K1</t>
        </is>
      </c>
      <c r="C7" t="inlineStr">
        <is>
          <t>DRIFT</t>
        </is>
      </c>
      <c r="D7" t="n">
        <v>5050</v>
      </c>
      <c r="E7" t="inlineStr">
        <is>
          <t>Høyt sykefravær og overtid praksisoppfølging</t>
        </is>
      </c>
      <c r="F7" t="inlineStr">
        <is>
          <t>Etablere vikarpooldeling med Sørlandet Sykehus</t>
        </is>
      </c>
      <c r="G7" t="inlineStr">
        <is>
          <t>Instituttleder / HR</t>
        </is>
      </c>
      <c r="H7" t="n">
        <v>20260401</v>
      </c>
      <c r="I7" t="n">
        <v>20261231</v>
      </c>
      <c r="J7" t="n">
        <v>350000</v>
      </c>
      <c r="K7" t="n">
        <v>180000</v>
      </c>
      <c r="L7" t="inlineStr">
        <is>
          <t>Pågår</t>
        </is>
      </c>
      <c r="M7" t="inlineStr">
        <is>
          <t>Middels</t>
        </is>
      </c>
      <c r="N7" t="n">
        <v>0.7</v>
      </c>
      <c r="O7" t="inlineStr">
        <is>
          <t>Use Case 6: Lønnsavvik</t>
        </is>
      </c>
    </row>
  </sheetData>
  <conditionalFormatting sqref="P2:P17">
    <cfRule type="expression" priority="1" dxfId="54">
      <formula>$P2="Forsinket"</formula>
    </cfRule>
    <cfRule type="expression" priority="2" dxfId="58">
      <formula>$P2="Pagar"</formula>
    </cfRule>
    <cfRule type="expression" priority="3" dxfId="55">
      <formula>$P2="Gjennomfort"</formula>
    </cfRule>
    <cfRule type="expression" priority="4" dxfId="56">
      <formula>$P2="Planlagt"</formula>
    </cfRule>
  </conditionalFormatting>
  <conditionalFormatting sqref="N2:N17">
    <cfRule type="dataBar" priority="5">
      <dataBar>
        <cfvo type="min"/>
        <cfvo type="max"/>
        <color rgb="FF638EC6"/>
      </dataBar>
    </cfRule>
  </conditionalFormatting>
  <conditionalFormatting sqref="O2:O17">
    <cfRule type="dataBar" priority="6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4.5"/>
  <cols>
    <col width="10.81640625" bestFit="1" customWidth="1" style="6" min="1" max="1"/>
    <col width="16" bestFit="1" customWidth="1" style="6" min="2" max="2"/>
    <col width="15.453125" bestFit="1" customWidth="1" style="6" min="3" max="3"/>
    <col width="8.1796875" bestFit="1" customWidth="1" style="6" min="4" max="4"/>
  </cols>
  <sheetData>
    <row r="1">
      <c r="A1" s="4" t="inlineStr">
        <is>
          <t>Status</t>
        </is>
      </c>
      <c r="B1" s="4" t="inlineStr">
        <is>
          <t>ForventetEffekt</t>
        </is>
      </c>
      <c r="C1" s="4" t="inlineStr">
        <is>
          <t>RealisertEffekt</t>
        </is>
      </c>
      <c r="D1" s="4" t="inlineStr">
        <is>
          <t>Antall</t>
        </is>
      </c>
    </row>
    <row r="2">
      <c r="A2" s="2" t="inlineStr">
        <is>
          <t>Forsinket</t>
        </is>
      </c>
      <c r="B2" s="5" t="n">
        <v>-2565000</v>
      </c>
      <c r="C2" s="5" t="n">
        <v>-1128517.3</v>
      </c>
      <c r="D2" s="5" t="n">
        <v>4</v>
      </c>
    </row>
    <row r="3">
      <c r="A3" s="2" t="inlineStr">
        <is>
          <t>Gjennomfort</t>
        </is>
      </c>
      <c r="B3" s="5" t="n">
        <v>-1907000</v>
      </c>
      <c r="C3" s="5" t="n">
        <v>-1145489.65</v>
      </c>
      <c r="D3" s="5" t="n">
        <v>4</v>
      </c>
    </row>
    <row r="4">
      <c r="A4" s="2" t="inlineStr">
        <is>
          <t>Pagar</t>
        </is>
      </c>
      <c r="B4" s="5" t="n">
        <v>-3579000</v>
      </c>
      <c r="C4" s="5" t="n">
        <v>-1984262.4</v>
      </c>
      <c r="D4" s="5" t="n">
        <v>5</v>
      </c>
    </row>
    <row r="5">
      <c r="A5" s="2" t="inlineStr">
        <is>
          <t>Planlagt</t>
        </is>
      </c>
      <c r="B5" s="5" t="n">
        <v>-1954000</v>
      </c>
      <c r="C5" s="5" t="n">
        <v>-1303812.31</v>
      </c>
      <c r="D5" s="5" t="n">
        <v>3</v>
      </c>
    </row>
  </sheetData>
  <conditionalFormatting sqref="A2:A5">
    <cfRule type="expression" priority="1" dxfId="54">
      <formula>$A2="Forsinket"</formula>
    </cfRule>
    <cfRule type="expression" priority="2" dxfId="58">
      <formula>$A2="Pagar"</formula>
    </cfRule>
    <cfRule type="expression" priority="3" dxfId="55">
      <formula>$A2="Gjennomfort"</formula>
    </cfRule>
    <cfRule type="expression" priority="4" dxfId="56">
      <formula>$A2="Planlagt"</formula>
    </cfRule>
  </conditionalFormatting>
  <conditionalFormatting sqref="B2:B5">
    <cfRule type="dataBar" priority="5">
      <dataBar>
        <cfvo type="min"/>
        <cfvo type="max"/>
        <color rgb="FF638EC6"/>
      </dataBar>
    </cfRule>
  </conditionalFormatting>
  <conditionalFormatting sqref="C2:C5">
    <cfRule type="dataBar" priority="6">
      <dataBar>
        <cfvo type="min"/>
        <cfvo type="max"/>
        <color rgb="FF638EC6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4.5"/>
  <cols>
    <col width="65.7265625" bestFit="1" customWidth="1" style="6" min="1" max="1"/>
    <col width="12.08984375" bestFit="1" customWidth="1" style="6" min="2" max="2"/>
    <col width="10.453125" bestFit="1" customWidth="1" style="6" min="3" max="3"/>
  </cols>
  <sheetData>
    <row r="1">
      <c r="A1" s="4" t="inlineStr">
        <is>
          <t>Relasjon</t>
        </is>
      </c>
      <c r="B1" s="4" t="inlineStr">
        <is>
          <t>Faktarader</t>
        </is>
      </c>
      <c r="C1" s="4" t="inlineStr">
        <is>
          <t>Orphans</t>
        </is>
      </c>
      <c r="D1" s="4" t="inlineStr">
        <is>
          <t>Status</t>
        </is>
      </c>
      <c r="F1" s="8" t="inlineStr">
        <is>
          <t>QA Status</t>
        </is>
      </c>
      <c r="G1" s="8" t="inlineStr">
        <is>
          <t>Relasjonstester</t>
        </is>
      </c>
      <c r="H1" s="8" t="inlineStr">
        <is>
          <t>Orphans</t>
        </is>
      </c>
    </row>
    <row r="2">
      <c r="A2" s="2" t="inlineStr">
        <is>
          <t>DimDate[DatoNokkel] → FactGL[DatoNokkel]</t>
        </is>
      </c>
      <c r="B2" s="2" t="n">
        <v>35760</v>
      </c>
      <c r="C2" s="2" t="n">
        <v>0</v>
      </c>
      <c r="D2" s="2" t="inlineStr">
        <is>
          <t>OK</t>
        </is>
      </c>
      <c r="F2" s="25">
        <f>IF(SUM(C2:C23)=0,"PASS","FAIL")</f>
        <v/>
      </c>
      <c r="G2">
        <f>ROWS(A2:A23)</f>
        <v/>
      </c>
      <c r="H2">
        <f>SUM(C2:C23)</f>
        <v/>
      </c>
    </row>
    <row r="3">
      <c r="A3" s="2" t="inlineStr">
        <is>
          <t>DimOrganization[Organisasjonsnokkel] → FactGL[Organisasjonsnokkel]</t>
        </is>
      </c>
      <c r="B3" s="2" t="n">
        <v>35760</v>
      </c>
      <c r="C3" s="2" t="n">
        <v>0</v>
      </c>
      <c r="D3" s="2" t="inlineStr">
        <is>
          <t>OK</t>
        </is>
      </c>
    </row>
    <row r="4">
      <c r="A4" s="2" t="inlineStr">
        <is>
          <t>DimAccount[Konto] → FactGL[Konto]</t>
        </is>
      </c>
      <c r="B4" s="2" t="n">
        <v>35760</v>
      </c>
      <c r="C4" s="2" t="n">
        <v>0</v>
      </c>
      <c r="D4" s="2" t="inlineStr">
        <is>
          <t>OK</t>
        </is>
      </c>
    </row>
    <row r="5">
      <c r="A5" s="2" t="inlineStr">
        <is>
          <t>DimProject[Prosjekt] → FactGL[Prosjekt]</t>
        </is>
      </c>
      <c r="B5" s="2" t="n">
        <v>35760</v>
      </c>
      <c r="C5" s="2" t="n">
        <v>0</v>
      </c>
      <c r="D5" s="2" t="inlineStr">
        <is>
          <t>OK</t>
        </is>
      </c>
    </row>
    <row r="6">
      <c r="A6" s="2" t="inlineStr">
        <is>
          <t>DimDate[DatoNokkel] → FactBudget[DatoNokkel]</t>
        </is>
      </c>
      <c r="B6" s="2" t="n">
        <v>17760</v>
      </c>
      <c r="C6" s="2" t="n">
        <v>0</v>
      </c>
      <c r="D6" s="2" t="inlineStr">
        <is>
          <t>OK</t>
        </is>
      </c>
    </row>
    <row r="7">
      <c r="A7" s="2" t="inlineStr">
        <is>
          <t>DimOrganization[Organisasjonsnokkel] → FactBudget[Organisasjonsnokkel]</t>
        </is>
      </c>
      <c r="B7" s="2" t="n">
        <v>17760</v>
      </c>
      <c r="C7" s="2" t="n">
        <v>0</v>
      </c>
      <c r="D7" s="2" t="inlineStr">
        <is>
          <t>OK</t>
        </is>
      </c>
    </row>
    <row r="8">
      <c r="A8" s="2" t="inlineStr">
        <is>
          <t>DimAccount[Konto] → FactBudget[Konto]</t>
        </is>
      </c>
      <c r="B8" s="2" t="n">
        <v>17760</v>
      </c>
      <c r="C8" s="2" t="n">
        <v>0</v>
      </c>
      <c r="D8" s="2" t="inlineStr">
        <is>
          <t>OK</t>
        </is>
      </c>
    </row>
    <row r="9">
      <c r="A9" s="2" t="inlineStr">
        <is>
          <t>DimProject[Prosjekt] → FactBudget[Prosjekt]</t>
        </is>
      </c>
      <c r="B9" s="2" t="n">
        <v>17760</v>
      </c>
      <c r="C9" s="2" t="n">
        <v>0</v>
      </c>
      <c r="D9" s="2" t="inlineStr">
        <is>
          <t>OK</t>
        </is>
      </c>
    </row>
    <row r="10">
      <c r="A10" s="2" t="inlineStr">
        <is>
          <t>DimDate[DatoNokkel] → FactForecast[DatoNokkel]</t>
        </is>
      </c>
      <c r="B10" s="2" t="n">
        <v>53280</v>
      </c>
      <c r="C10" s="2" t="n">
        <v>0</v>
      </c>
      <c r="D10" s="2" t="inlineStr">
        <is>
          <t>OK</t>
        </is>
      </c>
    </row>
    <row r="11">
      <c r="A11" s="2" t="inlineStr">
        <is>
          <t>DimOrganization[Organisasjonsnokkel] → FactForecast[Organisasjonsnokkel]</t>
        </is>
      </c>
      <c r="B11" s="2" t="n">
        <v>53280</v>
      </c>
      <c r="C11" s="2" t="n">
        <v>0</v>
      </c>
      <c r="D11" s="2" t="inlineStr">
        <is>
          <t>OK</t>
        </is>
      </c>
    </row>
    <row r="12">
      <c r="A12" s="2" t="inlineStr">
        <is>
          <t>DimAccount[Konto] → FactForecast[Konto]</t>
        </is>
      </c>
      <c r="B12" s="2" t="n">
        <v>53280</v>
      </c>
      <c r="C12" s="2" t="n">
        <v>0</v>
      </c>
      <c r="D12" s="2" t="inlineStr">
        <is>
          <t>OK</t>
        </is>
      </c>
    </row>
    <row r="13">
      <c r="A13" s="2" t="inlineStr">
        <is>
          <t>DimProject[Prosjekt] → FactForecast[Prosjekt]</t>
        </is>
      </c>
      <c r="B13" s="2" t="n">
        <v>53280</v>
      </c>
      <c r="C13" s="2" t="n">
        <v>0</v>
      </c>
      <c r="D13" s="2" t="inlineStr">
        <is>
          <t>OK</t>
        </is>
      </c>
    </row>
    <row r="14">
      <c r="A14" s="2" t="inlineStr">
        <is>
          <t>DimForecastVersion[Versjon] → FactForecast[Versjon]</t>
        </is>
      </c>
      <c r="B14" s="2" t="n">
        <v>53280</v>
      </c>
      <c r="C14" s="2" t="n">
        <v>0</v>
      </c>
      <c r="D14" s="2" t="inlineStr">
        <is>
          <t>OK</t>
        </is>
      </c>
    </row>
    <row r="15">
      <c r="A15" s="2" t="inlineStr">
        <is>
          <t>DimDate[DatoNokkel] → FactFTE[DatoNokkel]</t>
        </is>
      </c>
      <c r="B15" s="2" t="n">
        <v>1200</v>
      </c>
      <c r="C15" s="2" t="n">
        <v>0</v>
      </c>
      <c r="D15" s="2" t="inlineStr">
        <is>
          <t>OK</t>
        </is>
      </c>
    </row>
    <row r="16">
      <c r="A16" s="2" t="inlineStr">
        <is>
          <t>DimOrganization[Organisasjonsnokkel] → FactFTE[Organisasjonsnokkel]</t>
        </is>
      </c>
      <c r="B16" s="2" t="n">
        <v>1200</v>
      </c>
      <c r="C16" s="2" t="n">
        <v>0</v>
      </c>
      <c r="D16" s="2" t="inlineStr">
        <is>
          <t>OK</t>
        </is>
      </c>
    </row>
    <row r="17">
      <c r="A17" s="2" t="inlineStr">
        <is>
          <t>DimDate[DatoNokkel] → FactStudyPoints[DatoNokkel]</t>
        </is>
      </c>
      <c r="B17" s="2" t="n">
        <v>432</v>
      </c>
      <c r="C17" s="2" t="n">
        <v>0</v>
      </c>
      <c r="D17" s="2" t="inlineStr">
        <is>
          <t>OK</t>
        </is>
      </c>
    </row>
    <row r="18">
      <c r="A18" s="2" t="inlineStr">
        <is>
          <t>DimOrganization[Organisasjonsnokkel] → FactStudyPoints[Organisasjonsnokkel]</t>
        </is>
      </c>
      <c r="B18" s="2" t="n">
        <v>432</v>
      </c>
      <c r="C18" s="2" t="n">
        <v>0</v>
      </c>
      <c r="D18" s="2" t="inlineStr">
        <is>
          <t>OK</t>
        </is>
      </c>
    </row>
    <row r="19">
      <c r="A19" s="2" t="inlineStr">
        <is>
          <t>DimPositionGroup[Stillingsgruppe] → FactFTE[Stillingsgruppe]</t>
        </is>
      </c>
      <c r="B19" s="2" t="n">
        <v>1200</v>
      </c>
      <c r="C19" s="2" t="n">
        <v>0</v>
      </c>
      <c r="D19" s="2" t="inlineStr">
        <is>
          <t>OK</t>
        </is>
      </c>
    </row>
    <row r="20">
      <c r="A20" s="2" t="inlineStr">
        <is>
          <t>DimStudyProgram[Studieprogram] → FactStudyPoints[Studieprogram]</t>
        </is>
      </c>
      <c r="B20" s="2" t="n">
        <v>432</v>
      </c>
      <c r="C20" s="2" t="n">
        <v>0</v>
      </c>
      <c r="D20" s="2" t="inlineStr">
        <is>
          <t>OK</t>
        </is>
      </c>
    </row>
    <row r="21">
      <c r="A21" s="2" t="inlineStr">
        <is>
          <t>DimOrganization[Organisasjonsnokkel] → FactAction[Organisasjonsnokkel]</t>
        </is>
      </c>
      <c r="B21" s="2" t="n">
        <v>16</v>
      </c>
      <c r="C21" s="2" t="n">
        <v>0</v>
      </c>
      <c r="D21" s="2" t="inlineStr">
        <is>
          <t>OK</t>
        </is>
      </c>
    </row>
    <row r="22">
      <c r="A22" s="2" t="inlineStr">
        <is>
          <t>DimAccount[Konto] → FactAction[Konto]</t>
        </is>
      </c>
      <c r="B22" s="2" t="n">
        <v>16</v>
      </c>
      <c r="C22" s="2" t="n">
        <v>0</v>
      </c>
      <c r="D22" s="2" t="inlineStr">
        <is>
          <t>OK</t>
        </is>
      </c>
    </row>
    <row r="23">
      <c r="A23" s="2" t="inlineStr">
        <is>
          <t>DimProject[Prosjekt] → FactAction[Prosjekt]</t>
        </is>
      </c>
      <c r="B23" s="2" t="n">
        <v>16</v>
      </c>
      <c r="C23" s="2" t="n">
        <v>0</v>
      </c>
      <c r="D23" s="2" t="inlineStr">
        <is>
          <t>OK</t>
        </is>
      </c>
    </row>
  </sheetData>
  <conditionalFormatting sqref="F2">
    <cfRule type="expression" priority="1" dxfId="55">
      <formula>$F$2="PASS"</formula>
    </cfRule>
    <cfRule type="expression" priority="2" dxfId="54">
      <formula>$F$2="FAIL"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4.5"/>
  <cols>
    <col width="17.26953125" bestFit="1" customWidth="1" style="6" min="1" max="1"/>
    <col width="17.81640625" bestFit="1" customWidth="1" style="6" min="2" max="2"/>
    <col width="13.6328125" bestFit="1" customWidth="1" style="6" min="3" max="3"/>
    <col width="17.81640625" bestFit="1" customWidth="1" style="6" min="4" max="4"/>
    <col width="12.81640625" customWidth="1" style="6" min="5" max="5"/>
    <col width="14.81640625" bestFit="1" customWidth="1" style="6" min="6" max="6"/>
  </cols>
  <sheetData>
    <row r="1">
      <c r="A1" s="4" t="inlineStr">
        <is>
          <t>FraTabell</t>
        </is>
      </c>
      <c r="B1" s="4" t="inlineStr">
        <is>
          <t>FraKolonne</t>
        </is>
      </c>
      <c r="C1" s="4" t="inlineStr">
        <is>
          <t>TilTabell</t>
        </is>
      </c>
      <c r="D1" s="4" t="inlineStr">
        <is>
          <t>TilKolonne</t>
        </is>
      </c>
      <c r="E1" s="4" t="inlineStr">
        <is>
          <t>Kardinalitet</t>
        </is>
      </c>
      <c r="F1" s="4" t="inlineStr">
        <is>
          <t>Kryssfiltrering</t>
        </is>
      </c>
      <c r="G1" s="4" t="inlineStr">
        <is>
          <t>Status</t>
        </is>
      </c>
    </row>
    <row r="2">
      <c r="A2" s="2" t="inlineStr">
        <is>
          <t>DimDate</t>
        </is>
      </c>
      <c r="B2" s="2" t="inlineStr">
        <is>
          <t>DatoNokkel</t>
        </is>
      </c>
      <c r="C2" s="2" t="inlineStr">
        <is>
          <t>FactGL</t>
        </is>
      </c>
      <c r="D2" s="2" t="inlineStr">
        <is>
          <t>DatoNokkel</t>
        </is>
      </c>
      <c r="E2" s="2" t="inlineStr">
        <is>
          <t>1:*</t>
        </is>
      </c>
      <c r="F2" s="2" t="inlineStr">
        <is>
          <t>Single</t>
        </is>
      </c>
      <c r="G2" s="2" t="inlineStr">
        <is>
          <t>Active</t>
        </is>
      </c>
    </row>
    <row r="3">
      <c r="A3" s="2" t="inlineStr">
        <is>
          <t>DimOrganization</t>
        </is>
      </c>
      <c r="B3" s="2" t="inlineStr">
        <is>
          <t>Organisasjonsnokkel</t>
        </is>
      </c>
      <c r="C3" s="2" t="inlineStr">
        <is>
          <t>FactGL</t>
        </is>
      </c>
      <c r="D3" s="2" t="inlineStr">
        <is>
          <t>Organisasjonsnokkel</t>
        </is>
      </c>
      <c r="E3" s="2" t="inlineStr">
        <is>
          <t>1:*</t>
        </is>
      </c>
      <c r="F3" s="2" t="inlineStr">
        <is>
          <t>Single</t>
        </is>
      </c>
      <c r="G3" s="2" t="inlineStr">
        <is>
          <t>Active</t>
        </is>
      </c>
    </row>
    <row r="4">
      <c r="A4" s="2" t="inlineStr">
        <is>
          <t>DimAccount</t>
        </is>
      </c>
      <c r="B4" s="2" t="inlineStr">
        <is>
          <t>Konto</t>
        </is>
      </c>
      <c r="C4" s="2" t="inlineStr">
        <is>
          <t>FactGL</t>
        </is>
      </c>
      <c r="D4" s="2" t="inlineStr">
        <is>
          <t>Konto</t>
        </is>
      </c>
      <c r="E4" s="2" t="inlineStr">
        <is>
          <t>1:*</t>
        </is>
      </c>
      <c r="F4" s="2" t="inlineStr">
        <is>
          <t>Single</t>
        </is>
      </c>
      <c r="G4" s="2" t="inlineStr">
        <is>
          <t>Active</t>
        </is>
      </c>
    </row>
    <row r="5">
      <c r="A5" s="2" t="inlineStr">
        <is>
          <t>DimProject</t>
        </is>
      </c>
      <c r="B5" s="2" t="inlineStr">
        <is>
          <t>Prosjekt</t>
        </is>
      </c>
      <c r="C5" s="2" t="inlineStr">
        <is>
          <t>FactGL</t>
        </is>
      </c>
      <c r="D5" s="2" t="inlineStr">
        <is>
          <t>Prosjekt</t>
        </is>
      </c>
      <c r="E5" s="2" t="inlineStr">
        <is>
          <t>1:*</t>
        </is>
      </c>
      <c r="F5" s="2" t="inlineStr">
        <is>
          <t>Single</t>
        </is>
      </c>
      <c r="G5" s="2" t="inlineStr">
        <is>
          <t>Active</t>
        </is>
      </c>
    </row>
    <row r="6">
      <c r="A6" s="2" t="inlineStr">
        <is>
          <t>DimDate</t>
        </is>
      </c>
      <c r="B6" s="2" t="inlineStr">
        <is>
          <t>DatoNokkel</t>
        </is>
      </c>
      <c r="C6" s="2" t="inlineStr">
        <is>
          <t>FactBudget</t>
        </is>
      </c>
      <c r="D6" s="2" t="inlineStr">
        <is>
          <t>DatoNokkel</t>
        </is>
      </c>
      <c r="E6" s="2" t="inlineStr">
        <is>
          <t>1:*</t>
        </is>
      </c>
      <c r="F6" s="2" t="inlineStr">
        <is>
          <t>Single</t>
        </is>
      </c>
      <c r="G6" s="2" t="inlineStr">
        <is>
          <t>Active</t>
        </is>
      </c>
    </row>
    <row r="7">
      <c r="A7" s="2" t="inlineStr">
        <is>
          <t>DimOrganization</t>
        </is>
      </c>
      <c r="B7" s="2" t="inlineStr">
        <is>
          <t>Organisasjonsnokkel</t>
        </is>
      </c>
      <c r="C7" s="2" t="inlineStr">
        <is>
          <t>FactBudget</t>
        </is>
      </c>
      <c r="D7" s="2" t="inlineStr">
        <is>
          <t>Organisasjonsnokkel</t>
        </is>
      </c>
      <c r="E7" s="2" t="inlineStr">
        <is>
          <t>1:*</t>
        </is>
      </c>
      <c r="F7" s="2" t="inlineStr">
        <is>
          <t>Single</t>
        </is>
      </c>
      <c r="G7" s="2" t="inlineStr">
        <is>
          <t>Active</t>
        </is>
      </c>
    </row>
    <row r="8">
      <c r="A8" s="2" t="inlineStr">
        <is>
          <t>DimAccount</t>
        </is>
      </c>
      <c r="B8" s="2" t="inlineStr">
        <is>
          <t>Konto</t>
        </is>
      </c>
      <c r="C8" s="2" t="inlineStr">
        <is>
          <t>FactBudget</t>
        </is>
      </c>
      <c r="D8" s="2" t="inlineStr">
        <is>
          <t>Konto</t>
        </is>
      </c>
      <c r="E8" s="2" t="inlineStr">
        <is>
          <t>1:*</t>
        </is>
      </c>
      <c r="F8" s="2" t="inlineStr">
        <is>
          <t>Single</t>
        </is>
      </c>
      <c r="G8" s="2" t="inlineStr">
        <is>
          <t>Active</t>
        </is>
      </c>
    </row>
    <row r="9">
      <c r="A9" s="2" t="inlineStr">
        <is>
          <t>DimProject</t>
        </is>
      </c>
      <c r="B9" s="2" t="inlineStr">
        <is>
          <t>Prosjekt</t>
        </is>
      </c>
      <c r="C9" s="2" t="inlineStr">
        <is>
          <t>FactBudget</t>
        </is>
      </c>
      <c r="D9" s="2" t="inlineStr">
        <is>
          <t>Prosjekt</t>
        </is>
      </c>
      <c r="E9" s="2" t="inlineStr">
        <is>
          <t>1:*</t>
        </is>
      </c>
      <c r="F9" s="2" t="inlineStr">
        <is>
          <t>Single</t>
        </is>
      </c>
      <c r="G9" s="2" t="inlineStr">
        <is>
          <t>Active</t>
        </is>
      </c>
    </row>
    <row r="10">
      <c r="A10" s="2" t="inlineStr">
        <is>
          <t>DimDate</t>
        </is>
      </c>
      <c r="B10" s="2" t="inlineStr">
        <is>
          <t>DatoNokkel</t>
        </is>
      </c>
      <c r="C10" s="2" t="inlineStr">
        <is>
          <t>FactForecast</t>
        </is>
      </c>
      <c r="D10" s="2" t="inlineStr">
        <is>
          <t>DatoNokkel</t>
        </is>
      </c>
      <c r="E10" s="2" t="inlineStr">
        <is>
          <t>1:*</t>
        </is>
      </c>
      <c r="F10" s="2" t="inlineStr">
        <is>
          <t>Single</t>
        </is>
      </c>
      <c r="G10" s="2" t="inlineStr">
        <is>
          <t>Active</t>
        </is>
      </c>
    </row>
    <row r="11">
      <c r="A11" s="2" t="inlineStr">
        <is>
          <t>DimOrganization</t>
        </is>
      </c>
      <c r="B11" s="2" t="inlineStr">
        <is>
          <t>Organisasjonsnokkel</t>
        </is>
      </c>
      <c r="C11" s="2" t="inlineStr">
        <is>
          <t>FactForecast</t>
        </is>
      </c>
      <c r="D11" s="2" t="inlineStr">
        <is>
          <t>Organisasjonsnokkel</t>
        </is>
      </c>
      <c r="E11" s="2" t="inlineStr">
        <is>
          <t>1:*</t>
        </is>
      </c>
      <c r="F11" s="2" t="inlineStr">
        <is>
          <t>Single</t>
        </is>
      </c>
      <c r="G11" s="2" t="inlineStr">
        <is>
          <t>Active</t>
        </is>
      </c>
    </row>
    <row r="12">
      <c r="A12" s="2" t="inlineStr">
        <is>
          <t>DimAccount</t>
        </is>
      </c>
      <c r="B12" s="2" t="inlineStr">
        <is>
          <t>Konto</t>
        </is>
      </c>
      <c r="C12" s="2" t="inlineStr">
        <is>
          <t>FactForecast</t>
        </is>
      </c>
      <c r="D12" s="2" t="inlineStr">
        <is>
          <t>Konto</t>
        </is>
      </c>
      <c r="E12" s="2" t="inlineStr">
        <is>
          <t>1:*</t>
        </is>
      </c>
      <c r="F12" s="2" t="inlineStr">
        <is>
          <t>Single</t>
        </is>
      </c>
      <c r="G12" s="2" t="inlineStr">
        <is>
          <t>Active</t>
        </is>
      </c>
    </row>
    <row r="13">
      <c r="A13" s="2" t="inlineStr">
        <is>
          <t>DimProject</t>
        </is>
      </c>
      <c r="B13" s="2" t="inlineStr">
        <is>
          <t>Prosjekt</t>
        </is>
      </c>
      <c r="C13" s="2" t="inlineStr">
        <is>
          <t>FactForecast</t>
        </is>
      </c>
      <c r="D13" s="2" t="inlineStr">
        <is>
          <t>Prosjekt</t>
        </is>
      </c>
      <c r="E13" s="2" t="inlineStr">
        <is>
          <t>1:*</t>
        </is>
      </c>
      <c r="F13" s="2" t="inlineStr">
        <is>
          <t>Single</t>
        </is>
      </c>
      <c r="G13" s="2" t="inlineStr">
        <is>
          <t>Active</t>
        </is>
      </c>
    </row>
    <row r="14">
      <c r="A14" s="2" t="inlineStr">
        <is>
          <t>DimForecastVersion</t>
        </is>
      </c>
      <c r="B14" s="2" t="inlineStr">
        <is>
          <t>Versjon</t>
        </is>
      </c>
      <c r="C14" s="2" t="inlineStr">
        <is>
          <t>FactForecast</t>
        </is>
      </c>
      <c r="D14" s="2" t="inlineStr">
        <is>
          <t>Versjon</t>
        </is>
      </c>
      <c r="E14" s="2" t="inlineStr">
        <is>
          <t>1:*</t>
        </is>
      </c>
      <c r="F14" s="2" t="inlineStr">
        <is>
          <t>Single</t>
        </is>
      </c>
      <c r="G14" s="2" t="inlineStr">
        <is>
          <t>Active</t>
        </is>
      </c>
    </row>
    <row r="15">
      <c r="A15" s="2" t="inlineStr">
        <is>
          <t>DimDate</t>
        </is>
      </c>
      <c r="B15" s="2" t="inlineStr">
        <is>
          <t>DatoNokkel</t>
        </is>
      </c>
      <c r="C15" s="2" t="inlineStr">
        <is>
          <t>FactFTE</t>
        </is>
      </c>
      <c r="D15" s="2" t="inlineStr">
        <is>
          <t>DatoNokkel</t>
        </is>
      </c>
      <c r="E15" s="2" t="inlineStr">
        <is>
          <t>1:*</t>
        </is>
      </c>
      <c r="F15" s="2" t="inlineStr">
        <is>
          <t>Single</t>
        </is>
      </c>
      <c r="G15" s="2" t="inlineStr">
        <is>
          <t>Active</t>
        </is>
      </c>
    </row>
    <row r="16">
      <c r="A16" s="2" t="inlineStr">
        <is>
          <t>DimOrganization</t>
        </is>
      </c>
      <c r="B16" s="2" t="inlineStr">
        <is>
          <t>Organisasjonsnokkel</t>
        </is>
      </c>
      <c r="C16" s="2" t="inlineStr">
        <is>
          <t>FactFTE</t>
        </is>
      </c>
      <c r="D16" s="2" t="inlineStr">
        <is>
          <t>Organisasjonsnokkel</t>
        </is>
      </c>
      <c r="E16" s="2" t="inlineStr">
        <is>
          <t>1:*</t>
        </is>
      </c>
      <c r="F16" s="2" t="inlineStr">
        <is>
          <t>Single</t>
        </is>
      </c>
      <c r="G16" s="2" t="inlineStr">
        <is>
          <t>Active</t>
        </is>
      </c>
    </row>
    <row r="17">
      <c r="A17" s="2" t="inlineStr">
        <is>
          <t>DimDate</t>
        </is>
      </c>
      <c r="B17" s="2" t="inlineStr">
        <is>
          <t>DatoNokkel</t>
        </is>
      </c>
      <c r="C17" s="2" t="inlineStr">
        <is>
          <t>FactStudyPoints</t>
        </is>
      </c>
      <c r="D17" s="2" t="inlineStr">
        <is>
          <t>DatoNokkel</t>
        </is>
      </c>
      <c r="E17" s="2" t="inlineStr">
        <is>
          <t>1:*</t>
        </is>
      </c>
      <c r="F17" s="2" t="inlineStr">
        <is>
          <t>Single</t>
        </is>
      </c>
      <c r="G17" s="2" t="inlineStr">
        <is>
          <t>Active</t>
        </is>
      </c>
    </row>
    <row r="18">
      <c r="A18" s="2" t="inlineStr">
        <is>
          <t>DimOrganization</t>
        </is>
      </c>
      <c r="B18" s="2" t="inlineStr">
        <is>
          <t>Organisasjonsnokkel</t>
        </is>
      </c>
      <c r="C18" s="2" t="inlineStr">
        <is>
          <t>FactStudyPoints</t>
        </is>
      </c>
      <c r="D18" s="2" t="inlineStr">
        <is>
          <t>Organisasjonsnokkel</t>
        </is>
      </c>
      <c r="E18" s="2" t="inlineStr">
        <is>
          <t>1:*</t>
        </is>
      </c>
      <c r="F18" s="2" t="inlineStr">
        <is>
          <t>Single</t>
        </is>
      </c>
      <c r="G18" s="2" t="inlineStr">
        <is>
          <t>Active</t>
        </is>
      </c>
    </row>
    <row r="19">
      <c r="A19" s="2" t="inlineStr">
        <is>
          <t>DimPositionGroup</t>
        </is>
      </c>
      <c r="B19" s="2" t="inlineStr">
        <is>
          <t>Stillingsgruppe</t>
        </is>
      </c>
      <c r="C19" s="2" t="inlineStr">
        <is>
          <t>FactFTE</t>
        </is>
      </c>
      <c r="D19" s="2" t="inlineStr">
        <is>
          <t>Stillingsgruppe</t>
        </is>
      </c>
      <c r="E19" s="2" t="inlineStr">
        <is>
          <t>1:*</t>
        </is>
      </c>
      <c r="F19" s="2" t="inlineStr">
        <is>
          <t>Single</t>
        </is>
      </c>
      <c r="G19" s="2" t="inlineStr">
        <is>
          <t>Active</t>
        </is>
      </c>
    </row>
    <row r="20">
      <c r="A20" s="2" t="inlineStr">
        <is>
          <t>DimStudyProgram</t>
        </is>
      </c>
      <c r="B20" s="2" t="inlineStr">
        <is>
          <t>Studieprogram</t>
        </is>
      </c>
      <c r="C20" s="2" t="inlineStr">
        <is>
          <t>FactStudyPoints</t>
        </is>
      </c>
      <c r="D20" s="2" t="inlineStr">
        <is>
          <t>Studieprogram</t>
        </is>
      </c>
      <c r="E20" s="2" t="inlineStr">
        <is>
          <t>1:*</t>
        </is>
      </c>
      <c r="F20" s="2" t="inlineStr">
        <is>
          <t>Single</t>
        </is>
      </c>
      <c r="G20" s="2" t="inlineStr">
        <is>
          <t>Active</t>
        </is>
      </c>
    </row>
    <row r="21">
      <c r="A21" s="2" t="inlineStr">
        <is>
          <t>DimOrganization</t>
        </is>
      </c>
      <c r="B21" s="2" t="inlineStr">
        <is>
          <t>Organisasjonsnokkel</t>
        </is>
      </c>
      <c r="C21" s="2" t="inlineStr">
        <is>
          <t>FactAction</t>
        </is>
      </c>
      <c r="D21" s="2" t="inlineStr">
        <is>
          <t>Organisasjonsnokkel</t>
        </is>
      </c>
      <c r="E21" s="2" t="inlineStr">
        <is>
          <t>1:*</t>
        </is>
      </c>
      <c r="F21" s="2" t="inlineStr">
        <is>
          <t>Single</t>
        </is>
      </c>
      <c r="G21" s="2" t="inlineStr">
        <is>
          <t>Active</t>
        </is>
      </c>
    </row>
    <row r="22">
      <c r="A22" s="2" t="inlineStr">
        <is>
          <t>DimAccount</t>
        </is>
      </c>
      <c r="B22" s="2" t="inlineStr">
        <is>
          <t>Konto</t>
        </is>
      </c>
      <c r="C22" s="2" t="inlineStr">
        <is>
          <t>FactAction</t>
        </is>
      </c>
      <c r="D22" s="2" t="inlineStr">
        <is>
          <t>Konto</t>
        </is>
      </c>
      <c r="E22" s="2" t="inlineStr">
        <is>
          <t>1:*</t>
        </is>
      </c>
      <c r="F22" s="2" t="inlineStr">
        <is>
          <t>Single</t>
        </is>
      </c>
      <c r="G22" s="2" t="inlineStr">
        <is>
          <t>Active</t>
        </is>
      </c>
    </row>
    <row r="23">
      <c r="A23" s="2" t="inlineStr">
        <is>
          <t>DimProject</t>
        </is>
      </c>
      <c r="B23" s="2" t="inlineStr">
        <is>
          <t>Prosjekt</t>
        </is>
      </c>
      <c r="C23" s="2" t="inlineStr">
        <is>
          <t>FactAction</t>
        </is>
      </c>
      <c r="D23" s="2" t="inlineStr">
        <is>
          <t>Prosjekt</t>
        </is>
      </c>
      <c r="E23" s="2" t="inlineStr">
        <is>
          <t>1:*</t>
        </is>
      </c>
      <c r="F23" s="2" t="inlineStr">
        <is>
          <t>Single</t>
        </is>
      </c>
      <c r="G23" s="2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:J1"/>
    </sheetView>
  </sheetViews>
  <sheetFormatPr baseColWidth="8" defaultRowHeight="14.5"/>
  <cols>
    <col width="17.26953125" bestFit="1" customWidth="1" style="6" min="1" max="1"/>
    <col width="9.453125" bestFit="1" customWidth="1" style="6" min="2" max="2"/>
    <col width="8" bestFit="1" customWidth="1" style="6" min="3" max="3"/>
    <col width="10.6328125" customWidth="1" style="6" min="4" max="4"/>
    <col width="43.6328125" customWidth="1" style="22" min="5" max="5"/>
    <col width="15.453125" customWidth="1" style="6" min="7" max="10"/>
  </cols>
  <sheetData>
    <row r="1">
      <c r="A1" s="4" t="inlineStr">
        <is>
          <t>Tabell</t>
        </is>
      </c>
      <c r="B1" s="4" t="inlineStr">
        <is>
          <t>Type</t>
        </is>
      </c>
      <c r="C1" s="4" t="inlineStr">
        <is>
          <t>Rader</t>
        </is>
      </c>
      <c r="D1" s="4" t="inlineStr">
        <is>
          <t>Kolonner</t>
        </is>
      </c>
      <c r="E1" s="20" t="inlineStr">
        <is>
          <t>Felt</t>
        </is>
      </c>
      <c r="G1" s="8" t="inlineStr">
        <is>
          <t>Modellimplementering</t>
        </is>
      </c>
    </row>
    <row r="2">
      <c r="A2" s="2" t="inlineStr">
        <is>
          <t>Relationships</t>
        </is>
      </c>
      <c r="B2" s="2" t="inlineStr">
        <is>
          <t>Metadata</t>
        </is>
      </c>
      <c r="C2" s="2" t="n">
        <v>22</v>
      </c>
      <c r="D2" s="2" t="n">
        <v>7</v>
      </c>
      <c r="E2" s="21" t="inlineStr">
        <is>
          <t>FraTabell, FraKolonne, TilTabell, TilKolonne, Kardinalitet, Kryssfiltrering, Status</t>
        </is>
      </c>
      <c r="G2" s="23" t="inlineStr">
        <is>
          <t>Excel-versjonen bruker alle 109 396 leverte kilderader til avstemte analyse- og drill-through-tabeller. Store faktatabeller er oppsummert etter måned, fakultet, institutt, konto, prosjekt og studieprogram; dimensjoner, tiltak, relasjoner og glossary ligger som komplette tabeller.</t>
        </is>
      </c>
    </row>
    <row r="3">
      <c r="A3" s="2" t="inlineStr">
        <is>
          <t>DimStudyProgram</t>
        </is>
      </c>
      <c r="B3" s="2" t="inlineStr">
        <is>
          <t>Dimensjon</t>
        </is>
      </c>
      <c r="C3" s="2" t="n">
        <v>36</v>
      </c>
      <c r="D3" s="2" t="n">
        <v>6</v>
      </c>
      <c r="E3" s="21" t="inlineStr">
        <is>
          <t>Studieprogram, Studieprogramnavn, Studienivaa, NormerteStudiepoeng, Institutt, Fakultet</t>
        </is>
      </c>
    </row>
    <row r="4">
      <c r="A4" s="2" t="inlineStr">
        <is>
          <t>DimOrganization</t>
        </is>
      </c>
      <c r="B4" s="2" t="inlineStr">
        <is>
          <t>Dimensjon</t>
        </is>
      </c>
      <c r="C4" s="2" t="n">
        <v>40</v>
      </c>
      <c r="D4" s="2" t="n">
        <v>8</v>
      </c>
      <c r="E4" s="21" t="inlineStr">
        <is>
          <t>Organisasjonsnokkel, Fakultet, Fakultetsnavn, Institutt, Instituttnavn, Koststed, Koststednavn, Koststedtype</t>
        </is>
      </c>
    </row>
    <row r="5">
      <c r="A5" s="2" t="inlineStr">
        <is>
          <t>FactBudget</t>
        </is>
      </c>
      <c r="B5" s="2" t="inlineStr">
        <is>
          <t>Fakta</t>
        </is>
      </c>
      <c r="C5" s="2" t="n">
        <v>17760</v>
      </c>
      <c r="D5" s="2" t="n">
        <v>6</v>
      </c>
      <c r="E5" s="21" t="inlineStr">
        <is>
          <t>DatoNokkel, Organisasjonsnokkel, Konto, Prosjekt, BudsjettBelop, Scenario</t>
        </is>
      </c>
    </row>
    <row r="6">
      <c r="A6" s="2" t="inlineStr">
        <is>
          <t>FactGL</t>
        </is>
      </c>
      <c r="B6" s="2" t="inlineStr">
        <is>
          <t>Fakta</t>
        </is>
      </c>
      <c r="C6" s="2" t="n">
        <v>35760</v>
      </c>
      <c r="D6" s="2" t="n">
        <v>8</v>
      </c>
      <c r="E6" s="21" t="inlineStr">
        <is>
          <t>Bilag, DatoNokkel, Organisasjonsnokkel, Konto, Prosjekt, Belop_signert, Tekst, Datakilde</t>
        </is>
      </c>
    </row>
    <row r="7">
      <c r="A7" s="2" t="inlineStr">
        <is>
          <t>FactForecast</t>
        </is>
      </c>
      <c r="B7" s="2" t="inlineStr">
        <is>
          <t>Fakta</t>
        </is>
      </c>
      <c r="C7" s="2" t="n">
        <v>53280</v>
      </c>
      <c r="D7" s="2" t="n">
        <v>9</v>
      </c>
      <c r="E7" s="21" t="inlineStr">
        <is>
          <t>DatoNokkel, Organisasjonsnokkel, Konto, Prosjekt, Versjon, ForecastBelop, Datastatus, Sannsynlighet, Kommentar</t>
        </is>
      </c>
    </row>
    <row r="8">
      <c r="A8" s="2" t="inlineStr">
        <is>
          <t>DimGlossary</t>
        </is>
      </c>
      <c r="B8" s="2" t="inlineStr">
        <is>
          <t>Dimensjon</t>
        </is>
      </c>
      <c r="C8" s="2" t="n">
        <v>60</v>
      </c>
      <c r="D8" s="2" t="n">
        <v>9</v>
      </c>
      <c r="E8" s="21" t="inlineStr">
        <is>
          <t>BegrepID, Begrep, FulltNavn, Kategori, Definisjon, PraktiskTolkning, FormelDAX, RolleKontekst, RelevantRapport</t>
        </is>
      </c>
    </row>
    <row r="9">
      <c r="A9" s="2" t="inlineStr">
        <is>
          <t>DimForecastVersion</t>
        </is>
      </c>
      <c r="B9" s="2" t="inlineStr">
        <is>
          <t>Dimensjon</t>
        </is>
      </c>
      <c r="C9" s="2" t="n">
        <v>3</v>
      </c>
      <c r="D9" s="2" t="n">
        <v>3</v>
      </c>
      <c r="E9" s="21" t="inlineStr">
        <is>
          <t>Versjon, Versjonsnavn, Sortering</t>
        </is>
      </c>
    </row>
    <row r="10">
      <c r="A10" s="2" t="inlineStr">
        <is>
          <t>DimDate</t>
        </is>
      </c>
      <c r="B10" s="2" t="inlineStr">
        <is>
          <t>Dimensjon</t>
        </is>
      </c>
      <c r="C10" s="2" t="n">
        <v>730</v>
      </c>
      <c r="D10" s="2" t="n">
        <v>7</v>
      </c>
      <c r="E10" s="21" t="inlineStr">
        <is>
          <t>Dato, DatoNokkel, Aar, Kvartal, MaanedNr, AarMaaned, MaanedStart</t>
        </is>
      </c>
    </row>
    <row r="11">
      <c r="A11" s="2" t="inlineStr">
        <is>
          <t>DimAccount</t>
        </is>
      </c>
      <c r="B11" s="2" t="inlineStr">
        <is>
          <t>Dimensjon</t>
        </is>
      </c>
      <c r="C11" s="2" t="n">
        <v>46</v>
      </c>
      <c r="D11" s="2" t="n">
        <v>8</v>
      </c>
      <c r="E11" s="21" t="inlineStr">
        <is>
          <t>Konto, StandardKonto3, Kontonavn, Kontoklasse, Kontogruppe, Kontotype, SRS_regnskapslinje, AktuellFor</t>
        </is>
      </c>
    </row>
    <row r="12">
      <c r="A12" s="2" t="inlineStr">
        <is>
          <t>DimProject</t>
        </is>
      </c>
      <c r="B12" s="2" t="inlineStr">
        <is>
          <t>Dimensjon</t>
        </is>
      </c>
      <c r="C12" s="2" t="n">
        <v>6</v>
      </c>
      <c r="D12" s="2" t="n">
        <v>5</v>
      </c>
      <c r="E12" s="21" t="inlineStr">
        <is>
          <t>Prosjekt, Prosjektnavn, Finansieringstype, Finansieringskilde, Prosjektkategori</t>
        </is>
      </c>
    </row>
    <row r="13">
      <c r="A13" s="2" t="inlineStr">
        <is>
          <t>DimPositionGroup</t>
        </is>
      </c>
      <c r="B13" s="2" t="inlineStr">
        <is>
          <t>Dimensjon</t>
        </is>
      </c>
      <c r="C13" s="2" t="n">
        <v>5</v>
      </c>
      <c r="D13" s="2" t="n">
        <v>3</v>
      </c>
      <c r="E13" s="21" t="inlineStr">
        <is>
          <t>Stillingsgruppe, Stillingsgruppenavn, Stillingskategori</t>
        </is>
      </c>
    </row>
    <row r="14">
      <c r="A14" s="2" t="inlineStr">
        <is>
          <t>FactStudyPoints</t>
        </is>
      </c>
      <c r="B14" s="2" t="inlineStr">
        <is>
          <t>Fakta</t>
        </is>
      </c>
      <c r="C14" s="2" t="n">
        <v>432</v>
      </c>
      <c r="D14" s="2" t="n">
        <v>8</v>
      </c>
      <c r="E14" s="21" t="inlineStr">
        <is>
          <t>DatoNokkel, Organisasjonsnokkel, Studieprogram, RegistrerteStudenter, PlanlagteStudiepoeng, AvlagteStudiepoeng, SPE60, BestattAndel</t>
        </is>
      </c>
    </row>
    <row r="15">
      <c r="A15" s="2" t="inlineStr">
        <is>
          <t>FactAction</t>
        </is>
      </c>
      <c r="B15" s="2" t="inlineStr">
        <is>
          <t>Fakta</t>
        </is>
      </c>
      <c r="C15" s="2" t="n">
        <v>16</v>
      </c>
      <c r="D15" s="2" t="n">
        <v>14</v>
      </c>
      <c r="E15" s="21" t="inlineStr">
        <is>
          <t>TiltakID, Organisasjonsnokkel, Prosjekt, Konto, Avviksarsak, Tiltaksbeskrivelse, AnsvarligRolle, StartDatoNokkel, FristDatoNokkel, ForventetEffekt, RealisertEffekt, Status, Prioritet, Sannsynlighet</t>
        </is>
      </c>
    </row>
    <row r="16">
      <c r="A16" s="2" t="inlineStr">
        <is>
          <t>FactFTE</t>
        </is>
      </c>
      <c r="B16" s="2" t="inlineStr">
        <is>
          <t>Fakta</t>
        </is>
      </c>
      <c r="C16" s="2" t="n">
        <v>1200</v>
      </c>
      <c r="D16" s="2" t="n">
        <v>6</v>
      </c>
      <c r="E16" s="21" t="inlineStr">
        <is>
          <t>DatoNokkel, Organisasjonsnokkel, Stillingsgruppe, Aarsverk, FagligeAarsverk, Scenario</t>
        </is>
      </c>
    </row>
  </sheetData>
  <mergeCells count="2">
    <mergeCell ref="G2:J5"/>
    <mergeCell ref="G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:H1"/>
    </sheetView>
  </sheetViews>
  <sheetFormatPr baseColWidth="8" defaultRowHeight="14.5"/>
  <cols>
    <col width="10.7265625" bestFit="1" customWidth="1" style="6" min="1" max="1"/>
    <col width="24.6328125" bestFit="1" customWidth="1" style="6" min="2" max="2"/>
    <col width="37" bestFit="1" customWidth="1" style="6" min="3" max="3"/>
    <col width="23.36328125" bestFit="1" customWidth="1" style="6" min="4" max="4"/>
    <col width="43.6328125" customWidth="1" style="22" min="5" max="6"/>
    <col width="38.1796875" customWidth="1" style="22" min="7" max="7"/>
    <col width="22.54296875" bestFit="1" customWidth="1" style="6" min="8" max="8"/>
    <col width="17.81640625" bestFit="1" customWidth="1" style="6" min="9" max="9"/>
  </cols>
  <sheetData>
    <row r="1">
      <c r="A1" s="4" t="inlineStr">
        <is>
          <t>BegrepID</t>
        </is>
      </c>
      <c r="B1" s="4" t="inlineStr">
        <is>
          <t>Begrep</t>
        </is>
      </c>
      <c r="C1" s="4" t="inlineStr">
        <is>
          <t>FulltNavn</t>
        </is>
      </c>
      <c r="D1" s="4" t="inlineStr">
        <is>
          <t>Kategori</t>
        </is>
      </c>
      <c r="E1" s="20" t="inlineStr">
        <is>
          <t>Definisjon</t>
        </is>
      </c>
      <c r="F1" s="20" t="inlineStr">
        <is>
          <t>PraktiskTolkning</t>
        </is>
      </c>
      <c r="G1" s="20" t="inlineStr">
        <is>
          <t>FormelDAX</t>
        </is>
      </c>
      <c r="H1" s="4" t="inlineStr">
        <is>
          <t>RolleKontekst</t>
        </is>
      </c>
      <c r="I1" s="4" t="inlineStr">
        <is>
          <t>RelevantRapport</t>
        </is>
      </c>
    </row>
    <row r="2" ht="26.5" customHeight="1" s="6">
      <c r="A2" s="2" t="n">
        <v>1</v>
      </c>
      <c r="B2" s="2" t="inlineStr">
        <is>
          <t>Actual</t>
        </is>
      </c>
      <c r="C2" s="2" t="inlineStr">
        <is>
          <t>Faktisk bokført regnskap</t>
        </is>
      </c>
      <c r="D2" s="2" t="inlineStr">
        <is>
          <t>01 Regnskap &amp; Sektor</t>
        </is>
      </c>
      <c r="E2" s="21" t="inlineStr">
        <is>
          <t>Faktisk påløpte inntekter og kostnader registrert i virksomhetens hovedbok (FactGL).</t>
        </is>
      </c>
      <c r="F2" s="21" t="inlineStr">
        <is>
          <t>Brukes som fasit for historisk ressursbruk og måles mot periodisert budsjett og prognose.</t>
        </is>
      </c>
      <c r="G2" s="21" t="inlineStr">
        <is>
          <t>SUM(FactGL[Belop_signert])</t>
        </is>
      </c>
      <c r="H2" s="2" t="inlineStr">
        <is>
          <t>Alle roller</t>
        </is>
      </c>
      <c r="I2" s="2" t="inlineStr">
        <is>
          <t>08 Controller Cockpit</t>
        </is>
      </c>
    </row>
    <row r="3" ht="26.5" customHeight="1" s="6">
      <c r="A3" s="2" t="n">
        <v>2</v>
      </c>
      <c r="B3" s="2" t="inlineStr">
        <is>
          <t>Artskonto</t>
        </is>
      </c>
      <c r="C3" s="2" t="inlineStr">
        <is>
          <t>Standard artskonto</t>
        </is>
      </c>
      <c r="D3" s="2" t="inlineStr">
        <is>
          <t>01 Regnskap &amp; Sektor</t>
        </is>
      </c>
      <c r="E3" s="21" t="inlineStr">
        <is>
          <t>Firesifret tallkode som spesifiserer transaksjonens økonomiske art iht. DFØ standard kontoplan.</t>
        </is>
      </c>
      <c r="F3" s="21" t="inlineStr">
        <is>
          <t>Gjør det mulig å drille ned fra regnskapslinjer til kostnadsbærere.</t>
        </is>
      </c>
      <c r="G3" s="21" t="inlineStr">
        <is>
          <t>DimAccount[Konto]</t>
        </is>
      </c>
      <c r="H3" s="2" t="inlineStr">
        <is>
          <t>Controller</t>
        </is>
      </c>
      <c r="I3" s="2" t="inlineStr">
        <is>
          <t>08 Controller Cockpit</t>
        </is>
      </c>
    </row>
    <row r="4" ht="39.5" customHeight="1" s="6">
      <c r="A4" s="2" t="n">
        <v>3</v>
      </c>
      <c r="B4" s="2" t="inlineStr">
        <is>
          <t>Avskrivninger</t>
        </is>
      </c>
      <c r="C4" s="2" t="inlineStr">
        <is>
          <t>Verdireduksjon anleggsmidler</t>
        </is>
      </c>
      <c r="D4" s="2" t="inlineStr">
        <is>
          <t>01 Regnskap &amp; Sektor</t>
        </is>
      </c>
      <c r="E4" s="21" t="inlineStr">
        <is>
          <t>Periodisering av anskaffelseskost over driftsmidlets økonomiske levetid iht. SRS 17.</t>
        </is>
      </c>
      <c r="F4" s="21" t="inlineStr">
        <is>
          <t>Påvirker resultatet uten direkte likviditetsutgang i perioden.</t>
        </is>
      </c>
      <c r="G4" s="21" t="inlineStr">
        <is>
          <t>CALCULATE([Regnskap], DimAccount[SRS_regnskapslinje]=Avskrivninger)</t>
        </is>
      </c>
      <c r="H4" s="2" t="inlineStr">
        <is>
          <t>Ledelse / Styret</t>
        </is>
      </c>
      <c r="I4" s="2" t="inlineStr">
        <is>
          <t>03 Executive</t>
        </is>
      </c>
    </row>
    <row r="5" ht="26.5" customHeight="1" s="6">
      <c r="A5" s="2" t="n">
        <v>4</v>
      </c>
      <c r="B5" s="2" t="inlineStr">
        <is>
          <t>Avvik YTD</t>
        </is>
      </c>
      <c r="C5" s="2" t="inlineStr">
        <is>
          <t>Akkumulert regnskapsavvik</t>
        </is>
      </c>
      <c r="D5" s="2" t="inlineStr">
        <is>
          <t>03 Prognose &amp; Avvik</t>
        </is>
      </c>
      <c r="E5" s="21" t="inlineStr">
        <is>
          <t>Differansen mellom akkumulert regnskap og periodisert budsjett fra januar til nå.</t>
        </is>
      </c>
      <c r="F5" s="21" t="inlineStr">
        <is>
          <t>Negativt kostnadsavvik er mindreforbruk; positivt er merforbruk.</t>
        </is>
      </c>
      <c r="G5" s="21" t="inlineStr">
        <is>
          <t>[Regnskap YTD] - [Budsjett YTD]</t>
        </is>
      </c>
      <c r="H5" s="2" t="inlineStr">
        <is>
          <t>Alle roller</t>
        </is>
      </c>
      <c r="I5" s="2" t="inlineStr">
        <is>
          <t>08 Controller Cockpit</t>
        </is>
      </c>
    </row>
    <row r="6" ht="26.5" customHeight="1" s="6">
      <c r="A6" s="2" t="n">
        <v>5</v>
      </c>
      <c r="B6" s="2" t="inlineStr">
        <is>
          <t>Avvik YTD RAG Status</t>
        </is>
      </c>
      <c r="C6" s="2" t="inlineStr">
        <is>
          <t>RAG-status regnskapsavvik</t>
        </is>
      </c>
      <c r="D6" s="2" t="inlineStr">
        <is>
          <t>07 RAG &amp; Farger</t>
        </is>
      </c>
      <c r="E6" s="21" t="inlineStr">
        <is>
          <t>Trafikklysindikator for akkumulert avvik mot budsjett.</t>
        </is>
      </c>
      <c r="F6" s="21" t="inlineStr">
        <is>
          <t>Rød &gt;5%, gul 2–5%, grønn &lt;=2%.</t>
        </is>
      </c>
      <c r="G6" s="21" t="inlineStr">
        <is>
          <t>SWITCH(TRUE(), [Avvik YTD %] &gt; 0.05, Rød, [Avvik YTD %] &gt;= 0.02, Gul, Grønn)</t>
        </is>
      </c>
      <c r="H6" s="2" t="inlineStr">
        <is>
          <t>Controller / Dekan</t>
        </is>
      </c>
      <c r="I6" s="2" t="inlineStr">
        <is>
          <t>08 Controller Cockpit</t>
        </is>
      </c>
    </row>
    <row r="7">
      <c r="A7" s="2" t="n">
        <v>6</v>
      </c>
      <c r="B7" s="2" t="inlineStr">
        <is>
          <t>BAC</t>
        </is>
      </c>
      <c r="C7" s="2" t="inlineStr">
        <is>
          <t>Budget at Completion</t>
        </is>
      </c>
      <c r="D7" s="2" t="inlineStr">
        <is>
          <t>02 Prosjektcontrolling (EVM)</t>
        </is>
      </c>
      <c r="E7" s="21" t="inlineStr">
        <is>
          <t>Opprinnelig vedtatt total kostnadsramme.</t>
        </is>
      </c>
      <c r="F7" s="21" t="inlineStr">
        <is>
          <t>Baseline som sluttkostnad måles mot.</t>
        </is>
      </c>
      <c r="G7" s="21" t="inlineStr">
        <is>
          <t>[Aarsbudsjett]</t>
        </is>
      </c>
      <c r="H7" s="2" t="inlineStr">
        <is>
          <t>Project Controller / Dekan</t>
        </is>
      </c>
      <c r="I7" s="2" t="inlineStr">
        <is>
          <t>DT Prosjekt EVM</t>
        </is>
      </c>
    </row>
    <row r="8">
      <c r="A8" s="2" t="n">
        <v>7</v>
      </c>
      <c r="B8" s="2" t="inlineStr">
        <is>
          <t>Bevilgningsinntekt</t>
        </is>
      </c>
      <c r="C8" s="2" t="inlineStr">
        <is>
          <t>Statlig rammebevilgning</t>
        </is>
      </c>
      <c r="D8" s="2" t="inlineStr">
        <is>
          <t>01 Regnskap &amp; Sektor</t>
        </is>
      </c>
      <c r="E8" s="21" t="inlineStr">
        <is>
          <t>Ordinær bevilgning fra Kunnskapsdepartementet.</t>
        </is>
      </c>
      <c r="F8" s="21" t="inlineStr">
        <is>
          <t>Periodiseres etter SRS 10.</t>
        </is>
      </c>
      <c r="G8" s="21" t="inlineStr">
        <is>
          <t>CALCULATE(-[Regnskap], konto-filter)</t>
        </is>
      </c>
      <c r="H8" s="2" t="inlineStr">
        <is>
          <t>Styret / Ledelse</t>
        </is>
      </c>
      <c r="I8" s="2" t="inlineStr">
        <is>
          <t>04 Styret</t>
        </is>
      </c>
    </row>
    <row r="9">
      <c r="A9" s="2" t="n">
        <v>8</v>
      </c>
      <c r="B9" s="2" t="inlineStr">
        <is>
          <t>BFV</t>
        </is>
      </c>
      <c r="C9" s="2" t="inlineStr">
        <is>
          <t>Bevilgningsfinansiert virksomhet</t>
        </is>
      </c>
      <c r="D9" s="2" t="inlineStr">
        <is>
          <t>01 Regnskap &amp; Sektor</t>
        </is>
      </c>
      <c r="E9" s="21" t="inlineStr">
        <is>
          <t>Kjerneaktivitet dekket av statstilskuddet.</t>
        </is>
      </c>
      <c r="F9" s="21" t="inlineStr">
        <is>
          <t>Krever stram rammeoppfølging.</t>
        </is>
      </c>
      <c r="G9" s="21" t="inlineStr">
        <is>
          <t>DimProject[Finansieringstype] = Drift</t>
        </is>
      </c>
      <c r="H9" s="2" t="inlineStr">
        <is>
          <t>Alle roller</t>
        </is>
      </c>
      <c r="I9" s="2" t="inlineStr">
        <is>
          <t>03 Executive</t>
        </is>
      </c>
    </row>
    <row r="10" ht="26.5" customHeight="1" s="6">
      <c r="A10" s="2" t="n">
        <v>9</v>
      </c>
      <c r="B10" s="2" t="inlineStr">
        <is>
          <t>Bidrag</t>
        </is>
      </c>
      <c r="C10" s="2" t="inlineStr">
        <is>
          <t>Bidragsforskning</t>
        </is>
      </c>
      <c r="D10" s="2" t="inlineStr">
        <is>
          <t>01 Regnskap &amp; Sektor</t>
        </is>
      </c>
      <c r="E10" s="21" t="inlineStr">
        <is>
          <t>Eksternfinansierte prosjekter uten kommersiell motytelse.</t>
        </is>
      </c>
      <c r="F10" s="21" t="inlineStr">
        <is>
          <t>Typiske bidragsytere er NFR og EU.</t>
        </is>
      </c>
      <c r="G10" s="21" t="inlineStr">
        <is>
          <t>DimProject[Finansieringstype] = Bidrag</t>
        </is>
      </c>
      <c r="H10" s="2" t="inlineStr">
        <is>
          <t>Forskningsledelse</t>
        </is>
      </c>
      <c r="I10" s="2" t="inlineStr">
        <is>
          <t>05 Forskning &amp; BOA</t>
        </is>
      </c>
    </row>
    <row r="11" ht="26.5" customHeight="1" s="6">
      <c r="A11" s="2" t="n">
        <v>10</v>
      </c>
      <c r="B11" s="2" t="inlineStr">
        <is>
          <t>BOA</t>
        </is>
      </c>
      <c r="C11" s="2" t="inlineStr">
        <is>
          <t>Bidrags- og oppdragsfinansiert aktivitet</t>
        </is>
      </c>
      <c r="D11" s="2" t="inlineStr">
        <is>
          <t>01 Regnskap &amp; Sektor</t>
        </is>
      </c>
      <c r="E11" s="21" t="inlineStr">
        <is>
          <t>All eksternt finansiert forskning, utvikling og oppdragsvirksomhet.</t>
        </is>
      </c>
      <c r="F11" s="21" t="inlineStr">
        <is>
          <t>Strategisk vekstområde og finansielt handlingsrom.</t>
        </is>
      </c>
      <c r="G11" s="21" t="inlineStr">
        <is>
          <t>[BOA inntekter]</t>
        </is>
      </c>
      <c r="H11" s="2" t="inlineStr">
        <is>
          <t>Forskningsledelse</t>
        </is>
      </c>
      <c r="I11" s="2" t="inlineStr">
        <is>
          <t>05 Forskning &amp; BOA</t>
        </is>
      </c>
    </row>
    <row r="12" ht="26.5" customHeight="1" s="6">
      <c r="A12" s="2" t="n">
        <v>11</v>
      </c>
      <c r="B12" s="2" t="inlineStr">
        <is>
          <t>BOA-finansieringsandel %</t>
        </is>
      </c>
      <c r="C12" s="2" t="inlineStr">
        <is>
          <t>Eksternfinansieringsgrad</t>
        </is>
      </c>
      <c r="D12" s="2" t="inlineStr">
        <is>
          <t>01 Regnskap &amp; Sektor</t>
        </is>
      </c>
      <c r="E12" s="21" t="inlineStr">
        <is>
          <t>Andel av totale inntekter fra BOA-prosjekter.</t>
        </is>
      </c>
      <c r="F12" s="21" t="inlineStr">
        <is>
          <t>Måler evnen til å hente konkurranseutsatt finansiering.</t>
        </is>
      </c>
      <c r="G12" s="21" t="inlineStr">
        <is>
          <t>DIVIDE([BOA inntekter], [Inntekter])</t>
        </is>
      </c>
      <c r="H12" s="2" t="inlineStr">
        <is>
          <t>Styret / Ledelse</t>
        </is>
      </c>
      <c r="I12" s="2" t="inlineStr">
        <is>
          <t>04 Styret</t>
        </is>
      </c>
    </row>
    <row r="13">
      <c r="A13" s="2" t="n">
        <v>12</v>
      </c>
      <c r="B13" s="2" t="inlineStr">
        <is>
          <t>Budget</t>
        </is>
      </c>
      <c r="C13" s="2" t="inlineStr">
        <is>
          <t>Vedtatt årsbudsjett</t>
        </is>
      </c>
      <c r="D13" s="2" t="inlineStr">
        <is>
          <t>01 Regnskap &amp; Sektor</t>
        </is>
      </c>
      <c r="E13" s="21" t="inlineStr">
        <is>
          <t>Økonomisk handlingsplan vedtatt før året.</t>
        </is>
      </c>
      <c r="F13" s="21" t="inlineStr">
        <is>
          <t>Låses som BAC og periodiseres.</t>
        </is>
      </c>
      <c r="G13" s="21" t="inlineStr">
        <is>
          <t>SUM(FactBudget[BudsjettBelop])</t>
        </is>
      </c>
      <c r="H13" s="2" t="inlineStr">
        <is>
          <t>Alle roller</t>
        </is>
      </c>
      <c r="I13" s="2" t="inlineStr">
        <is>
          <t>03 Executive</t>
        </is>
      </c>
    </row>
    <row r="14">
      <c r="A14" s="2" t="n">
        <v>13</v>
      </c>
      <c r="B14" s="2" t="inlineStr">
        <is>
          <t>Controller Cockpit</t>
        </is>
      </c>
      <c r="C14" s="2" t="inlineStr">
        <is>
          <t>Avstemmings- og kontrollpanel</t>
        </is>
      </c>
      <c r="D14" s="2" t="inlineStr">
        <is>
          <t>08 Teknisk &amp; Modell</t>
        </is>
      </c>
      <c r="E14" s="21" t="inlineStr">
        <is>
          <t>Kontrollpanel for avstemming, feil og avviksdrivere.</t>
        </is>
      </c>
      <c r="F14" s="21" t="inlineStr">
        <is>
          <t>Brukes før månedsslutt.</t>
        </is>
      </c>
      <c r="G14" s="21" t="inlineStr">
        <is>
          <t>Rapportside 08</t>
        </is>
      </c>
      <c r="H14" s="2" t="inlineStr">
        <is>
          <t>Controller</t>
        </is>
      </c>
      <c r="I14" s="2" t="inlineStr">
        <is>
          <t>08 Controller Cockpit</t>
        </is>
      </c>
    </row>
    <row r="15">
      <c r="A15" s="2" t="n">
        <v>14</v>
      </c>
      <c r="B15" s="2" t="inlineStr">
        <is>
          <t>Data-Ink Ratio</t>
        </is>
      </c>
      <c r="C15" s="2" t="inlineStr">
        <is>
          <t>Edward Tuftes designprinsipp</t>
        </is>
      </c>
      <c r="D15" s="2" t="inlineStr">
        <is>
          <t>07 RAG &amp; Farger</t>
        </is>
      </c>
      <c r="E15" s="21" t="inlineStr">
        <is>
          <t>Maksimer andelen informasjonsbærende elementer.</t>
        </is>
      </c>
      <c r="F15" s="21" t="inlineStr">
        <is>
          <t>Fjern chartjunk og bruk funksjonell farge.</t>
        </is>
      </c>
      <c r="G15" s="21" t="inlineStr">
        <is>
          <t>Data-Ink / Total-Ink</t>
        </is>
      </c>
      <c r="H15" s="2" t="inlineStr">
        <is>
          <t>Alle roller</t>
        </is>
      </c>
      <c r="I15" s="2" t="inlineStr">
        <is>
          <t>Alle dashboards</t>
        </is>
      </c>
    </row>
    <row r="16" ht="26.5" customHeight="1" s="6">
      <c r="A16" s="2" t="n">
        <v>15</v>
      </c>
      <c r="B16" s="2" t="inlineStr">
        <is>
          <t>DAX</t>
        </is>
      </c>
      <c r="C16" s="2" t="inlineStr">
        <is>
          <t>Data Analysis Expressions</t>
        </is>
      </c>
      <c r="D16" s="2" t="inlineStr">
        <is>
          <t>08 Teknisk &amp; Modell</t>
        </is>
      </c>
      <c r="E16" s="21" t="inlineStr">
        <is>
          <t>Beregningsspråk i Power BI, Fabric og Analysis Services.</t>
        </is>
      </c>
      <c r="F16" s="21" t="inlineStr">
        <is>
          <t>Brukes til forretningslogikk, EVM og RAG.</t>
        </is>
      </c>
      <c r="G16" s="21" t="inlineStr">
        <is>
          <t>Stjernemodell formler</t>
        </is>
      </c>
      <c r="H16" s="2" t="inlineStr">
        <is>
          <t>Controller / BI-utvikler</t>
        </is>
      </c>
      <c r="I16" s="2" t="inlineStr">
        <is>
          <t>TMDL Model</t>
        </is>
      </c>
    </row>
    <row r="17">
      <c r="A17" s="2" t="n">
        <v>16</v>
      </c>
      <c r="B17" s="2" t="inlineStr">
        <is>
          <t>Dekan</t>
        </is>
      </c>
      <c r="C17" s="2" t="inlineStr">
        <is>
          <t>Fakultetsleder</t>
        </is>
      </c>
      <c r="D17" s="2" t="inlineStr">
        <is>
          <t>08 Teknisk &amp; Modell</t>
        </is>
      </c>
      <c r="E17" s="21" t="inlineStr">
        <is>
          <t>Leder for et fakultet.</t>
        </is>
      </c>
      <c r="F17" s="21" t="inlineStr">
        <is>
          <t>Følger økonomi, lærerressurser og studieproduksjon.</t>
        </is>
      </c>
      <c r="G17" s="21" t="inlineStr">
        <is>
          <t>Rapportside 02</t>
        </is>
      </c>
      <c r="H17" s="2" t="inlineStr">
        <is>
          <t>Dekan</t>
        </is>
      </c>
      <c r="I17" s="2" t="inlineStr">
        <is>
          <t>02 Dekan &amp; Fakultet</t>
        </is>
      </c>
    </row>
    <row r="18">
      <c r="A18" s="2" t="n">
        <v>17</v>
      </c>
      <c r="B18" s="2" t="inlineStr">
        <is>
          <t>DFØ</t>
        </is>
      </c>
      <c r="C18" s="2" t="inlineStr">
        <is>
          <t>Direktoratet for forvaltning og økonomistyring</t>
        </is>
      </c>
      <c r="D18" s="2" t="inlineStr">
        <is>
          <t>01 Regnskap &amp; Sektor</t>
        </is>
      </c>
      <c r="E18" s="21" t="inlineStr">
        <is>
          <t>Statens fagorgan for økonomistyring og SRS.</t>
        </is>
      </c>
      <c r="F18" s="21" t="inlineStr">
        <is>
          <t>Utformer R-102 og regnskapsregler.</t>
        </is>
      </c>
      <c r="G18" s="21" t="inlineStr">
        <is>
          <t>Regelverk</t>
        </is>
      </c>
      <c r="H18" s="2" t="inlineStr">
        <is>
          <t>Controller</t>
        </is>
      </c>
      <c r="I18" s="2" t="inlineStr">
        <is>
          <t>08 Controller Cockpit</t>
        </is>
      </c>
    </row>
    <row r="19">
      <c r="A19" s="2" t="n">
        <v>18</v>
      </c>
      <c r="B19" s="2" t="inlineStr">
        <is>
          <t>DimAccount</t>
        </is>
      </c>
      <c r="C19" s="2" t="inlineStr">
        <is>
          <t>Kontoplan (Dimensjon)</t>
        </is>
      </c>
      <c r="D19" s="2" t="inlineStr">
        <is>
          <t>08 Teknisk &amp; Modell</t>
        </is>
      </c>
      <c r="E19" s="21" t="inlineStr">
        <is>
          <t>46 standardkontoer med kontoklasser og SRS-linjer.</t>
        </is>
      </c>
      <c r="F19" s="21" t="inlineStr">
        <is>
          <t>Knyttes til fire faktatabeller.</t>
        </is>
      </c>
      <c r="G19" s="21" t="inlineStr">
        <is>
          <t>DimAccount.csv</t>
        </is>
      </c>
      <c r="H19" s="2" t="inlineStr">
        <is>
          <t>Controller</t>
        </is>
      </c>
      <c r="I19" s="2" t="inlineStr">
        <is>
          <t>08 Controller Cockpit</t>
        </is>
      </c>
    </row>
    <row r="20">
      <c r="A20" s="2" t="n">
        <v>19</v>
      </c>
      <c r="B20" s="2" t="inlineStr">
        <is>
          <t>DimOrganization</t>
        </is>
      </c>
      <c r="C20" s="2" t="inlineStr">
        <is>
          <t>Organisasjonsstruktur (Dimensjon)</t>
        </is>
      </c>
      <c r="D20" s="2" t="inlineStr">
        <is>
          <t>08 Teknisk &amp; Modell</t>
        </is>
      </c>
      <c r="E20" s="21" t="inlineStr">
        <is>
          <t>40 koststeder fordelt på fakulteter og institutter.</t>
        </is>
      </c>
      <c r="F20" s="21" t="inlineStr">
        <is>
          <t>Hierarki: Fakultet → Institutt → Koststed.</t>
        </is>
      </c>
      <c r="G20" s="21" t="inlineStr">
        <is>
          <t>DimOrganization.csv</t>
        </is>
      </c>
      <c r="H20" s="2" t="inlineStr">
        <is>
          <t>Alle roller</t>
        </is>
      </c>
      <c r="I20" s="2" t="inlineStr">
        <is>
          <t>01 Instituttleder</t>
        </is>
      </c>
    </row>
    <row r="21">
      <c r="A21" s="2" t="n">
        <v>20</v>
      </c>
      <c r="B21" s="2" t="inlineStr">
        <is>
          <t>Drill-down</t>
        </is>
      </c>
      <c r="C21" s="2" t="inlineStr">
        <is>
          <t>Hierarkisk navigasjon</t>
        </is>
      </c>
      <c r="D21" s="2" t="inlineStr">
        <is>
          <t>08 Teknisk &amp; Modell</t>
        </is>
      </c>
      <c r="E21" s="21" t="inlineStr">
        <is>
          <t>Navigasjon fra aggregert nivå til underliggende nivå.</t>
        </is>
      </c>
      <c r="F21" s="21" t="inlineStr">
        <is>
          <t>Fra fakultet til institutt og koststed.</t>
        </is>
      </c>
      <c r="G21" s="21" t="inlineStr">
        <is>
          <t>Hierarkisk visualisering</t>
        </is>
      </c>
      <c r="H21" s="2" t="inlineStr">
        <is>
          <t>Alle roller</t>
        </is>
      </c>
      <c r="I21" s="2" t="inlineStr">
        <is>
          <t>03 Executive</t>
        </is>
      </c>
    </row>
    <row r="22">
      <c r="A22" s="2" t="n">
        <v>21</v>
      </c>
      <c r="B22" s="2" t="inlineStr">
        <is>
          <t>Drill-through</t>
        </is>
      </c>
      <c r="C22" s="2" t="inlineStr">
        <is>
          <t>Dybdenavigasjon med filterkontekst</t>
        </is>
      </c>
      <c r="D22" s="2" t="inlineStr">
        <is>
          <t>08 Teknisk &amp; Modell</t>
        </is>
      </c>
      <c r="E22" s="21" t="inlineStr">
        <is>
          <t>Navigasjon til detaljrapport med bevart filterkontekst.</t>
        </is>
      </c>
      <c r="F22" s="21" t="inlineStr">
        <is>
          <t>Fra sammendrag til detalj.</t>
        </is>
      </c>
      <c r="G22" s="21" t="inlineStr">
        <is>
          <t>Rapportsider DT1-DT5</t>
        </is>
      </c>
      <c r="H22" s="2" t="inlineStr">
        <is>
          <t>Alle roller</t>
        </is>
      </c>
      <c r="I22" s="2" t="inlineStr">
        <is>
          <t>Drill-Through</t>
        </is>
      </c>
    </row>
    <row r="23">
      <c r="A23" s="2" t="n">
        <v>22</v>
      </c>
      <c r="B23" s="2" t="inlineStr">
        <is>
          <t>EAC</t>
        </is>
      </c>
      <c r="C23" s="2" t="inlineStr">
        <is>
          <t>Estimate at Completion</t>
        </is>
      </c>
      <c r="D23" s="2" t="inlineStr">
        <is>
          <t>02 Prosjektcontrolling (EVM)</t>
        </is>
      </c>
      <c r="E23" s="21" t="inlineStr">
        <is>
          <t>Oppdatert forventet totalsluttresultat.</t>
        </is>
      </c>
      <c r="F23" s="21" t="inlineStr">
        <is>
          <t>Tilsvarer LE og sammenlignes med BAC.</t>
        </is>
      </c>
      <c r="G23" s="21" t="inlineStr">
        <is>
          <t>[Forecast aarsbelop]</t>
        </is>
      </c>
      <c r="H23" s="2" t="inlineStr">
        <is>
          <t>Alle roller</t>
        </is>
      </c>
      <c r="I23" s="2" t="inlineStr">
        <is>
          <t>03 Executive</t>
        </is>
      </c>
    </row>
    <row r="24">
      <c r="A24" s="2" t="n">
        <v>23</v>
      </c>
      <c r="B24" s="2" t="inlineStr">
        <is>
          <t>ETC</t>
        </is>
      </c>
      <c r="C24" s="2" t="inlineStr">
        <is>
          <t>Estimate to Complete</t>
        </is>
      </c>
      <c r="D24" s="2" t="inlineStr">
        <is>
          <t>02 Prosjektcontrolling (EVM)</t>
        </is>
      </c>
      <c r="E24" s="21" t="inlineStr">
        <is>
          <t>Forventet gjenstående kostnad frem til fullføring.</t>
        </is>
      </c>
      <c r="F24" s="21" t="inlineStr">
        <is>
          <t>Brukes til likviditetsstyring.</t>
        </is>
      </c>
      <c r="G24" s="21" t="inlineStr">
        <is>
          <t>[EAC] - [Regnskap YTD]</t>
        </is>
      </c>
      <c r="H24" s="2" t="inlineStr">
        <is>
          <t>Project Controller</t>
        </is>
      </c>
      <c r="I24" s="2" t="inlineStr">
        <is>
          <t>DT Prosjekt EVM</t>
        </is>
      </c>
    </row>
    <row r="25">
      <c r="A25" s="2" t="n">
        <v>24</v>
      </c>
      <c r="B25" s="2" t="inlineStr">
        <is>
          <t>EVU</t>
        </is>
      </c>
      <c r="C25" s="2" t="inlineStr">
        <is>
          <t>Etter- og videreutdanning</t>
        </is>
      </c>
      <c r="D25" s="2" t="inlineStr">
        <is>
          <t>01 Regnskap &amp; Sektor</t>
        </is>
      </c>
      <c r="E25" s="21" t="inlineStr">
        <is>
          <t>Kommersiell oppdragsutdanning.</t>
        </is>
      </c>
      <c r="F25" s="21" t="inlineStr">
        <is>
          <t>Krever full kostnadsdekning etter SRS 12.</t>
        </is>
      </c>
      <c r="G25" s="21" t="inlineStr">
        <is>
          <t>Konto 3600-3620</t>
        </is>
      </c>
      <c r="H25" s="2" t="inlineStr">
        <is>
          <t>Dekan / Instituttleder</t>
        </is>
      </c>
      <c r="I25" s="2" t="inlineStr">
        <is>
          <t>05 Forskning &amp; BOA</t>
        </is>
      </c>
    </row>
    <row r="26">
      <c r="A26" s="2" t="n">
        <v>25</v>
      </c>
      <c r="B26" s="2" t="inlineStr">
        <is>
          <t>EVM</t>
        </is>
      </c>
      <c r="C26" s="2" t="inlineStr">
        <is>
          <t>Earned Value Management</t>
        </is>
      </c>
      <c r="D26" s="2" t="inlineStr">
        <is>
          <t>02 Prosjektcontrolling (EVM)</t>
        </is>
      </c>
      <c r="E26" s="21" t="inlineStr">
        <is>
          <t>Metode som integrerer omfang, tid og kostnader.</t>
        </is>
      </c>
      <c r="F26" s="21" t="inlineStr">
        <is>
          <t>Gir tidlige varsler gjennom BAC, EAC, ETC og VAC.</t>
        </is>
      </c>
      <c r="G26" s="21" t="inlineStr">
        <is>
          <t>Prosjektcontrolling</t>
        </is>
      </c>
      <c r="H26" s="2" t="inlineStr">
        <is>
          <t>Project Controller</t>
        </is>
      </c>
      <c r="I26" s="2" t="inlineStr">
        <is>
          <t>DT Prosjekt EVM</t>
        </is>
      </c>
    </row>
    <row r="27" ht="26.5" customHeight="1" s="6">
      <c r="A27" s="2" t="n">
        <v>26</v>
      </c>
      <c r="B27" s="2" t="inlineStr">
        <is>
          <t>EVM Sluttavvik RAG Status</t>
        </is>
      </c>
      <c r="C27" s="2" t="inlineStr">
        <is>
          <t>RAG-status prosjektavvik</t>
        </is>
      </c>
      <c r="D27" s="2" t="inlineStr">
        <is>
          <t>07 RAG &amp; Farger</t>
        </is>
      </c>
      <c r="E27" s="21" t="inlineStr">
        <is>
          <t>Trafikklysstatus for VAC.</t>
        </is>
      </c>
      <c r="F27" s="21" t="inlineStr">
        <is>
          <t>Grønn &gt;=0, gul til -5%, ellers rød.</t>
        </is>
      </c>
      <c r="G27" s="21" t="inlineStr">
        <is>
          <t>SWITCH(TRUE(), [VAC] &gt;= 0, Grønn, [VAC %] &gt;= -0.05, Gul, Rød)</t>
        </is>
      </c>
      <c r="H27" s="2" t="inlineStr">
        <is>
          <t>Project Controller</t>
        </is>
      </c>
      <c r="I27" s="2" t="inlineStr">
        <is>
          <t>DT Prosjekt EVM</t>
        </is>
      </c>
    </row>
    <row r="28">
      <c r="A28" s="2" t="n">
        <v>27</v>
      </c>
      <c r="B28" s="2" t="inlineStr">
        <is>
          <t>FactAction</t>
        </is>
      </c>
      <c r="C28" s="2" t="inlineStr">
        <is>
          <t>Omstillingstiltak (Fakta)</t>
        </is>
      </c>
      <c r="D28" s="2" t="inlineStr">
        <is>
          <t>06 Omstilling &amp; Tiltak</t>
        </is>
      </c>
      <c r="E28" s="21" t="inlineStr">
        <is>
          <t>16 tiltak for kostnadsreduksjon og gevinstrealisering.</t>
        </is>
      </c>
      <c r="F28" s="21" t="inlineStr">
        <is>
          <t>Inneholder effekt, eier, frist, risiko og status.</t>
        </is>
      </c>
      <c r="G28" s="21" t="inlineStr">
        <is>
          <t>FactAction.csv</t>
        </is>
      </c>
      <c r="H28" s="2" t="inlineStr">
        <is>
          <t>Ledelse / Controller</t>
        </is>
      </c>
      <c r="I28" s="2" t="inlineStr">
        <is>
          <t>07 Action Tracker</t>
        </is>
      </c>
    </row>
    <row r="29">
      <c r="A29" s="2" t="n">
        <v>28</v>
      </c>
      <c r="B29" s="2" t="inlineStr">
        <is>
          <t>FactBudget</t>
        </is>
      </c>
      <c r="C29" s="2" t="inlineStr">
        <is>
          <t>Månedsbudsjett (Fakta)</t>
        </is>
      </c>
      <c r="D29" s="2" t="inlineStr">
        <is>
          <t>01 Regnskap &amp; Sektor</t>
        </is>
      </c>
      <c r="E29" s="21" t="inlineStr">
        <is>
          <t>17 760 periodiserte budsjettlinjer.</t>
        </is>
      </c>
      <c r="F29" s="21" t="inlineStr">
        <is>
          <t>Grunnlag for budsjettoppfølging og BAC.</t>
        </is>
      </c>
      <c r="G29" s="21" t="inlineStr">
        <is>
          <t>FactBudget.csv</t>
        </is>
      </c>
      <c r="H29" s="2" t="inlineStr">
        <is>
          <t>Controller</t>
        </is>
      </c>
      <c r="I29" s="2" t="inlineStr">
        <is>
          <t>08 Controller Cockpit</t>
        </is>
      </c>
    </row>
    <row r="30">
      <c r="A30" s="2" t="n">
        <v>29</v>
      </c>
      <c r="B30" s="2" t="inlineStr">
        <is>
          <t>FactForecast</t>
        </is>
      </c>
      <c r="C30" s="2" t="inlineStr">
        <is>
          <t>Rullende prognose (Fakta)</t>
        </is>
      </c>
      <c r="D30" s="2" t="inlineStr">
        <is>
          <t>03 Prognose &amp; Avvik</t>
        </is>
      </c>
      <c r="E30" s="21" t="inlineStr">
        <is>
          <t>53 280 prognoselinjer for FC1, FC2 og LE.</t>
        </is>
      </c>
      <c r="F30" s="21" t="inlineStr">
        <is>
          <t>Inneholder beløp og sannsynlighet.</t>
        </is>
      </c>
      <c r="G30" s="21" t="inlineStr">
        <is>
          <t>FactForecast.csv</t>
        </is>
      </c>
      <c r="H30" s="2" t="inlineStr">
        <is>
          <t>Controller / Ledelse</t>
        </is>
      </c>
      <c r="I30" s="2" t="inlineStr">
        <is>
          <t>03 Executive</t>
        </is>
      </c>
    </row>
    <row r="31">
      <c r="A31" s="2" t="n">
        <v>30</v>
      </c>
      <c r="B31" s="2" t="inlineStr">
        <is>
          <t>FactFTE</t>
        </is>
      </c>
      <c r="C31" s="2" t="inlineStr">
        <is>
          <t>Årsverk (Fakta)</t>
        </is>
      </c>
      <c r="D31" s="2" t="inlineStr">
        <is>
          <t>04 Bemanning &amp; Kapasitet</t>
        </is>
      </c>
      <c r="E31" s="21" t="inlineStr">
        <is>
          <t>1 200 månedlige bemanningsregistreringer.</t>
        </is>
      </c>
      <c r="F31" s="21" t="inlineStr">
        <is>
          <t>Beregner totale og faglige årsverk.</t>
        </is>
      </c>
      <c r="G31" s="21" t="inlineStr">
        <is>
          <t>FactFTE.csv</t>
        </is>
      </c>
      <c r="H31" s="2" t="inlineStr">
        <is>
          <t>HR / Dekan</t>
        </is>
      </c>
      <c r="I31" s="2" t="inlineStr">
        <is>
          <t>DT Bemanning</t>
        </is>
      </c>
    </row>
    <row r="32">
      <c r="A32" s="2" t="n">
        <v>31</v>
      </c>
      <c r="B32" s="2" t="inlineStr">
        <is>
          <t>FactGL</t>
        </is>
      </c>
      <c r="C32" s="2" t="inlineStr">
        <is>
          <t>Hovedbok transaksjoner (Fakta)</t>
        </is>
      </c>
      <c r="D32" s="2" t="inlineStr">
        <is>
          <t>01 Regnskap &amp; Sektor</t>
        </is>
      </c>
      <c r="E32" s="21" t="inlineStr">
        <is>
          <t>35 760 bokførte transaksjoner.</t>
        </is>
      </c>
      <c r="F32" s="21" t="inlineStr">
        <is>
          <t>Grunnlag for avstemming og actuals.</t>
        </is>
      </c>
      <c r="G32" s="21" t="inlineStr">
        <is>
          <t>FactGL.csv</t>
        </is>
      </c>
      <c r="H32" s="2" t="inlineStr">
        <is>
          <t>Controller</t>
        </is>
      </c>
      <c r="I32" s="2" t="inlineStr">
        <is>
          <t>DT Økonomi</t>
        </is>
      </c>
    </row>
    <row r="33">
      <c r="A33" s="2" t="n">
        <v>32</v>
      </c>
      <c r="B33" s="2" t="inlineStr">
        <is>
          <t>FactStudyPoints</t>
        </is>
      </c>
      <c r="C33" s="2" t="inlineStr">
        <is>
          <t>Studieproduksjon (Fakta)</t>
        </is>
      </c>
      <c r="D33" s="2" t="inlineStr">
        <is>
          <t>05 Utdanningsproduksjon</t>
        </is>
      </c>
      <c r="E33" s="21" t="inlineStr">
        <is>
          <t>432 månedlige registreringer.</t>
        </is>
      </c>
      <c r="F33" s="21" t="inlineStr">
        <is>
          <t>Understøtter studieproduksjon og finansiering.</t>
        </is>
      </c>
      <c r="G33" s="21" t="inlineStr">
        <is>
          <t>FactStudyPoints.csv</t>
        </is>
      </c>
      <c r="H33" s="2" t="inlineStr">
        <is>
          <t>Utdanningsledelse</t>
        </is>
      </c>
      <c r="I33" s="2" t="inlineStr">
        <is>
          <t>06 Studieportefølje</t>
        </is>
      </c>
    </row>
    <row r="34">
      <c r="A34" s="2" t="n">
        <v>33</v>
      </c>
      <c r="B34" s="2" t="inlineStr">
        <is>
          <t>Faglig andel %</t>
        </is>
      </c>
      <c r="C34" s="2" t="inlineStr">
        <is>
          <t>Vitenskapelig bemanningsandel</t>
        </is>
      </c>
      <c r="D34" s="2" t="inlineStr">
        <is>
          <t>04 Bemanning &amp; Kapasitet</t>
        </is>
      </c>
      <c r="E34" s="21" t="inlineStr">
        <is>
          <t>Andel av bemanningen i UF-stillinger.</t>
        </is>
      </c>
      <c r="F34" s="21" t="inlineStr">
        <is>
          <t>Bør overstige 50–55%.</t>
        </is>
      </c>
      <c r="G34" s="21" t="inlineStr">
        <is>
          <t>DIVIDE([Faglige aarsverk], [Aarsverk])</t>
        </is>
      </c>
      <c r="H34" s="2" t="inlineStr">
        <is>
          <t>Dekan / Styret</t>
        </is>
      </c>
      <c r="I34" s="2" t="inlineStr">
        <is>
          <t>02 Dekan &amp; Fakultet</t>
        </is>
      </c>
    </row>
    <row r="35">
      <c r="A35" s="2" t="n">
        <v>34</v>
      </c>
      <c r="B35" s="2" t="inlineStr">
        <is>
          <t>FC1 / FC2</t>
        </is>
      </c>
      <c r="C35" s="2" t="inlineStr">
        <is>
          <t>Rullende tertialprognoser</t>
        </is>
      </c>
      <c r="D35" s="2" t="inlineStr">
        <is>
          <t>03 Prognose &amp; Avvik</t>
        </is>
      </c>
      <c r="E35" s="21" t="inlineStr">
        <is>
          <t>Prognoser etter tertial 1 og 2.</t>
        </is>
      </c>
      <c r="F35" s="21" t="inlineStr">
        <is>
          <t>Viser utviklingen i helårsforventningen.</t>
        </is>
      </c>
      <c r="G35" s="21" t="inlineStr">
        <is>
          <t>DimForecastVersion[Versjon]</t>
        </is>
      </c>
      <c r="H35" s="2" t="inlineStr">
        <is>
          <t>Controller / Ledelse</t>
        </is>
      </c>
      <c r="I35" s="2" t="inlineStr">
        <is>
          <t>03 Executive</t>
        </is>
      </c>
    </row>
    <row r="36">
      <c r="A36" s="2" t="n">
        <v>35</v>
      </c>
      <c r="B36" s="2" t="inlineStr">
        <is>
          <t>Forecastavvik</t>
        </is>
      </c>
      <c r="C36" s="2" t="inlineStr">
        <is>
          <t>Forventet avvik ved årsslutt</t>
        </is>
      </c>
      <c r="D36" s="2" t="inlineStr">
        <is>
          <t>03 Prognose &amp; Avvik</t>
        </is>
      </c>
      <c r="E36" s="21" t="inlineStr">
        <is>
          <t>Differansen mellom LE og årsbudsjett.</t>
        </is>
      </c>
      <c r="F36" s="21" t="inlineStr">
        <is>
          <t>Viser mer- eller mindreforbruk før tiltak.</t>
        </is>
      </c>
      <c r="G36" s="21" t="inlineStr">
        <is>
          <t>[Forecast aarsbelop] - [Aarsbudsjett]</t>
        </is>
      </c>
      <c r="H36" s="2" t="inlineStr">
        <is>
          <t>Alle roller</t>
        </is>
      </c>
      <c r="I36" s="2" t="inlineStr">
        <is>
          <t>03 Executive</t>
        </is>
      </c>
    </row>
    <row r="37" ht="26.5" customHeight="1" s="6">
      <c r="A37" s="2" t="n">
        <v>36</v>
      </c>
      <c r="B37" s="2" t="inlineStr">
        <is>
          <t>Forecast RAG Status</t>
        </is>
      </c>
      <c r="C37" s="2" t="inlineStr">
        <is>
          <t>RAG-status helårsprognose</t>
        </is>
      </c>
      <c r="D37" s="2" t="inlineStr">
        <is>
          <t>07 RAG &amp; Farger</t>
        </is>
      </c>
      <c r="E37" s="21" t="inlineStr">
        <is>
          <t>Trafikklysstatus for forecastavvik.</t>
        </is>
      </c>
      <c r="F37" s="21" t="inlineStr">
        <is>
          <t>Rød &gt;5%, gul 2–5%, grønn &lt;=2%.</t>
        </is>
      </c>
      <c r="G37" s="21" t="inlineStr">
        <is>
          <t>SWITCH(TRUE(), [Forecastavvik %] &gt; 0.05, Rød, [Forecastavvik %] &gt;= 0.02, Gul, Grønn)</t>
        </is>
      </c>
      <c r="H37" s="2" t="inlineStr">
        <is>
          <t>Styret / Ledelse</t>
        </is>
      </c>
      <c r="I37" s="2" t="inlineStr">
        <is>
          <t>03 Executive</t>
        </is>
      </c>
    </row>
    <row r="38">
      <c r="A38" s="2" t="n">
        <v>37</v>
      </c>
      <c r="B38" s="2" t="inlineStr">
        <is>
          <t>FTE</t>
        </is>
      </c>
      <c r="C38" s="2" t="inlineStr">
        <is>
          <t>Full-Time Equivalent / Årsverk</t>
        </is>
      </c>
      <c r="D38" s="2" t="inlineStr">
        <is>
          <t>04 Bemanning &amp; Kapasitet</t>
        </is>
      </c>
      <c r="E38" s="21" t="inlineStr">
        <is>
          <t>Standardisert arbeidsinnsats for én fulltidsstilling.</t>
        </is>
      </c>
      <c r="F38" s="21" t="inlineStr">
        <is>
          <t>Måles som månedsslutt-snapshot.</t>
        </is>
      </c>
      <c r="G38" s="21" t="inlineStr">
        <is>
          <t>[Aarsverk]</t>
        </is>
      </c>
      <c r="H38" s="2" t="inlineStr">
        <is>
          <t>HR / Ledelse</t>
        </is>
      </c>
      <c r="I38" s="2" t="inlineStr">
        <is>
          <t>DT Bemanning</t>
        </is>
      </c>
    </row>
    <row r="39">
      <c r="A39" s="2" t="n">
        <v>38</v>
      </c>
      <c r="B39" s="2" t="inlineStr">
        <is>
          <t>Instituttleder</t>
        </is>
      </c>
      <c r="C39" s="2" t="inlineStr">
        <is>
          <t>Leder av grunnenhet</t>
        </is>
      </c>
      <c r="D39" s="2" t="inlineStr">
        <is>
          <t>08 Teknisk &amp; Modell</t>
        </is>
      </c>
      <c r="E39" s="21" t="inlineStr">
        <is>
          <t>Leder med budsjett- og personalansvar.</t>
        </is>
      </c>
      <c r="F39" s="21" t="inlineStr">
        <is>
          <t>Følger månedsavvik, kapasitet og tiltak.</t>
        </is>
      </c>
      <c r="G39" s="21" t="inlineStr">
        <is>
          <t>Rapportside 01</t>
        </is>
      </c>
      <c r="H39" s="2" t="inlineStr">
        <is>
          <t>Instituttleder</t>
        </is>
      </c>
      <c r="I39" s="2" t="inlineStr">
        <is>
          <t>01 Instituttleder</t>
        </is>
      </c>
    </row>
    <row r="40" ht="26.5" customHeight="1" s="6">
      <c r="A40" s="2" t="n">
        <v>39</v>
      </c>
      <c r="B40" s="2" t="inlineStr">
        <is>
          <t>KD</t>
        </is>
      </c>
      <c r="C40" s="2" t="inlineStr">
        <is>
          <t>Kunnskapsdepartementet</t>
        </is>
      </c>
      <c r="D40" s="2" t="inlineStr">
        <is>
          <t>01 Regnskap &amp; Sektor</t>
        </is>
      </c>
      <c r="E40" s="21" t="inlineStr">
        <is>
          <t>Departementet som fastsetter rammer og bevilgninger.</t>
        </is>
      </c>
      <c r="F40" s="21" t="inlineStr">
        <is>
          <t>Utsteder tildelingsbrevet.</t>
        </is>
      </c>
      <c r="G40" s="21" t="inlineStr">
        <is>
          <t>Statlig eier</t>
        </is>
      </c>
      <c r="H40" s="2" t="inlineStr">
        <is>
          <t>Styret / Ledelse</t>
        </is>
      </c>
      <c r="I40" s="2" t="inlineStr">
        <is>
          <t>04 Styret</t>
        </is>
      </c>
    </row>
    <row r="41">
      <c r="A41" s="2" t="n">
        <v>40</v>
      </c>
      <c r="B41" s="2" t="inlineStr">
        <is>
          <t>Kostnad per SPE60</t>
        </is>
      </c>
      <c r="C41" s="2" t="inlineStr">
        <is>
          <t>Enhetskostnad per helårsstudent</t>
        </is>
      </c>
      <c r="D41" s="2" t="inlineStr">
        <is>
          <t>05 Utdanningsproduksjon</t>
        </is>
      </c>
      <c r="E41" s="21" t="inlineStr">
        <is>
          <t>Totale kostnader dividert med SPE60.</t>
        </is>
      </c>
      <c r="F41" s="21" t="inlineStr">
        <is>
          <t>Høye tall kan indikere små kull eller høy ressursbruk.</t>
        </is>
      </c>
      <c r="G41" s="21" t="inlineStr">
        <is>
          <t>DIVIDE([Faktisk kostnader], [SPE60])</t>
        </is>
      </c>
      <c r="H41" s="2" t="inlineStr">
        <is>
          <t>Dekan / Utdanningsledelse</t>
        </is>
      </c>
      <c r="I41" s="2" t="inlineStr">
        <is>
          <t>06 Studieportefølje</t>
        </is>
      </c>
    </row>
    <row r="42" ht="26.5" customHeight="1" s="6">
      <c r="A42" s="2" t="n">
        <v>41</v>
      </c>
      <c r="B42" s="2" t="inlineStr">
        <is>
          <t>LE</t>
        </is>
      </c>
      <c r="C42" s="2" t="inlineStr">
        <is>
          <t>Latest Estimate</t>
        </is>
      </c>
      <c r="D42" s="2" t="inlineStr">
        <is>
          <t>03 Prognose &amp; Avvik</t>
        </is>
      </c>
      <c r="E42" s="21" t="inlineStr">
        <is>
          <t>Nyeste gjeldende helårsprognose.</t>
        </is>
      </c>
      <c r="F42" s="21" t="inlineStr">
        <is>
          <t>Ledelsens beste estimat for sluttresultatet.</t>
        </is>
      </c>
      <c r="G42" s="21" t="inlineStr">
        <is>
          <t>CALCULATE([Gjeldende forecast], Versjon=LE_2026)</t>
        </is>
      </c>
      <c r="H42" s="2" t="inlineStr">
        <is>
          <t>Alle roller</t>
        </is>
      </c>
      <c r="I42" s="2" t="inlineStr">
        <is>
          <t>03 Executive</t>
        </is>
      </c>
    </row>
    <row r="43" ht="26.5" customHeight="1" s="6">
      <c r="A43" s="2" t="n">
        <v>42</v>
      </c>
      <c r="B43" s="2" t="inlineStr">
        <is>
          <t>Lønnsandel %</t>
        </is>
      </c>
      <c r="C43" s="2" t="inlineStr">
        <is>
          <t>Personalkostnadsandel</t>
        </is>
      </c>
      <c r="D43" s="2" t="inlineStr">
        <is>
          <t>04 Bemanning &amp; Kapasitet</t>
        </is>
      </c>
      <c r="E43" s="21" t="inlineStr">
        <is>
          <t>Personalkostnader som andel av driftskostnader.</t>
        </is>
      </c>
      <c r="F43" s="21" t="inlineStr">
        <is>
          <t>Viktig driver for bærekraft.</t>
        </is>
      </c>
      <c r="G43" s="21" t="inlineStr">
        <is>
          <t>DIVIDE([Faktisk lonnskostnader], [Faktisk kostnader])</t>
        </is>
      </c>
      <c r="H43" s="2" t="inlineStr">
        <is>
          <t>Dekan / Ledelse</t>
        </is>
      </c>
      <c r="I43" s="2" t="inlineStr">
        <is>
          <t>02 Dekan &amp; Fakultet</t>
        </is>
      </c>
    </row>
    <row r="44">
      <c r="A44" s="2" t="n">
        <v>43</v>
      </c>
      <c r="B44" s="2" t="inlineStr">
        <is>
          <t>NFR</t>
        </is>
      </c>
      <c r="C44" s="2" t="inlineStr">
        <is>
          <t>Norges forskningsråd</t>
        </is>
      </c>
      <c r="D44" s="2" t="inlineStr">
        <is>
          <t>01 Regnskap &amp; Sektor</t>
        </is>
      </c>
      <c r="E44" s="21" t="inlineStr">
        <is>
          <t>Nasjonalt organ for forskningsfinansiering.</t>
        </is>
      </c>
      <c r="F44" s="21" t="inlineStr">
        <is>
          <t>Største eksterne bidragsyter i modellen.</t>
        </is>
      </c>
      <c r="G44" s="21" t="inlineStr">
        <is>
          <t>Finansieringskilde=NFR</t>
        </is>
      </c>
      <c r="H44" s="2" t="inlineStr">
        <is>
          <t>Forskningsledelse</t>
        </is>
      </c>
      <c r="I44" s="2" t="inlineStr">
        <is>
          <t>05 Forskning &amp; BOA</t>
        </is>
      </c>
    </row>
    <row r="45">
      <c r="A45" s="2" t="n">
        <v>44</v>
      </c>
      <c r="B45" s="2" t="inlineStr">
        <is>
          <t>Oppdrag</t>
        </is>
      </c>
      <c r="C45" s="2" t="inlineStr">
        <is>
          <t>Oppdragsforskning</t>
        </is>
      </c>
      <c r="D45" s="2" t="inlineStr">
        <is>
          <t>01 Regnskap &amp; Sektor</t>
        </is>
      </c>
      <c r="E45" s="21" t="inlineStr">
        <is>
          <t>Aktivitet med leveranser på kommersielle vilkår.</t>
        </is>
      </c>
      <c r="F45" s="21" t="inlineStr">
        <is>
          <t>Skal ha full kostnads- og overheaddekning.</t>
        </is>
      </c>
      <c r="G45" s="21" t="inlineStr">
        <is>
          <t>Finansieringstype=Oppdrag</t>
        </is>
      </c>
      <c r="H45" s="2" t="inlineStr">
        <is>
          <t>Forskningsledelse</t>
        </is>
      </c>
      <c r="I45" s="2" t="inlineStr">
        <is>
          <t>05 Forskning &amp; BOA</t>
        </is>
      </c>
    </row>
    <row r="46">
      <c r="A46" s="2" t="n">
        <v>45</v>
      </c>
      <c r="B46" s="2" t="inlineStr">
        <is>
          <t>PBIP</t>
        </is>
      </c>
      <c r="C46" s="2" t="inlineStr">
        <is>
          <t>Power BI Project</t>
        </is>
      </c>
      <c r="D46" s="2" t="inlineStr">
        <is>
          <t>08 Teknisk &amp; Modell</t>
        </is>
      </c>
      <c r="E46" s="21" t="inlineStr">
        <is>
          <t>Mappebasert kildeformat for Power BI.</t>
        </is>
      </c>
      <c r="F46" s="21" t="inlineStr">
        <is>
          <t>Muliggjør Git og automatisert testing.</t>
        </is>
      </c>
      <c r="G46" s="21" t="inlineStr">
        <is>
          <t>Mappestruktur</t>
        </is>
      </c>
      <c r="H46" s="2" t="inlineStr">
        <is>
          <t>BI-utvikler</t>
        </is>
      </c>
      <c r="I46" s="2" t="inlineStr">
        <is>
          <t>Repo root</t>
        </is>
      </c>
    </row>
    <row r="47">
      <c r="A47" s="2" t="n">
        <v>46</v>
      </c>
      <c r="B47" s="2" t="inlineStr">
        <is>
          <t>PBIR</t>
        </is>
      </c>
      <c r="C47" s="2" t="inlineStr">
        <is>
          <t>Power BI Enhanced Report Format</t>
        </is>
      </c>
      <c r="D47" s="2" t="inlineStr">
        <is>
          <t>08 Teknisk &amp; Modell</t>
        </is>
      </c>
      <c r="E47" s="21" t="inlineStr">
        <is>
          <t>Deklarativt JSON-format for rapporter.</t>
        </is>
      </c>
      <c r="F47" s="21" t="inlineStr">
        <is>
          <t>Muliggjør automatiserbar rapportbygging.</t>
        </is>
      </c>
      <c r="G47" s="21" t="inlineStr">
        <is>
          <t>Report definition</t>
        </is>
      </c>
      <c r="H47" s="2" t="inlineStr">
        <is>
          <t>BI-utvikler</t>
        </is>
      </c>
      <c r="I47" s="2" t="inlineStr">
        <is>
          <t>PBIR Definition</t>
        </is>
      </c>
    </row>
    <row r="48">
      <c r="A48" s="2" t="n">
        <v>47</v>
      </c>
      <c r="B48" s="2" t="inlineStr">
        <is>
          <t>RAG</t>
        </is>
      </c>
      <c r="C48" s="2" t="inlineStr">
        <is>
          <t>Red-Amber-Green</t>
        </is>
      </c>
      <c r="D48" s="2" t="inlineStr">
        <is>
          <t>07 RAG &amp; Farger</t>
        </is>
      </c>
      <c r="E48" s="21" t="inlineStr">
        <is>
          <t>Trafikklysmetodikk for styring.</t>
        </is>
      </c>
      <c r="F48" s="21" t="inlineStr">
        <is>
          <t>Retter oppmerksomhet mot kritiske områder.</t>
        </is>
      </c>
      <c r="G48" s="21" t="inlineStr">
        <is>
          <t>RAG-mål</t>
        </is>
      </c>
      <c r="H48" s="2" t="inlineStr">
        <is>
          <t>Alle roller</t>
        </is>
      </c>
      <c r="I48" s="2" t="inlineStr">
        <is>
          <t>Alle dashboards</t>
        </is>
      </c>
    </row>
    <row r="49" ht="26.5" customHeight="1" s="6">
      <c r="A49" s="2" t="n">
        <v>48</v>
      </c>
      <c r="B49" s="2" t="inlineStr">
        <is>
          <t>Realiseringsgrad %</t>
        </is>
      </c>
      <c r="C49" s="2" t="inlineStr">
        <is>
          <t>Gevinstrealiseringsgrad</t>
        </is>
      </c>
      <c r="D49" s="2" t="inlineStr">
        <is>
          <t>06 Omstilling &amp; Tiltak</t>
        </is>
      </c>
      <c r="E49" s="21" t="inlineStr">
        <is>
          <t>Realisert dividert med planlagt innsparing.</t>
        </is>
      </c>
      <c r="F49" s="21" t="inlineStr">
        <is>
          <t>Måler levert økonomisk effekt.</t>
        </is>
      </c>
      <c r="G49" s="21" t="inlineStr">
        <is>
          <t>DIVIDE([Realisert tiltakseffekt], [Forventet tiltakseffekt])</t>
        </is>
      </c>
      <c r="H49" s="2" t="inlineStr">
        <is>
          <t>Ledelse / Styret</t>
        </is>
      </c>
      <c r="I49" s="2" t="inlineStr">
        <is>
          <t>07 Action Tracker</t>
        </is>
      </c>
    </row>
    <row r="50">
      <c r="A50" s="2" t="n">
        <v>49</v>
      </c>
      <c r="B50" s="2" t="inlineStr">
        <is>
          <t>Restavvik</t>
        </is>
      </c>
      <c r="C50" s="2" t="inlineStr">
        <is>
          <t>Gjenværende risikogap</t>
        </is>
      </c>
      <c r="D50" s="2" t="inlineStr">
        <is>
          <t>06 Omstilling &amp; Tiltak</t>
        </is>
      </c>
      <c r="E50" s="21" t="inlineStr">
        <is>
          <t>Avvik som gjenstår etter tiltak.</t>
        </is>
      </c>
      <c r="F50" s="21" t="inlineStr">
        <is>
          <t>Udekket gap som fortsatt må håndteres.</t>
        </is>
      </c>
      <c r="G50" s="21" t="inlineStr">
        <is>
          <t>[Forecast etter tiltak] - [Aarsbudsjett]</t>
        </is>
      </c>
      <c r="H50" s="2" t="inlineStr">
        <is>
          <t>Styret / Ledelse</t>
        </is>
      </c>
      <c r="I50" s="2" t="inlineStr">
        <is>
          <t>03 Executive</t>
        </is>
      </c>
    </row>
    <row r="51">
      <c r="A51" s="2" t="n">
        <v>50</v>
      </c>
      <c r="B51" s="2" t="inlineStr">
        <is>
          <t>SPE60</t>
        </is>
      </c>
      <c r="C51" s="2" t="inlineStr">
        <is>
          <t>Studiepoengekvivalenter</t>
        </is>
      </c>
      <c r="D51" s="2" t="inlineStr">
        <is>
          <t>05 Utdanningsproduksjon</t>
        </is>
      </c>
      <c r="E51" s="21" t="inlineStr">
        <is>
          <t>60 avlagte studiepoeng tilsvarer én helårsstudent.</t>
        </is>
      </c>
      <c r="F51" s="21" t="inlineStr">
        <is>
          <t>Driver i resultatbasert finansiering.</t>
        </is>
      </c>
      <c r="G51" s="21" t="inlineStr">
        <is>
          <t>DIVIDE([Avlagte studiepoeng], 60)</t>
        </is>
      </c>
      <c r="H51" s="2" t="inlineStr">
        <is>
          <t>Utdanningsledelse / Dekan</t>
        </is>
      </c>
      <c r="I51" s="2" t="inlineStr">
        <is>
          <t>06 Studieportefølje</t>
        </is>
      </c>
    </row>
    <row r="52">
      <c r="A52" s="2" t="n">
        <v>51</v>
      </c>
      <c r="B52" s="2" t="inlineStr">
        <is>
          <t>SRS</t>
        </is>
      </c>
      <c r="C52" s="2" t="inlineStr">
        <is>
          <t>Statlige regnskapsstandarder</t>
        </is>
      </c>
      <c r="D52" s="2" t="inlineStr">
        <is>
          <t>01 Regnskap &amp; Sektor</t>
        </is>
      </c>
      <c r="E52" s="21" t="inlineStr">
        <is>
          <t>Periodiserte regnskapsprinsipper for staten.</t>
        </is>
      </c>
      <c r="F52" s="21" t="inlineStr">
        <is>
          <t>Sammenstiller ressursforbruk og inntekter.</t>
        </is>
      </c>
      <c r="G52" s="21" t="inlineStr">
        <is>
          <t>Regelverk</t>
        </is>
      </c>
      <c r="H52" s="2" t="inlineStr">
        <is>
          <t>Controller</t>
        </is>
      </c>
      <c r="I52" s="2" t="inlineStr">
        <is>
          <t>08 Controller Cockpit</t>
        </is>
      </c>
    </row>
    <row r="53" ht="26.5" customHeight="1" s="6">
      <c r="A53" s="2" t="n">
        <v>52</v>
      </c>
      <c r="B53" s="2" t="inlineStr">
        <is>
          <t>Studiepoeng måloppnåelse %</t>
        </is>
      </c>
      <c r="C53" s="2" t="inlineStr">
        <is>
          <t>Eksamensproduksjonsgrad</t>
        </is>
      </c>
      <c r="D53" s="2" t="inlineStr">
        <is>
          <t>05 Utdanningsproduksjon</t>
        </is>
      </c>
      <c r="E53" s="21" t="inlineStr">
        <is>
          <t>Avlagte studiepoeng delt på planlagte.</t>
        </is>
      </c>
      <c r="F53" s="21" t="inlineStr">
        <is>
          <t>Måler oppfyllelse av produksjonsmålet.</t>
        </is>
      </c>
      <c r="G53" s="21" t="inlineStr">
        <is>
          <t>DIVIDE([Avlagte studiepoeng], [Planlagte studiepoeng])</t>
        </is>
      </c>
      <c r="H53" s="2" t="inlineStr">
        <is>
          <t>Utdanningsledelse</t>
        </is>
      </c>
      <c r="I53" s="2" t="inlineStr">
        <is>
          <t>06 Studieportefølje</t>
        </is>
      </c>
    </row>
    <row r="54" ht="26.5" customHeight="1" s="6">
      <c r="A54" s="2" t="n">
        <v>53</v>
      </c>
      <c r="B54" s="2" t="inlineStr">
        <is>
          <t>TA</t>
        </is>
      </c>
      <c r="C54" s="2" t="inlineStr">
        <is>
          <t>Teknisk-administrativ bemanning</t>
        </is>
      </c>
      <c r="D54" s="2" t="inlineStr">
        <is>
          <t>04 Bemanning &amp; Kapasitet</t>
        </is>
      </c>
      <c r="E54" s="21" t="inlineStr">
        <is>
          <t>Ansatte innen administrasjon, IT, bibliotek, drift, HR og økonomi.</t>
        </is>
      </c>
      <c r="F54" s="21" t="inlineStr">
        <is>
          <t>Støttefunksjon dimensjonert mot fagmiljøene.</t>
        </is>
      </c>
      <c r="G54" s="21" t="inlineStr">
        <is>
          <t>Stillingskategori=Teknisk-administrativ</t>
        </is>
      </c>
      <c r="H54" s="2" t="inlineStr">
        <is>
          <t>HR / Ledelse</t>
        </is>
      </c>
      <c r="I54" s="2" t="inlineStr">
        <is>
          <t>DT Bemanning</t>
        </is>
      </c>
    </row>
    <row r="55">
      <c r="A55" s="2" t="n">
        <v>54</v>
      </c>
      <c r="B55" s="2" t="inlineStr">
        <is>
          <t>TDI</t>
        </is>
      </c>
      <c r="C55" s="2" t="inlineStr">
        <is>
          <t>Totalkostnadsmodellen</t>
        </is>
      </c>
      <c r="D55" s="2" t="inlineStr">
        <is>
          <t>01 Regnskap &amp; Sektor</t>
        </is>
      </c>
      <c r="E55" s="21" t="inlineStr">
        <is>
          <t>Retningslinjer for direkte og indirekte BOA-kostnader.</t>
        </is>
      </c>
      <c r="F55" s="21" t="inlineStr">
        <is>
          <t>Sikrer dekning av felles infrastruktur.</t>
        </is>
      </c>
      <c r="G55" s="21" t="inlineStr">
        <is>
          <t>Regelverk</t>
        </is>
      </c>
      <c r="H55" s="2" t="inlineStr">
        <is>
          <t>Forskningsledelse</t>
        </is>
      </c>
      <c r="I55" s="2" t="inlineStr">
        <is>
          <t>05 Forskning &amp; BOA</t>
        </is>
      </c>
    </row>
    <row r="56" ht="26.5" customHeight="1" s="6">
      <c r="A56" s="2" t="n">
        <v>55</v>
      </c>
      <c r="B56" s="2" t="inlineStr">
        <is>
          <t>Tiltak RAG Status</t>
        </is>
      </c>
      <c r="C56" s="2" t="inlineStr">
        <is>
          <t>RAG-status omstillingstiltak</t>
        </is>
      </c>
      <c r="D56" s="2" t="inlineStr">
        <is>
          <t>07 RAG &amp; Farger</t>
        </is>
      </c>
      <c r="E56" s="21" t="inlineStr">
        <is>
          <t>Visuell status for innsparingstiltak.</t>
        </is>
      </c>
      <c r="F56" s="21" t="inlineStr">
        <is>
          <t>Grønn gjennomført, gul pågår, rød forsinket, grå planlagt.</t>
        </is>
      </c>
      <c r="G56" s="21" t="inlineStr">
        <is>
          <t>SWITCH(FactAction[Status], ...)</t>
        </is>
      </c>
      <c r="H56" s="2" t="inlineStr">
        <is>
          <t>Ledelse / Styret</t>
        </is>
      </c>
      <c r="I56" s="2" t="inlineStr">
        <is>
          <t>07 Action Tracker</t>
        </is>
      </c>
    </row>
    <row r="57">
      <c r="A57" s="2" t="n">
        <v>56</v>
      </c>
      <c r="B57" s="2" t="inlineStr">
        <is>
          <t>TMDL</t>
        </is>
      </c>
      <c r="C57" s="2" t="inlineStr">
        <is>
          <t>Tabular Model Definition Language</t>
        </is>
      </c>
      <c r="D57" s="2" t="inlineStr">
        <is>
          <t>08 Teknisk &amp; Modell</t>
        </is>
      </c>
      <c r="E57" s="21" t="inlineStr">
        <is>
          <t>Tekstbasert språk for semantiske modeller.</t>
        </is>
      </c>
      <c r="F57" s="21" t="inlineStr">
        <is>
          <t>Modulære og lesbare modelldefinisjoner.</t>
        </is>
      </c>
      <c r="G57" s="21" t="inlineStr">
        <is>
          <t>SemanticModel</t>
        </is>
      </c>
      <c r="H57" s="2" t="inlineStr">
        <is>
          <t>BI-utvikler</t>
        </is>
      </c>
      <c r="I57" s="2" t="inlineStr">
        <is>
          <t>TMDL Model</t>
        </is>
      </c>
    </row>
    <row r="58">
      <c r="A58" s="2" t="n">
        <v>57</v>
      </c>
      <c r="B58" s="2" t="inlineStr">
        <is>
          <t>UF</t>
        </is>
      </c>
      <c r="C58" s="2" t="inlineStr">
        <is>
          <t>Undervisning og forskning</t>
        </is>
      </c>
      <c r="D58" s="2" t="inlineStr">
        <is>
          <t>04 Bemanning &amp; Kapasitet</t>
        </is>
      </c>
      <c r="E58" s="21" t="inlineStr">
        <is>
          <t>Vitenskapelige ansatte i undervisning og forskning.</t>
        </is>
      </c>
      <c r="F58" s="21" t="inlineStr">
        <is>
          <t>Kjernearbeidskraft for faglig produksjon.</t>
        </is>
      </c>
      <c r="G58" s="21" t="inlineStr">
        <is>
          <t>Stillingskategori=Vitenskapelig</t>
        </is>
      </c>
      <c r="H58" s="2" t="inlineStr">
        <is>
          <t>Dekan / Instituttleder</t>
        </is>
      </c>
      <c r="I58" s="2" t="inlineStr">
        <is>
          <t>01 Instituttleder</t>
        </is>
      </c>
    </row>
    <row r="59">
      <c r="A59" s="2" t="n">
        <v>58</v>
      </c>
      <c r="B59" s="2" t="inlineStr">
        <is>
          <t>VAC</t>
        </is>
      </c>
      <c r="C59" s="2" t="inlineStr">
        <is>
          <t>Variance at Completion</t>
        </is>
      </c>
      <c r="D59" s="2" t="inlineStr">
        <is>
          <t>02 Prosjektcontrolling (EVM)</t>
        </is>
      </c>
      <c r="E59" s="21" t="inlineStr">
        <is>
          <t>Forventet sluttavvik som BAC minus EAC.</t>
        </is>
      </c>
      <c r="F59" s="21" t="inlineStr">
        <is>
          <t>Positivt er besparelse, negativt overskridelse.</t>
        </is>
      </c>
      <c r="G59" s="21" t="inlineStr">
        <is>
          <t>[BAC] - [EAC]</t>
        </is>
      </c>
      <c r="H59" s="2" t="inlineStr">
        <is>
          <t>Project Controller</t>
        </is>
      </c>
      <c r="I59" s="2" t="inlineStr">
        <is>
          <t>DT Prosjekt EVM</t>
        </is>
      </c>
    </row>
    <row r="60">
      <c r="A60" s="2" t="n">
        <v>59</v>
      </c>
      <c r="B60" s="2" t="inlineStr">
        <is>
          <t>VAC %</t>
        </is>
      </c>
      <c r="C60" s="2" t="inlineStr">
        <is>
          <t>Sluttavvik prosent</t>
        </is>
      </c>
      <c r="D60" s="2" t="inlineStr">
        <is>
          <t>02 Prosjektcontrolling (EVM)</t>
        </is>
      </c>
      <c r="E60" s="21" t="inlineStr">
        <is>
          <t>Sluttavvik som prosent av opprinnelig ramme.</t>
        </is>
      </c>
      <c r="F60" s="21" t="inlineStr">
        <is>
          <t>Rangerer prosjekter etter risiko.</t>
        </is>
      </c>
      <c r="G60" s="21" t="inlineStr">
        <is>
          <t>DIVIDE([VAC], [BAC])</t>
        </is>
      </c>
      <c r="H60" s="2" t="inlineStr">
        <is>
          <t>Project Controller</t>
        </is>
      </c>
      <c r="I60" s="2" t="inlineStr">
        <is>
          <t>DT Prosjekt EVM</t>
        </is>
      </c>
    </row>
    <row r="61">
      <c r="A61" s="2" t="n">
        <v>60</v>
      </c>
      <c r="B61" s="2" t="inlineStr">
        <is>
          <t>YTD</t>
        </is>
      </c>
      <c r="C61" s="2" t="inlineStr">
        <is>
          <t>Year to Date</t>
        </is>
      </c>
      <c r="D61" s="2" t="inlineStr">
        <is>
          <t>01 Regnskap &amp; Sektor</t>
        </is>
      </c>
      <c r="E61" s="21" t="inlineStr">
        <is>
          <t>Akkumulert beløp fra 1. januar til rapporteringsdato.</t>
        </is>
      </c>
      <c r="F61" s="21" t="inlineStr">
        <is>
          <t>Gir et stabilt utviklingsbilde.</t>
        </is>
      </c>
      <c r="G61" s="21" t="inlineStr">
        <is>
          <t>TOTALYTD([Regnskap], DimDate[Dato])</t>
        </is>
      </c>
      <c r="H61" s="2" t="inlineStr">
        <is>
          <t>Alle roller</t>
        </is>
      </c>
      <c r="I61" s="2" t="inlineStr">
        <is>
          <t>08 Controller Cockpit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31"/>
  <sheetViews>
    <sheetView workbookViewId="0">
      <selection activeCell="A1" sqref="A1:H1"/>
    </sheetView>
  </sheetViews>
  <sheetFormatPr baseColWidth="8" defaultRowHeight="14.5"/>
  <cols>
    <col width="10.08984375" bestFit="1" customWidth="1" style="6" min="1" max="1"/>
    <col width="13.36328125" bestFit="1" customWidth="1" style="6" min="2" max="2"/>
    <col width="6" bestFit="1" customWidth="1" style="6" min="3" max="3"/>
    <col width="9.08984375" bestFit="1" customWidth="1" style="6" min="4" max="4"/>
    <col width="12" bestFit="1" customWidth="1" style="6" min="5" max="5"/>
    <col width="12.6328125" bestFit="1" customWidth="1" style="6" min="6" max="6"/>
    <col width="14" bestFit="1" customWidth="1" style="6" min="7" max="7"/>
  </cols>
  <sheetData>
    <row r="1" customFormat="1" s="17">
      <c r="A1" s="18" t="inlineStr">
        <is>
          <t>Dato</t>
        </is>
      </c>
      <c r="B1" s="18" t="inlineStr">
        <is>
          <t>DatoNokkel</t>
        </is>
      </c>
      <c r="C1" s="18" t="inlineStr">
        <is>
          <t>Aar</t>
        </is>
      </c>
      <c r="D1" s="18" t="inlineStr">
        <is>
          <t>Kvartal</t>
        </is>
      </c>
      <c r="E1" s="18" t="inlineStr">
        <is>
          <t>MaanedNr</t>
        </is>
      </c>
      <c r="F1" s="18" t="inlineStr">
        <is>
          <t>AarMaaned</t>
        </is>
      </c>
      <c r="G1" s="18" t="inlineStr">
        <is>
          <t>MaanedStart</t>
        </is>
      </c>
    </row>
    <row r="2">
      <c r="A2" s="33" t="n">
        <v>46023</v>
      </c>
      <c r="B2" s="31" t="n">
        <v>20260101</v>
      </c>
      <c r="C2" s="31" t="n">
        <v>2026</v>
      </c>
      <c r="D2" s="31" t="inlineStr">
        <is>
          <t>K1</t>
        </is>
      </c>
      <c r="E2" s="31" t="n">
        <v>1</v>
      </c>
      <c r="F2" s="31" t="inlineStr">
        <is>
          <t>2026-01</t>
        </is>
      </c>
      <c r="G2" s="33" t="n">
        <v>46023</v>
      </c>
    </row>
    <row r="3">
      <c r="A3" s="33" t="n">
        <v>46024</v>
      </c>
      <c r="B3" s="31" t="n">
        <v>20260102</v>
      </c>
      <c r="C3" s="31" t="n">
        <v>2026</v>
      </c>
      <c r="D3" s="31" t="inlineStr">
        <is>
          <t>K1</t>
        </is>
      </c>
      <c r="E3" s="31" t="n">
        <v>1</v>
      </c>
      <c r="F3" s="31" t="inlineStr">
        <is>
          <t>2026-01</t>
        </is>
      </c>
      <c r="G3" s="33" t="n">
        <v>46023</v>
      </c>
    </row>
    <row r="4">
      <c r="A4" s="33" t="n">
        <v>46025</v>
      </c>
      <c r="B4" s="31" t="n">
        <v>20260103</v>
      </c>
      <c r="C4" s="31" t="n">
        <v>2026</v>
      </c>
      <c r="D4" s="31" t="inlineStr">
        <is>
          <t>K1</t>
        </is>
      </c>
      <c r="E4" s="31" t="n">
        <v>1</v>
      </c>
      <c r="F4" s="31" t="inlineStr">
        <is>
          <t>2026-01</t>
        </is>
      </c>
      <c r="G4" s="33" t="n">
        <v>46023</v>
      </c>
    </row>
    <row r="5">
      <c r="A5" s="33" t="n">
        <v>46026</v>
      </c>
      <c r="B5" s="31" t="n">
        <v>20260104</v>
      </c>
      <c r="C5" s="31" t="n">
        <v>2026</v>
      </c>
      <c r="D5" s="31" t="inlineStr">
        <is>
          <t>K1</t>
        </is>
      </c>
      <c r="E5" s="31" t="n">
        <v>1</v>
      </c>
      <c r="F5" s="31" t="inlineStr">
        <is>
          <t>2026-01</t>
        </is>
      </c>
      <c r="G5" s="33" t="n">
        <v>46023</v>
      </c>
    </row>
    <row r="6">
      <c r="A6" s="33" t="n">
        <v>46027</v>
      </c>
      <c r="B6" s="31" t="n">
        <v>20260105</v>
      </c>
      <c r="C6" s="31" t="n">
        <v>2026</v>
      </c>
      <c r="D6" s="31" t="inlineStr">
        <is>
          <t>K1</t>
        </is>
      </c>
      <c r="E6" s="31" t="n">
        <v>1</v>
      </c>
      <c r="F6" s="31" t="inlineStr">
        <is>
          <t>2026-01</t>
        </is>
      </c>
      <c r="G6" s="33" t="n">
        <v>46023</v>
      </c>
    </row>
    <row r="7">
      <c r="A7" s="33" t="n">
        <v>46028</v>
      </c>
      <c r="B7" s="31" t="n">
        <v>20260106</v>
      </c>
      <c r="C7" s="31" t="n">
        <v>2026</v>
      </c>
      <c r="D7" s="31" t="inlineStr">
        <is>
          <t>K1</t>
        </is>
      </c>
      <c r="E7" s="31" t="n">
        <v>1</v>
      </c>
      <c r="F7" s="31" t="inlineStr">
        <is>
          <t>2026-01</t>
        </is>
      </c>
      <c r="G7" s="33" t="n">
        <v>46023</v>
      </c>
    </row>
    <row r="8">
      <c r="A8" s="33" t="n">
        <v>46029</v>
      </c>
      <c r="B8" s="31" t="n">
        <v>20260107</v>
      </c>
      <c r="C8" s="31" t="n">
        <v>2026</v>
      </c>
      <c r="D8" s="31" t="inlineStr">
        <is>
          <t>K1</t>
        </is>
      </c>
      <c r="E8" s="31" t="n">
        <v>1</v>
      </c>
      <c r="F8" s="31" t="inlineStr">
        <is>
          <t>2026-01</t>
        </is>
      </c>
      <c r="G8" s="33" t="n">
        <v>46023</v>
      </c>
    </row>
    <row r="9">
      <c r="A9" s="33" t="n">
        <v>46030</v>
      </c>
      <c r="B9" s="31" t="n">
        <v>20260108</v>
      </c>
      <c r="C9" s="31" t="n">
        <v>2026</v>
      </c>
      <c r="D9" s="31" t="inlineStr">
        <is>
          <t>K1</t>
        </is>
      </c>
      <c r="E9" s="31" t="n">
        <v>1</v>
      </c>
      <c r="F9" s="31" t="inlineStr">
        <is>
          <t>2026-01</t>
        </is>
      </c>
      <c r="G9" s="33" t="n">
        <v>46023</v>
      </c>
    </row>
    <row r="10">
      <c r="A10" s="33" t="n">
        <v>46031</v>
      </c>
      <c r="B10" s="31" t="n">
        <v>20260109</v>
      </c>
      <c r="C10" s="31" t="n">
        <v>2026</v>
      </c>
      <c r="D10" s="31" t="inlineStr">
        <is>
          <t>K1</t>
        </is>
      </c>
      <c r="E10" s="31" t="n">
        <v>1</v>
      </c>
      <c r="F10" s="31" t="inlineStr">
        <is>
          <t>2026-01</t>
        </is>
      </c>
      <c r="G10" s="33" t="n">
        <v>46023</v>
      </c>
    </row>
    <row r="11">
      <c r="A11" s="33" t="n">
        <v>46032</v>
      </c>
      <c r="B11" s="31" t="n">
        <v>20260110</v>
      </c>
      <c r="C11" s="31" t="n">
        <v>2026</v>
      </c>
      <c r="D11" s="31" t="inlineStr">
        <is>
          <t>K1</t>
        </is>
      </c>
      <c r="E11" s="31" t="n">
        <v>1</v>
      </c>
      <c r="F11" s="31" t="inlineStr">
        <is>
          <t>2026-01</t>
        </is>
      </c>
      <c r="G11" s="33" t="n">
        <v>46023</v>
      </c>
    </row>
    <row r="12">
      <c r="A12" s="33" t="n">
        <v>46033</v>
      </c>
      <c r="B12" s="31" t="n">
        <v>20260111</v>
      </c>
      <c r="C12" s="31" t="n">
        <v>2026</v>
      </c>
      <c r="D12" s="31" t="inlineStr">
        <is>
          <t>K1</t>
        </is>
      </c>
      <c r="E12" s="31" t="n">
        <v>1</v>
      </c>
      <c r="F12" s="31" t="inlineStr">
        <is>
          <t>2026-01</t>
        </is>
      </c>
      <c r="G12" s="33" t="n">
        <v>46023</v>
      </c>
    </row>
    <row r="13">
      <c r="A13" s="33" t="n">
        <v>46034</v>
      </c>
      <c r="B13" s="31" t="n">
        <v>20260112</v>
      </c>
      <c r="C13" s="31" t="n">
        <v>2026</v>
      </c>
      <c r="D13" s="31" t="inlineStr">
        <is>
          <t>K1</t>
        </is>
      </c>
      <c r="E13" s="31" t="n">
        <v>1</v>
      </c>
      <c r="F13" s="31" t="inlineStr">
        <is>
          <t>2026-01</t>
        </is>
      </c>
      <c r="G13" s="33" t="n">
        <v>46023</v>
      </c>
    </row>
    <row r="14">
      <c r="A14" s="33" t="n">
        <v>46035</v>
      </c>
      <c r="B14" s="31" t="n">
        <v>20260113</v>
      </c>
      <c r="C14" s="31" t="n">
        <v>2026</v>
      </c>
      <c r="D14" s="31" t="inlineStr">
        <is>
          <t>K1</t>
        </is>
      </c>
      <c r="E14" s="31" t="n">
        <v>1</v>
      </c>
      <c r="F14" s="31" t="inlineStr">
        <is>
          <t>2026-01</t>
        </is>
      </c>
      <c r="G14" s="33" t="n">
        <v>46023</v>
      </c>
    </row>
    <row r="15">
      <c r="A15" s="33" t="n">
        <v>46036</v>
      </c>
      <c r="B15" s="31" t="n">
        <v>20260114</v>
      </c>
      <c r="C15" s="31" t="n">
        <v>2026</v>
      </c>
      <c r="D15" s="31" t="inlineStr">
        <is>
          <t>K1</t>
        </is>
      </c>
      <c r="E15" s="31" t="n">
        <v>1</v>
      </c>
      <c r="F15" s="31" t="inlineStr">
        <is>
          <t>2026-01</t>
        </is>
      </c>
      <c r="G15" s="33" t="n">
        <v>46023</v>
      </c>
    </row>
    <row r="16">
      <c r="A16" s="33" t="n">
        <v>46037</v>
      </c>
      <c r="B16" s="31" t="n">
        <v>20260115</v>
      </c>
      <c r="C16" s="31" t="n">
        <v>2026</v>
      </c>
      <c r="D16" s="31" t="inlineStr">
        <is>
          <t>K1</t>
        </is>
      </c>
      <c r="E16" s="31" t="n">
        <v>1</v>
      </c>
      <c r="F16" s="31" t="inlineStr">
        <is>
          <t>2026-01</t>
        </is>
      </c>
      <c r="G16" s="33" t="n">
        <v>46023</v>
      </c>
    </row>
    <row r="17">
      <c r="A17" s="33" t="n">
        <v>46038</v>
      </c>
      <c r="B17" s="31" t="n">
        <v>20260116</v>
      </c>
      <c r="C17" s="31" t="n">
        <v>2026</v>
      </c>
      <c r="D17" s="31" t="inlineStr">
        <is>
          <t>K1</t>
        </is>
      </c>
      <c r="E17" s="31" t="n">
        <v>1</v>
      </c>
      <c r="F17" s="31" t="inlineStr">
        <is>
          <t>2026-01</t>
        </is>
      </c>
      <c r="G17" s="33" t="n">
        <v>46023</v>
      </c>
    </row>
    <row r="18">
      <c r="A18" s="33" t="n">
        <v>46039</v>
      </c>
      <c r="B18" s="31" t="n">
        <v>20260117</v>
      </c>
      <c r="C18" s="31" t="n">
        <v>2026</v>
      </c>
      <c r="D18" s="31" t="inlineStr">
        <is>
          <t>K1</t>
        </is>
      </c>
      <c r="E18" s="31" t="n">
        <v>1</v>
      </c>
      <c r="F18" s="31" t="inlineStr">
        <is>
          <t>2026-01</t>
        </is>
      </c>
      <c r="G18" s="33" t="n">
        <v>46023</v>
      </c>
    </row>
    <row r="19">
      <c r="A19" s="33" t="n">
        <v>46040</v>
      </c>
      <c r="B19" s="31" t="n">
        <v>20260118</v>
      </c>
      <c r="C19" s="31" t="n">
        <v>2026</v>
      </c>
      <c r="D19" s="31" t="inlineStr">
        <is>
          <t>K1</t>
        </is>
      </c>
      <c r="E19" s="31" t="n">
        <v>1</v>
      </c>
      <c r="F19" s="31" t="inlineStr">
        <is>
          <t>2026-01</t>
        </is>
      </c>
      <c r="G19" s="33" t="n">
        <v>46023</v>
      </c>
    </row>
    <row r="20">
      <c r="A20" s="33" t="n">
        <v>46041</v>
      </c>
      <c r="B20" s="31" t="n">
        <v>20260119</v>
      </c>
      <c r="C20" s="31" t="n">
        <v>2026</v>
      </c>
      <c r="D20" s="31" t="inlineStr">
        <is>
          <t>K1</t>
        </is>
      </c>
      <c r="E20" s="31" t="n">
        <v>1</v>
      </c>
      <c r="F20" s="31" t="inlineStr">
        <is>
          <t>2026-01</t>
        </is>
      </c>
      <c r="G20" s="33" t="n">
        <v>46023</v>
      </c>
    </row>
    <row r="21">
      <c r="A21" s="33" t="n">
        <v>46042</v>
      </c>
      <c r="B21" s="31" t="n">
        <v>20260120</v>
      </c>
      <c r="C21" s="31" t="n">
        <v>2026</v>
      </c>
      <c r="D21" s="31" t="inlineStr">
        <is>
          <t>K1</t>
        </is>
      </c>
      <c r="E21" s="31" t="n">
        <v>1</v>
      </c>
      <c r="F21" s="31" t="inlineStr">
        <is>
          <t>2026-01</t>
        </is>
      </c>
      <c r="G21" s="33" t="n">
        <v>46023</v>
      </c>
    </row>
    <row r="22">
      <c r="A22" s="33" t="n">
        <v>46043</v>
      </c>
      <c r="B22" s="31" t="n">
        <v>20260121</v>
      </c>
      <c r="C22" s="31" t="n">
        <v>2026</v>
      </c>
      <c r="D22" s="31" t="inlineStr">
        <is>
          <t>K1</t>
        </is>
      </c>
      <c r="E22" s="31" t="n">
        <v>1</v>
      </c>
      <c r="F22" s="31" t="inlineStr">
        <is>
          <t>2026-01</t>
        </is>
      </c>
      <c r="G22" s="33" t="n">
        <v>46023</v>
      </c>
    </row>
    <row r="23">
      <c r="A23" s="33" t="n">
        <v>46044</v>
      </c>
      <c r="B23" s="31" t="n">
        <v>20260122</v>
      </c>
      <c r="C23" s="31" t="n">
        <v>2026</v>
      </c>
      <c r="D23" s="31" t="inlineStr">
        <is>
          <t>K1</t>
        </is>
      </c>
      <c r="E23" s="31" t="n">
        <v>1</v>
      </c>
      <c r="F23" s="31" t="inlineStr">
        <is>
          <t>2026-01</t>
        </is>
      </c>
      <c r="G23" s="33" t="n">
        <v>46023</v>
      </c>
    </row>
    <row r="24">
      <c r="A24" s="33" t="n">
        <v>46045</v>
      </c>
      <c r="B24" s="31" t="n">
        <v>20260123</v>
      </c>
      <c r="C24" s="31" t="n">
        <v>2026</v>
      </c>
      <c r="D24" s="31" t="inlineStr">
        <is>
          <t>K1</t>
        </is>
      </c>
      <c r="E24" s="31" t="n">
        <v>1</v>
      </c>
      <c r="F24" s="31" t="inlineStr">
        <is>
          <t>2026-01</t>
        </is>
      </c>
      <c r="G24" s="33" t="n">
        <v>46023</v>
      </c>
    </row>
    <row r="25">
      <c r="A25" s="33" t="n">
        <v>46046</v>
      </c>
      <c r="B25" s="31" t="n">
        <v>20260124</v>
      </c>
      <c r="C25" s="31" t="n">
        <v>2026</v>
      </c>
      <c r="D25" s="31" t="inlineStr">
        <is>
          <t>K1</t>
        </is>
      </c>
      <c r="E25" s="31" t="n">
        <v>1</v>
      </c>
      <c r="F25" s="31" t="inlineStr">
        <is>
          <t>2026-01</t>
        </is>
      </c>
      <c r="G25" s="33" t="n">
        <v>46023</v>
      </c>
    </row>
    <row r="26">
      <c r="A26" s="33" t="n">
        <v>46047</v>
      </c>
      <c r="B26" s="31" t="n">
        <v>20260125</v>
      </c>
      <c r="C26" s="31" t="n">
        <v>2026</v>
      </c>
      <c r="D26" s="31" t="inlineStr">
        <is>
          <t>K1</t>
        </is>
      </c>
      <c r="E26" s="31" t="n">
        <v>1</v>
      </c>
      <c r="F26" s="31" t="inlineStr">
        <is>
          <t>2026-01</t>
        </is>
      </c>
      <c r="G26" s="33" t="n">
        <v>46023</v>
      </c>
    </row>
    <row r="27">
      <c r="A27" s="33" t="n">
        <v>46048</v>
      </c>
      <c r="B27" s="31" t="n">
        <v>20260126</v>
      </c>
      <c r="C27" s="31" t="n">
        <v>2026</v>
      </c>
      <c r="D27" s="31" t="inlineStr">
        <is>
          <t>K1</t>
        </is>
      </c>
      <c r="E27" s="31" t="n">
        <v>1</v>
      </c>
      <c r="F27" s="31" t="inlineStr">
        <is>
          <t>2026-01</t>
        </is>
      </c>
      <c r="G27" s="33" t="n">
        <v>46023</v>
      </c>
    </row>
    <row r="28">
      <c r="A28" s="33" t="n">
        <v>46049</v>
      </c>
      <c r="B28" s="31" t="n">
        <v>20260127</v>
      </c>
      <c r="C28" s="31" t="n">
        <v>2026</v>
      </c>
      <c r="D28" s="31" t="inlineStr">
        <is>
          <t>K1</t>
        </is>
      </c>
      <c r="E28" s="31" t="n">
        <v>1</v>
      </c>
      <c r="F28" s="31" t="inlineStr">
        <is>
          <t>2026-01</t>
        </is>
      </c>
      <c r="G28" s="33" t="n">
        <v>46023</v>
      </c>
    </row>
    <row r="29">
      <c r="A29" s="33" t="n">
        <v>46050</v>
      </c>
      <c r="B29" s="31" t="n">
        <v>20260128</v>
      </c>
      <c r="C29" s="31" t="n">
        <v>2026</v>
      </c>
      <c r="D29" s="31" t="inlineStr">
        <is>
          <t>K1</t>
        </is>
      </c>
      <c r="E29" s="31" t="n">
        <v>1</v>
      </c>
      <c r="F29" s="31" t="inlineStr">
        <is>
          <t>2026-01</t>
        </is>
      </c>
      <c r="G29" s="33" t="n">
        <v>46023</v>
      </c>
    </row>
    <row r="30">
      <c r="A30" s="33" t="n">
        <v>46051</v>
      </c>
      <c r="B30" s="31" t="n">
        <v>20260129</v>
      </c>
      <c r="C30" s="31" t="n">
        <v>2026</v>
      </c>
      <c r="D30" s="31" t="inlineStr">
        <is>
          <t>K1</t>
        </is>
      </c>
      <c r="E30" s="31" t="n">
        <v>1</v>
      </c>
      <c r="F30" s="31" t="inlineStr">
        <is>
          <t>2026-01</t>
        </is>
      </c>
      <c r="G30" s="33" t="n">
        <v>46023</v>
      </c>
    </row>
    <row r="31">
      <c r="A31" s="33" t="n">
        <v>46052</v>
      </c>
      <c r="B31" s="31" t="n">
        <v>20260130</v>
      </c>
      <c r="C31" s="31" t="n">
        <v>2026</v>
      </c>
      <c r="D31" s="31" t="inlineStr">
        <is>
          <t>K1</t>
        </is>
      </c>
      <c r="E31" s="31" t="n">
        <v>1</v>
      </c>
      <c r="F31" s="31" t="inlineStr">
        <is>
          <t>2026-01</t>
        </is>
      </c>
      <c r="G31" s="33" t="n">
        <v>46023</v>
      </c>
    </row>
    <row r="32">
      <c r="A32" s="33" t="n">
        <v>46053</v>
      </c>
      <c r="B32" s="31" t="n">
        <v>20260131</v>
      </c>
      <c r="C32" s="31" t="n">
        <v>2026</v>
      </c>
      <c r="D32" s="31" t="inlineStr">
        <is>
          <t>K1</t>
        </is>
      </c>
      <c r="E32" s="31" t="n">
        <v>1</v>
      </c>
      <c r="F32" s="31" t="inlineStr">
        <is>
          <t>2026-01</t>
        </is>
      </c>
      <c r="G32" s="33" t="n">
        <v>46023</v>
      </c>
    </row>
    <row r="33">
      <c r="A33" s="33" t="n">
        <v>46054</v>
      </c>
      <c r="B33" s="31" t="n">
        <v>20260201</v>
      </c>
      <c r="C33" s="31" t="n">
        <v>2026</v>
      </c>
      <c r="D33" s="31" t="inlineStr">
        <is>
          <t>K1</t>
        </is>
      </c>
      <c r="E33" s="31" t="n">
        <v>2</v>
      </c>
      <c r="F33" s="31" t="inlineStr">
        <is>
          <t>2026-02</t>
        </is>
      </c>
      <c r="G33" s="33" t="n">
        <v>46054</v>
      </c>
    </row>
    <row r="34">
      <c r="A34" s="33" t="n">
        <v>46055</v>
      </c>
      <c r="B34" s="31" t="n">
        <v>20260202</v>
      </c>
      <c r="C34" s="31" t="n">
        <v>2026</v>
      </c>
      <c r="D34" s="31" t="inlineStr">
        <is>
          <t>K1</t>
        </is>
      </c>
      <c r="E34" s="31" t="n">
        <v>2</v>
      </c>
      <c r="F34" s="31" t="inlineStr">
        <is>
          <t>2026-02</t>
        </is>
      </c>
      <c r="G34" s="33" t="n">
        <v>46054</v>
      </c>
    </row>
    <row r="35">
      <c r="A35" s="33" t="n">
        <v>46056</v>
      </c>
      <c r="B35" s="31" t="n">
        <v>20260203</v>
      </c>
      <c r="C35" s="31" t="n">
        <v>2026</v>
      </c>
      <c r="D35" s="31" t="inlineStr">
        <is>
          <t>K1</t>
        </is>
      </c>
      <c r="E35" s="31" t="n">
        <v>2</v>
      </c>
      <c r="F35" s="31" t="inlineStr">
        <is>
          <t>2026-02</t>
        </is>
      </c>
      <c r="G35" s="33" t="n">
        <v>46054</v>
      </c>
    </row>
    <row r="36">
      <c r="A36" s="33" t="n">
        <v>46057</v>
      </c>
      <c r="B36" s="31" t="n">
        <v>20260204</v>
      </c>
      <c r="C36" s="31" t="n">
        <v>2026</v>
      </c>
      <c r="D36" s="31" t="inlineStr">
        <is>
          <t>K1</t>
        </is>
      </c>
      <c r="E36" s="31" t="n">
        <v>2</v>
      </c>
      <c r="F36" s="31" t="inlineStr">
        <is>
          <t>2026-02</t>
        </is>
      </c>
      <c r="G36" s="33" t="n">
        <v>46054</v>
      </c>
    </row>
    <row r="37">
      <c r="A37" s="33" t="n">
        <v>46058</v>
      </c>
      <c r="B37" s="31" t="n">
        <v>20260205</v>
      </c>
      <c r="C37" s="31" t="n">
        <v>2026</v>
      </c>
      <c r="D37" s="31" t="inlineStr">
        <is>
          <t>K1</t>
        </is>
      </c>
      <c r="E37" s="31" t="n">
        <v>2</v>
      </c>
      <c r="F37" s="31" t="inlineStr">
        <is>
          <t>2026-02</t>
        </is>
      </c>
      <c r="G37" s="33" t="n">
        <v>46054</v>
      </c>
    </row>
    <row r="38">
      <c r="A38" s="33" t="n">
        <v>46059</v>
      </c>
      <c r="B38" s="31" t="n">
        <v>20260206</v>
      </c>
      <c r="C38" s="31" t="n">
        <v>2026</v>
      </c>
      <c r="D38" s="31" t="inlineStr">
        <is>
          <t>K1</t>
        </is>
      </c>
      <c r="E38" s="31" t="n">
        <v>2</v>
      </c>
      <c r="F38" s="31" t="inlineStr">
        <is>
          <t>2026-02</t>
        </is>
      </c>
      <c r="G38" s="33" t="n">
        <v>46054</v>
      </c>
    </row>
    <row r="39">
      <c r="A39" s="33" t="n">
        <v>46060</v>
      </c>
      <c r="B39" s="31" t="n">
        <v>20260207</v>
      </c>
      <c r="C39" s="31" t="n">
        <v>2026</v>
      </c>
      <c r="D39" s="31" t="inlineStr">
        <is>
          <t>K1</t>
        </is>
      </c>
      <c r="E39" s="31" t="n">
        <v>2</v>
      </c>
      <c r="F39" s="31" t="inlineStr">
        <is>
          <t>2026-02</t>
        </is>
      </c>
      <c r="G39" s="33" t="n">
        <v>46054</v>
      </c>
    </row>
    <row r="40">
      <c r="A40" s="33" t="n">
        <v>46061</v>
      </c>
      <c r="B40" s="31" t="n">
        <v>20260208</v>
      </c>
      <c r="C40" s="31" t="n">
        <v>2026</v>
      </c>
      <c r="D40" s="31" t="inlineStr">
        <is>
          <t>K1</t>
        </is>
      </c>
      <c r="E40" s="31" t="n">
        <v>2</v>
      </c>
      <c r="F40" s="31" t="inlineStr">
        <is>
          <t>2026-02</t>
        </is>
      </c>
      <c r="G40" s="33" t="n">
        <v>46054</v>
      </c>
    </row>
    <row r="41">
      <c r="A41" s="33" t="n">
        <v>46062</v>
      </c>
      <c r="B41" s="31" t="n">
        <v>20260209</v>
      </c>
      <c r="C41" s="31" t="n">
        <v>2026</v>
      </c>
      <c r="D41" s="31" t="inlineStr">
        <is>
          <t>K1</t>
        </is>
      </c>
      <c r="E41" s="31" t="n">
        <v>2</v>
      </c>
      <c r="F41" s="31" t="inlineStr">
        <is>
          <t>2026-02</t>
        </is>
      </c>
      <c r="G41" s="33" t="n">
        <v>46054</v>
      </c>
    </row>
    <row r="42">
      <c r="A42" s="33" t="n">
        <v>46063</v>
      </c>
      <c r="B42" s="31" t="n">
        <v>20260210</v>
      </c>
      <c r="C42" s="31" t="n">
        <v>2026</v>
      </c>
      <c r="D42" s="31" t="inlineStr">
        <is>
          <t>K1</t>
        </is>
      </c>
      <c r="E42" s="31" t="n">
        <v>2</v>
      </c>
      <c r="F42" s="31" t="inlineStr">
        <is>
          <t>2026-02</t>
        </is>
      </c>
      <c r="G42" s="33" t="n">
        <v>46054</v>
      </c>
    </row>
    <row r="43">
      <c r="A43" s="33" t="n">
        <v>46064</v>
      </c>
      <c r="B43" s="31" t="n">
        <v>20260211</v>
      </c>
      <c r="C43" s="31" t="n">
        <v>2026</v>
      </c>
      <c r="D43" s="31" t="inlineStr">
        <is>
          <t>K1</t>
        </is>
      </c>
      <c r="E43" s="31" t="n">
        <v>2</v>
      </c>
      <c r="F43" s="31" t="inlineStr">
        <is>
          <t>2026-02</t>
        </is>
      </c>
      <c r="G43" s="33" t="n">
        <v>46054</v>
      </c>
    </row>
    <row r="44">
      <c r="A44" s="33" t="n">
        <v>46065</v>
      </c>
      <c r="B44" s="31" t="n">
        <v>20260212</v>
      </c>
      <c r="C44" s="31" t="n">
        <v>2026</v>
      </c>
      <c r="D44" s="31" t="inlineStr">
        <is>
          <t>K1</t>
        </is>
      </c>
      <c r="E44" s="31" t="n">
        <v>2</v>
      </c>
      <c r="F44" s="31" t="inlineStr">
        <is>
          <t>2026-02</t>
        </is>
      </c>
      <c r="G44" s="33" t="n">
        <v>46054</v>
      </c>
    </row>
    <row r="45">
      <c r="A45" s="33" t="n">
        <v>46066</v>
      </c>
      <c r="B45" s="31" t="n">
        <v>20260213</v>
      </c>
      <c r="C45" s="31" t="n">
        <v>2026</v>
      </c>
      <c r="D45" s="31" t="inlineStr">
        <is>
          <t>K1</t>
        </is>
      </c>
      <c r="E45" s="31" t="n">
        <v>2</v>
      </c>
      <c r="F45" s="31" t="inlineStr">
        <is>
          <t>2026-02</t>
        </is>
      </c>
      <c r="G45" s="33" t="n">
        <v>46054</v>
      </c>
    </row>
    <row r="46">
      <c r="A46" s="33" t="n">
        <v>46067</v>
      </c>
      <c r="B46" s="31" t="n">
        <v>20260214</v>
      </c>
      <c r="C46" s="31" t="n">
        <v>2026</v>
      </c>
      <c r="D46" s="31" t="inlineStr">
        <is>
          <t>K1</t>
        </is>
      </c>
      <c r="E46" s="31" t="n">
        <v>2</v>
      </c>
      <c r="F46" s="31" t="inlineStr">
        <is>
          <t>2026-02</t>
        </is>
      </c>
      <c r="G46" s="33" t="n">
        <v>46054</v>
      </c>
    </row>
    <row r="47">
      <c r="A47" s="33" t="n">
        <v>46068</v>
      </c>
      <c r="B47" s="31" t="n">
        <v>20260215</v>
      </c>
      <c r="C47" s="31" t="n">
        <v>2026</v>
      </c>
      <c r="D47" s="31" t="inlineStr">
        <is>
          <t>K1</t>
        </is>
      </c>
      <c r="E47" s="31" t="n">
        <v>2</v>
      </c>
      <c r="F47" s="31" t="inlineStr">
        <is>
          <t>2026-02</t>
        </is>
      </c>
      <c r="G47" s="33" t="n">
        <v>46054</v>
      </c>
    </row>
    <row r="48">
      <c r="A48" s="33" t="n">
        <v>46069</v>
      </c>
      <c r="B48" s="31" t="n">
        <v>20260216</v>
      </c>
      <c r="C48" s="31" t="n">
        <v>2026</v>
      </c>
      <c r="D48" s="31" t="inlineStr">
        <is>
          <t>K1</t>
        </is>
      </c>
      <c r="E48" s="31" t="n">
        <v>2</v>
      </c>
      <c r="F48" s="31" t="inlineStr">
        <is>
          <t>2026-02</t>
        </is>
      </c>
      <c r="G48" s="33" t="n">
        <v>46054</v>
      </c>
    </row>
    <row r="49">
      <c r="A49" s="33" t="n">
        <v>46070</v>
      </c>
      <c r="B49" s="31" t="n">
        <v>20260217</v>
      </c>
      <c r="C49" s="31" t="n">
        <v>2026</v>
      </c>
      <c r="D49" s="31" t="inlineStr">
        <is>
          <t>K1</t>
        </is>
      </c>
      <c r="E49" s="31" t="n">
        <v>2</v>
      </c>
      <c r="F49" s="31" t="inlineStr">
        <is>
          <t>2026-02</t>
        </is>
      </c>
      <c r="G49" s="33" t="n">
        <v>46054</v>
      </c>
    </row>
    <row r="50">
      <c r="A50" s="33" t="n">
        <v>46071</v>
      </c>
      <c r="B50" s="31" t="n">
        <v>20260218</v>
      </c>
      <c r="C50" s="31" t="n">
        <v>2026</v>
      </c>
      <c r="D50" s="31" t="inlineStr">
        <is>
          <t>K1</t>
        </is>
      </c>
      <c r="E50" s="31" t="n">
        <v>2</v>
      </c>
      <c r="F50" s="31" t="inlineStr">
        <is>
          <t>2026-02</t>
        </is>
      </c>
      <c r="G50" s="33" t="n">
        <v>46054</v>
      </c>
    </row>
    <row r="51">
      <c r="A51" s="33" t="n">
        <v>46072</v>
      </c>
      <c r="B51" s="31" t="n">
        <v>20260219</v>
      </c>
      <c r="C51" s="31" t="n">
        <v>2026</v>
      </c>
      <c r="D51" s="31" t="inlineStr">
        <is>
          <t>K1</t>
        </is>
      </c>
      <c r="E51" s="31" t="n">
        <v>2</v>
      </c>
      <c r="F51" s="31" t="inlineStr">
        <is>
          <t>2026-02</t>
        </is>
      </c>
      <c r="G51" s="33" t="n">
        <v>46054</v>
      </c>
    </row>
    <row r="52">
      <c r="A52" s="33" t="n">
        <v>46073</v>
      </c>
      <c r="B52" s="31" t="n">
        <v>20260220</v>
      </c>
      <c r="C52" s="31" t="n">
        <v>2026</v>
      </c>
      <c r="D52" s="31" t="inlineStr">
        <is>
          <t>K1</t>
        </is>
      </c>
      <c r="E52" s="31" t="n">
        <v>2</v>
      </c>
      <c r="F52" s="31" t="inlineStr">
        <is>
          <t>2026-02</t>
        </is>
      </c>
      <c r="G52" s="33" t="n">
        <v>46054</v>
      </c>
    </row>
    <row r="53">
      <c r="A53" s="33" t="n">
        <v>46074</v>
      </c>
      <c r="B53" s="31" t="n">
        <v>20260221</v>
      </c>
      <c r="C53" s="31" t="n">
        <v>2026</v>
      </c>
      <c r="D53" s="31" t="inlineStr">
        <is>
          <t>K1</t>
        </is>
      </c>
      <c r="E53" s="31" t="n">
        <v>2</v>
      </c>
      <c r="F53" s="31" t="inlineStr">
        <is>
          <t>2026-02</t>
        </is>
      </c>
      <c r="G53" s="33" t="n">
        <v>46054</v>
      </c>
    </row>
    <row r="54">
      <c r="A54" s="33" t="n">
        <v>46075</v>
      </c>
      <c r="B54" s="31" t="n">
        <v>20260222</v>
      </c>
      <c r="C54" s="31" t="n">
        <v>2026</v>
      </c>
      <c r="D54" s="31" t="inlineStr">
        <is>
          <t>K1</t>
        </is>
      </c>
      <c r="E54" s="31" t="n">
        <v>2</v>
      </c>
      <c r="F54" s="31" t="inlineStr">
        <is>
          <t>2026-02</t>
        </is>
      </c>
      <c r="G54" s="33" t="n">
        <v>46054</v>
      </c>
    </row>
    <row r="55">
      <c r="A55" s="33" t="n">
        <v>46076</v>
      </c>
      <c r="B55" s="31" t="n">
        <v>20260223</v>
      </c>
      <c r="C55" s="31" t="n">
        <v>2026</v>
      </c>
      <c r="D55" s="31" t="inlineStr">
        <is>
          <t>K1</t>
        </is>
      </c>
      <c r="E55" s="31" t="n">
        <v>2</v>
      </c>
      <c r="F55" s="31" t="inlineStr">
        <is>
          <t>2026-02</t>
        </is>
      </c>
      <c r="G55" s="33" t="n">
        <v>46054</v>
      </c>
    </row>
    <row r="56">
      <c r="A56" s="33" t="n">
        <v>46077</v>
      </c>
      <c r="B56" s="31" t="n">
        <v>20260224</v>
      </c>
      <c r="C56" s="31" t="n">
        <v>2026</v>
      </c>
      <c r="D56" s="31" t="inlineStr">
        <is>
          <t>K1</t>
        </is>
      </c>
      <c r="E56" s="31" t="n">
        <v>2</v>
      </c>
      <c r="F56" s="31" t="inlineStr">
        <is>
          <t>2026-02</t>
        </is>
      </c>
      <c r="G56" s="33" t="n">
        <v>46054</v>
      </c>
    </row>
    <row r="57">
      <c r="A57" s="33" t="n">
        <v>46078</v>
      </c>
      <c r="B57" s="31" t="n">
        <v>20260225</v>
      </c>
      <c r="C57" s="31" t="n">
        <v>2026</v>
      </c>
      <c r="D57" s="31" t="inlineStr">
        <is>
          <t>K1</t>
        </is>
      </c>
      <c r="E57" s="31" t="n">
        <v>2</v>
      </c>
      <c r="F57" s="31" t="inlineStr">
        <is>
          <t>2026-02</t>
        </is>
      </c>
      <c r="G57" s="33" t="n">
        <v>46054</v>
      </c>
    </row>
    <row r="58">
      <c r="A58" s="33" t="n">
        <v>46079</v>
      </c>
      <c r="B58" s="31" t="n">
        <v>20260226</v>
      </c>
      <c r="C58" s="31" t="n">
        <v>2026</v>
      </c>
      <c r="D58" s="31" t="inlineStr">
        <is>
          <t>K1</t>
        </is>
      </c>
      <c r="E58" s="31" t="n">
        <v>2</v>
      </c>
      <c r="F58" s="31" t="inlineStr">
        <is>
          <t>2026-02</t>
        </is>
      </c>
      <c r="G58" s="33" t="n">
        <v>46054</v>
      </c>
    </row>
    <row r="59">
      <c r="A59" s="33" t="n">
        <v>46080</v>
      </c>
      <c r="B59" s="31" t="n">
        <v>20260227</v>
      </c>
      <c r="C59" s="31" t="n">
        <v>2026</v>
      </c>
      <c r="D59" s="31" t="inlineStr">
        <is>
          <t>K1</t>
        </is>
      </c>
      <c r="E59" s="31" t="n">
        <v>2</v>
      </c>
      <c r="F59" s="31" t="inlineStr">
        <is>
          <t>2026-02</t>
        </is>
      </c>
      <c r="G59" s="33" t="n">
        <v>46054</v>
      </c>
    </row>
    <row r="60">
      <c r="A60" s="33" t="n">
        <v>46081</v>
      </c>
      <c r="B60" s="31" t="n">
        <v>20260228</v>
      </c>
      <c r="C60" s="31" t="n">
        <v>2026</v>
      </c>
      <c r="D60" s="31" t="inlineStr">
        <is>
          <t>K1</t>
        </is>
      </c>
      <c r="E60" s="31" t="n">
        <v>2</v>
      </c>
      <c r="F60" s="31" t="inlineStr">
        <is>
          <t>2026-02</t>
        </is>
      </c>
      <c r="G60" s="33" t="n">
        <v>46054</v>
      </c>
    </row>
    <row r="61">
      <c r="A61" s="33" t="n">
        <v>46082</v>
      </c>
      <c r="B61" s="31" t="n">
        <v>20260301</v>
      </c>
      <c r="C61" s="31" t="n">
        <v>2026</v>
      </c>
      <c r="D61" s="31" t="inlineStr">
        <is>
          <t>K1</t>
        </is>
      </c>
      <c r="E61" s="31" t="n">
        <v>3</v>
      </c>
      <c r="F61" s="31" t="inlineStr">
        <is>
          <t>2026-03</t>
        </is>
      </c>
      <c r="G61" s="33" t="n">
        <v>46082</v>
      </c>
    </row>
    <row r="62">
      <c r="A62" s="33" t="n">
        <v>46083</v>
      </c>
      <c r="B62" s="31" t="n">
        <v>20260302</v>
      </c>
      <c r="C62" s="31" t="n">
        <v>2026</v>
      </c>
      <c r="D62" s="31" t="inlineStr">
        <is>
          <t>K1</t>
        </is>
      </c>
      <c r="E62" s="31" t="n">
        <v>3</v>
      </c>
      <c r="F62" s="31" t="inlineStr">
        <is>
          <t>2026-03</t>
        </is>
      </c>
      <c r="G62" s="33" t="n">
        <v>46082</v>
      </c>
    </row>
    <row r="63">
      <c r="A63" s="33" t="n">
        <v>46084</v>
      </c>
      <c r="B63" s="31" t="n">
        <v>20260303</v>
      </c>
      <c r="C63" s="31" t="n">
        <v>2026</v>
      </c>
      <c r="D63" s="31" t="inlineStr">
        <is>
          <t>K1</t>
        </is>
      </c>
      <c r="E63" s="31" t="n">
        <v>3</v>
      </c>
      <c r="F63" s="31" t="inlineStr">
        <is>
          <t>2026-03</t>
        </is>
      </c>
      <c r="G63" s="33" t="n">
        <v>46082</v>
      </c>
    </row>
    <row r="64">
      <c r="A64" s="33" t="n">
        <v>46085</v>
      </c>
      <c r="B64" s="31" t="n">
        <v>20260304</v>
      </c>
      <c r="C64" s="31" t="n">
        <v>2026</v>
      </c>
      <c r="D64" s="31" t="inlineStr">
        <is>
          <t>K1</t>
        </is>
      </c>
      <c r="E64" s="31" t="n">
        <v>3</v>
      </c>
      <c r="F64" s="31" t="inlineStr">
        <is>
          <t>2026-03</t>
        </is>
      </c>
      <c r="G64" s="33" t="n">
        <v>46082</v>
      </c>
    </row>
    <row r="65">
      <c r="A65" s="33" t="n">
        <v>46086</v>
      </c>
      <c r="B65" s="31" t="n">
        <v>20260305</v>
      </c>
      <c r="C65" s="31" t="n">
        <v>2026</v>
      </c>
      <c r="D65" s="31" t="inlineStr">
        <is>
          <t>K1</t>
        </is>
      </c>
      <c r="E65" s="31" t="n">
        <v>3</v>
      </c>
      <c r="F65" s="31" t="inlineStr">
        <is>
          <t>2026-03</t>
        </is>
      </c>
      <c r="G65" s="33" t="n">
        <v>46082</v>
      </c>
    </row>
    <row r="66">
      <c r="A66" s="33" t="n">
        <v>46087</v>
      </c>
      <c r="B66" s="31" t="n">
        <v>20260306</v>
      </c>
      <c r="C66" s="31" t="n">
        <v>2026</v>
      </c>
      <c r="D66" s="31" t="inlineStr">
        <is>
          <t>K1</t>
        </is>
      </c>
      <c r="E66" s="31" t="n">
        <v>3</v>
      </c>
      <c r="F66" s="31" t="inlineStr">
        <is>
          <t>2026-03</t>
        </is>
      </c>
      <c r="G66" s="33" t="n">
        <v>46082</v>
      </c>
    </row>
    <row r="67">
      <c r="A67" s="33" t="n">
        <v>46088</v>
      </c>
      <c r="B67" s="31" t="n">
        <v>20260307</v>
      </c>
      <c r="C67" s="31" t="n">
        <v>2026</v>
      </c>
      <c r="D67" s="31" t="inlineStr">
        <is>
          <t>K1</t>
        </is>
      </c>
      <c r="E67" s="31" t="n">
        <v>3</v>
      </c>
      <c r="F67" s="31" t="inlineStr">
        <is>
          <t>2026-03</t>
        </is>
      </c>
      <c r="G67" s="33" t="n">
        <v>46082</v>
      </c>
    </row>
    <row r="68">
      <c r="A68" s="33" t="n">
        <v>46089</v>
      </c>
      <c r="B68" s="31" t="n">
        <v>20260308</v>
      </c>
      <c r="C68" s="31" t="n">
        <v>2026</v>
      </c>
      <c r="D68" s="31" t="inlineStr">
        <is>
          <t>K1</t>
        </is>
      </c>
      <c r="E68" s="31" t="n">
        <v>3</v>
      </c>
      <c r="F68" s="31" t="inlineStr">
        <is>
          <t>2026-03</t>
        </is>
      </c>
      <c r="G68" s="33" t="n">
        <v>46082</v>
      </c>
    </row>
    <row r="69">
      <c r="A69" s="33" t="n">
        <v>46090</v>
      </c>
      <c r="B69" s="31" t="n">
        <v>20260309</v>
      </c>
      <c r="C69" s="31" t="n">
        <v>2026</v>
      </c>
      <c r="D69" s="31" t="inlineStr">
        <is>
          <t>K1</t>
        </is>
      </c>
      <c r="E69" s="31" t="n">
        <v>3</v>
      </c>
      <c r="F69" s="31" t="inlineStr">
        <is>
          <t>2026-03</t>
        </is>
      </c>
      <c r="G69" s="33" t="n">
        <v>46082</v>
      </c>
    </row>
    <row r="70">
      <c r="A70" s="33" t="n">
        <v>46091</v>
      </c>
      <c r="B70" s="31" t="n">
        <v>20260310</v>
      </c>
      <c r="C70" s="31" t="n">
        <v>2026</v>
      </c>
      <c r="D70" s="31" t="inlineStr">
        <is>
          <t>K1</t>
        </is>
      </c>
      <c r="E70" s="31" t="n">
        <v>3</v>
      </c>
      <c r="F70" s="31" t="inlineStr">
        <is>
          <t>2026-03</t>
        </is>
      </c>
      <c r="G70" s="33" t="n">
        <v>46082</v>
      </c>
    </row>
    <row r="71">
      <c r="A71" s="33" t="n">
        <v>46092</v>
      </c>
      <c r="B71" s="31" t="n">
        <v>20260311</v>
      </c>
      <c r="C71" s="31" t="n">
        <v>2026</v>
      </c>
      <c r="D71" s="31" t="inlineStr">
        <is>
          <t>K1</t>
        </is>
      </c>
      <c r="E71" s="31" t="n">
        <v>3</v>
      </c>
      <c r="F71" s="31" t="inlineStr">
        <is>
          <t>2026-03</t>
        </is>
      </c>
      <c r="G71" s="33" t="n">
        <v>46082</v>
      </c>
    </row>
    <row r="72">
      <c r="A72" s="33" t="n">
        <v>46093</v>
      </c>
      <c r="B72" s="31" t="n">
        <v>20260312</v>
      </c>
      <c r="C72" s="31" t="n">
        <v>2026</v>
      </c>
      <c r="D72" s="31" t="inlineStr">
        <is>
          <t>K1</t>
        </is>
      </c>
      <c r="E72" s="31" t="n">
        <v>3</v>
      </c>
      <c r="F72" s="31" t="inlineStr">
        <is>
          <t>2026-03</t>
        </is>
      </c>
      <c r="G72" s="33" t="n">
        <v>46082</v>
      </c>
    </row>
    <row r="73">
      <c r="A73" s="33" t="n">
        <v>46094</v>
      </c>
      <c r="B73" s="31" t="n">
        <v>20260313</v>
      </c>
      <c r="C73" s="31" t="n">
        <v>2026</v>
      </c>
      <c r="D73" s="31" t="inlineStr">
        <is>
          <t>K1</t>
        </is>
      </c>
      <c r="E73" s="31" t="n">
        <v>3</v>
      </c>
      <c r="F73" s="31" t="inlineStr">
        <is>
          <t>2026-03</t>
        </is>
      </c>
      <c r="G73" s="33" t="n">
        <v>46082</v>
      </c>
    </row>
    <row r="74">
      <c r="A74" s="33" t="n">
        <v>46095</v>
      </c>
      <c r="B74" s="31" t="n">
        <v>20260314</v>
      </c>
      <c r="C74" s="31" t="n">
        <v>2026</v>
      </c>
      <c r="D74" s="31" t="inlineStr">
        <is>
          <t>K1</t>
        </is>
      </c>
      <c r="E74" s="31" t="n">
        <v>3</v>
      </c>
      <c r="F74" s="31" t="inlineStr">
        <is>
          <t>2026-03</t>
        </is>
      </c>
      <c r="G74" s="33" t="n">
        <v>46082</v>
      </c>
    </row>
    <row r="75">
      <c r="A75" s="33" t="n">
        <v>46096</v>
      </c>
      <c r="B75" s="31" t="n">
        <v>20260315</v>
      </c>
      <c r="C75" s="31" t="n">
        <v>2026</v>
      </c>
      <c r="D75" s="31" t="inlineStr">
        <is>
          <t>K1</t>
        </is>
      </c>
      <c r="E75" s="31" t="n">
        <v>3</v>
      </c>
      <c r="F75" s="31" t="inlineStr">
        <is>
          <t>2026-03</t>
        </is>
      </c>
      <c r="G75" s="33" t="n">
        <v>46082</v>
      </c>
    </row>
    <row r="76">
      <c r="A76" s="33" t="n">
        <v>46097</v>
      </c>
      <c r="B76" s="31" t="n">
        <v>20260316</v>
      </c>
      <c r="C76" s="31" t="n">
        <v>2026</v>
      </c>
      <c r="D76" s="31" t="inlineStr">
        <is>
          <t>K1</t>
        </is>
      </c>
      <c r="E76" s="31" t="n">
        <v>3</v>
      </c>
      <c r="F76" s="31" t="inlineStr">
        <is>
          <t>2026-03</t>
        </is>
      </c>
      <c r="G76" s="33" t="n">
        <v>46082</v>
      </c>
    </row>
    <row r="77">
      <c r="A77" s="33" t="n">
        <v>46098</v>
      </c>
      <c r="B77" s="31" t="n">
        <v>20260317</v>
      </c>
      <c r="C77" s="31" t="n">
        <v>2026</v>
      </c>
      <c r="D77" s="31" t="inlineStr">
        <is>
          <t>K1</t>
        </is>
      </c>
      <c r="E77" s="31" t="n">
        <v>3</v>
      </c>
      <c r="F77" s="31" t="inlineStr">
        <is>
          <t>2026-03</t>
        </is>
      </c>
      <c r="G77" s="33" t="n">
        <v>46082</v>
      </c>
    </row>
    <row r="78">
      <c r="A78" s="33" t="n">
        <v>46099</v>
      </c>
      <c r="B78" s="31" t="n">
        <v>20260318</v>
      </c>
      <c r="C78" s="31" t="n">
        <v>2026</v>
      </c>
      <c r="D78" s="31" t="inlineStr">
        <is>
          <t>K1</t>
        </is>
      </c>
      <c r="E78" s="31" t="n">
        <v>3</v>
      </c>
      <c r="F78" s="31" t="inlineStr">
        <is>
          <t>2026-03</t>
        </is>
      </c>
      <c r="G78" s="33" t="n">
        <v>46082</v>
      </c>
    </row>
    <row r="79">
      <c r="A79" s="33" t="n">
        <v>46100</v>
      </c>
      <c r="B79" s="31" t="n">
        <v>20260319</v>
      </c>
      <c r="C79" s="31" t="n">
        <v>2026</v>
      </c>
      <c r="D79" s="31" t="inlineStr">
        <is>
          <t>K1</t>
        </is>
      </c>
      <c r="E79" s="31" t="n">
        <v>3</v>
      </c>
      <c r="F79" s="31" t="inlineStr">
        <is>
          <t>2026-03</t>
        </is>
      </c>
      <c r="G79" s="33" t="n">
        <v>46082</v>
      </c>
    </row>
    <row r="80">
      <c r="A80" s="33" t="n">
        <v>46101</v>
      </c>
      <c r="B80" s="31" t="n">
        <v>20260320</v>
      </c>
      <c r="C80" s="31" t="n">
        <v>2026</v>
      </c>
      <c r="D80" s="31" t="inlineStr">
        <is>
          <t>K1</t>
        </is>
      </c>
      <c r="E80" s="31" t="n">
        <v>3</v>
      </c>
      <c r="F80" s="31" t="inlineStr">
        <is>
          <t>2026-03</t>
        </is>
      </c>
      <c r="G80" s="33" t="n">
        <v>46082</v>
      </c>
    </row>
    <row r="81">
      <c r="A81" s="33" t="n">
        <v>46102</v>
      </c>
      <c r="B81" s="31" t="n">
        <v>20260321</v>
      </c>
      <c r="C81" s="31" t="n">
        <v>2026</v>
      </c>
      <c r="D81" s="31" t="inlineStr">
        <is>
          <t>K1</t>
        </is>
      </c>
      <c r="E81" s="31" t="n">
        <v>3</v>
      </c>
      <c r="F81" s="31" t="inlineStr">
        <is>
          <t>2026-03</t>
        </is>
      </c>
      <c r="G81" s="33" t="n">
        <v>46082</v>
      </c>
    </row>
    <row r="82">
      <c r="A82" s="33" t="n">
        <v>46103</v>
      </c>
      <c r="B82" s="31" t="n">
        <v>20260322</v>
      </c>
      <c r="C82" s="31" t="n">
        <v>2026</v>
      </c>
      <c r="D82" s="31" t="inlineStr">
        <is>
          <t>K1</t>
        </is>
      </c>
      <c r="E82" s="31" t="n">
        <v>3</v>
      </c>
      <c r="F82" s="31" t="inlineStr">
        <is>
          <t>2026-03</t>
        </is>
      </c>
      <c r="G82" s="33" t="n">
        <v>46082</v>
      </c>
    </row>
    <row r="83">
      <c r="A83" s="33" t="n">
        <v>46104</v>
      </c>
      <c r="B83" s="31" t="n">
        <v>20260323</v>
      </c>
      <c r="C83" s="31" t="n">
        <v>2026</v>
      </c>
      <c r="D83" s="31" t="inlineStr">
        <is>
          <t>K1</t>
        </is>
      </c>
      <c r="E83" s="31" t="n">
        <v>3</v>
      </c>
      <c r="F83" s="31" t="inlineStr">
        <is>
          <t>2026-03</t>
        </is>
      </c>
      <c r="G83" s="33" t="n">
        <v>46082</v>
      </c>
    </row>
    <row r="84">
      <c r="A84" s="33" t="n">
        <v>46105</v>
      </c>
      <c r="B84" s="31" t="n">
        <v>20260324</v>
      </c>
      <c r="C84" s="31" t="n">
        <v>2026</v>
      </c>
      <c r="D84" s="31" t="inlineStr">
        <is>
          <t>K1</t>
        </is>
      </c>
      <c r="E84" s="31" t="n">
        <v>3</v>
      </c>
      <c r="F84" s="31" t="inlineStr">
        <is>
          <t>2026-03</t>
        </is>
      </c>
      <c r="G84" s="33" t="n">
        <v>46082</v>
      </c>
    </row>
    <row r="85">
      <c r="A85" s="33" t="n">
        <v>46106</v>
      </c>
      <c r="B85" s="31" t="n">
        <v>20260325</v>
      </c>
      <c r="C85" s="31" t="n">
        <v>2026</v>
      </c>
      <c r="D85" s="31" t="inlineStr">
        <is>
          <t>K1</t>
        </is>
      </c>
      <c r="E85" s="31" t="n">
        <v>3</v>
      </c>
      <c r="F85" s="31" t="inlineStr">
        <is>
          <t>2026-03</t>
        </is>
      </c>
      <c r="G85" s="33" t="n">
        <v>46082</v>
      </c>
    </row>
    <row r="86">
      <c r="A86" s="33" t="n">
        <v>46107</v>
      </c>
      <c r="B86" s="31" t="n">
        <v>20260326</v>
      </c>
      <c r="C86" s="31" t="n">
        <v>2026</v>
      </c>
      <c r="D86" s="31" t="inlineStr">
        <is>
          <t>K1</t>
        </is>
      </c>
      <c r="E86" s="31" t="n">
        <v>3</v>
      </c>
      <c r="F86" s="31" t="inlineStr">
        <is>
          <t>2026-03</t>
        </is>
      </c>
      <c r="G86" s="33" t="n">
        <v>46082</v>
      </c>
    </row>
    <row r="87">
      <c r="A87" s="33" t="n">
        <v>46108</v>
      </c>
      <c r="B87" s="31" t="n">
        <v>20260327</v>
      </c>
      <c r="C87" s="31" t="n">
        <v>2026</v>
      </c>
      <c r="D87" s="31" t="inlineStr">
        <is>
          <t>K1</t>
        </is>
      </c>
      <c r="E87" s="31" t="n">
        <v>3</v>
      </c>
      <c r="F87" s="31" t="inlineStr">
        <is>
          <t>2026-03</t>
        </is>
      </c>
      <c r="G87" s="33" t="n">
        <v>46082</v>
      </c>
    </row>
    <row r="88">
      <c r="A88" s="33" t="n">
        <v>46109</v>
      </c>
      <c r="B88" s="31" t="n">
        <v>20260328</v>
      </c>
      <c r="C88" s="31" t="n">
        <v>2026</v>
      </c>
      <c r="D88" s="31" t="inlineStr">
        <is>
          <t>K1</t>
        </is>
      </c>
      <c r="E88" s="31" t="n">
        <v>3</v>
      </c>
      <c r="F88" s="31" t="inlineStr">
        <is>
          <t>2026-03</t>
        </is>
      </c>
      <c r="G88" s="33" t="n">
        <v>46082</v>
      </c>
    </row>
    <row r="89">
      <c r="A89" s="33" t="n">
        <v>46110</v>
      </c>
      <c r="B89" s="31" t="n">
        <v>20260329</v>
      </c>
      <c r="C89" s="31" t="n">
        <v>2026</v>
      </c>
      <c r="D89" s="31" t="inlineStr">
        <is>
          <t>K1</t>
        </is>
      </c>
      <c r="E89" s="31" t="n">
        <v>3</v>
      </c>
      <c r="F89" s="31" t="inlineStr">
        <is>
          <t>2026-03</t>
        </is>
      </c>
      <c r="G89" s="33" t="n">
        <v>46082</v>
      </c>
    </row>
    <row r="90">
      <c r="A90" s="33" t="n">
        <v>46111</v>
      </c>
      <c r="B90" s="31" t="n">
        <v>20260330</v>
      </c>
      <c r="C90" s="31" t="n">
        <v>2026</v>
      </c>
      <c r="D90" s="31" t="inlineStr">
        <is>
          <t>K1</t>
        </is>
      </c>
      <c r="E90" s="31" t="n">
        <v>3</v>
      </c>
      <c r="F90" s="31" t="inlineStr">
        <is>
          <t>2026-03</t>
        </is>
      </c>
      <c r="G90" s="33" t="n">
        <v>46082</v>
      </c>
    </row>
    <row r="91">
      <c r="A91" s="33" t="n">
        <v>46112</v>
      </c>
      <c r="B91" s="31" t="n">
        <v>20260331</v>
      </c>
      <c r="C91" s="31" t="n">
        <v>2026</v>
      </c>
      <c r="D91" s="31" t="inlineStr">
        <is>
          <t>K1</t>
        </is>
      </c>
      <c r="E91" s="31" t="n">
        <v>3</v>
      </c>
      <c r="F91" s="31" t="inlineStr">
        <is>
          <t>2026-03</t>
        </is>
      </c>
      <c r="G91" s="33" t="n">
        <v>46082</v>
      </c>
    </row>
    <row r="92">
      <c r="A92" s="33" t="n">
        <v>46113</v>
      </c>
      <c r="B92" s="31" t="n">
        <v>20260401</v>
      </c>
      <c r="C92" s="31" t="n">
        <v>2026</v>
      </c>
      <c r="D92" s="31" t="inlineStr">
        <is>
          <t>K2</t>
        </is>
      </c>
      <c r="E92" s="31" t="n">
        <v>4</v>
      </c>
      <c r="F92" s="31" t="inlineStr">
        <is>
          <t>2026-04</t>
        </is>
      </c>
      <c r="G92" s="33" t="n">
        <v>46113</v>
      </c>
    </row>
    <row r="93">
      <c r="A93" s="33" t="n">
        <v>46114</v>
      </c>
      <c r="B93" s="31" t="n">
        <v>20260402</v>
      </c>
      <c r="C93" s="31" t="n">
        <v>2026</v>
      </c>
      <c r="D93" s="31" t="inlineStr">
        <is>
          <t>K2</t>
        </is>
      </c>
      <c r="E93" s="31" t="n">
        <v>4</v>
      </c>
      <c r="F93" s="31" t="inlineStr">
        <is>
          <t>2026-04</t>
        </is>
      </c>
      <c r="G93" s="33" t="n">
        <v>46113</v>
      </c>
    </row>
    <row r="94">
      <c r="A94" s="33" t="n">
        <v>46115</v>
      </c>
      <c r="B94" s="31" t="n">
        <v>20260403</v>
      </c>
      <c r="C94" s="31" t="n">
        <v>2026</v>
      </c>
      <c r="D94" s="31" t="inlineStr">
        <is>
          <t>K2</t>
        </is>
      </c>
      <c r="E94" s="31" t="n">
        <v>4</v>
      </c>
      <c r="F94" s="31" t="inlineStr">
        <is>
          <t>2026-04</t>
        </is>
      </c>
      <c r="G94" s="33" t="n">
        <v>46113</v>
      </c>
    </row>
    <row r="95">
      <c r="A95" s="33" t="n">
        <v>46116</v>
      </c>
      <c r="B95" s="31" t="n">
        <v>20260404</v>
      </c>
      <c r="C95" s="31" t="n">
        <v>2026</v>
      </c>
      <c r="D95" s="31" t="inlineStr">
        <is>
          <t>K2</t>
        </is>
      </c>
      <c r="E95" s="31" t="n">
        <v>4</v>
      </c>
      <c r="F95" s="31" t="inlineStr">
        <is>
          <t>2026-04</t>
        </is>
      </c>
      <c r="G95" s="33" t="n">
        <v>46113</v>
      </c>
    </row>
    <row r="96">
      <c r="A96" s="33" t="n">
        <v>46117</v>
      </c>
      <c r="B96" s="31" t="n">
        <v>20260405</v>
      </c>
      <c r="C96" s="31" t="n">
        <v>2026</v>
      </c>
      <c r="D96" s="31" t="inlineStr">
        <is>
          <t>K2</t>
        </is>
      </c>
      <c r="E96" s="31" t="n">
        <v>4</v>
      </c>
      <c r="F96" s="31" t="inlineStr">
        <is>
          <t>2026-04</t>
        </is>
      </c>
      <c r="G96" s="33" t="n">
        <v>46113</v>
      </c>
    </row>
    <row r="97">
      <c r="A97" s="33" t="n">
        <v>46118</v>
      </c>
      <c r="B97" s="31" t="n">
        <v>20260406</v>
      </c>
      <c r="C97" s="31" t="n">
        <v>2026</v>
      </c>
      <c r="D97" s="31" t="inlineStr">
        <is>
          <t>K2</t>
        </is>
      </c>
      <c r="E97" s="31" t="n">
        <v>4</v>
      </c>
      <c r="F97" s="31" t="inlineStr">
        <is>
          <t>2026-04</t>
        </is>
      </c>
      <c r="G97" s="33" t="n">
        <v>46113</v>
      </c>
    </row>
    <row r="98">
      <c r="A98" s="33" t="n">
        <v>46119</v>
      </c>
      <c r="B98" s="31" t="n">
        <v>20260407</v>
      </c>
      <c r="C98" s="31" t="n">
        <v>2026</v>
      </c>
      <c r="D98" s="31" t="inlineStr">
        <is>
          <t>K2</t>
        </is>
      </c>
      <c r="E98" s="31" t="n">
        <v>4</v>
      </c>
      <c r="F98" s="31" t="inlineStr">
        <is>
          <t>2026-04</t>
        </is>
      </c>
      <c r="G98" s="33" t="n">
        <v>46113</v>
      </c>
    </row>
    <row r="99">
      <c r="A99" s="33" t="n">
        <v>46120</v>
      </c>
      <c r="B99" s="31" t="n">
        <v>20260408</v>
      </c>
      <c r="C99" s="31" t="n">
        <v>2026</v>
      </c>
      <c r="D99" s="31" t="inlineStr">
        <is>
          <t>K2</t>
        </is>
      </c>
      <c r="E99" s="31" t="n">
        <v>4</v>
      </c>
      <c r="F99" s="31" t="inlineStr">
        <is>
          <t>2026-04</t>
        </is>
      </c>
      <c r="G99" s="33" t="n">
        <v>46113</v>
      </c>
    </row>
    <row r="100">
      <c r="A100" s="33" t="n">
        <v>46121</v>
      </c>
      <c r="B100" s="31" t="n">
        <v>20260409</v>
      </c>
      <c r="C100" s="31" t="n">
        <v>2026</v>
      </c>
      <c r="D100" s="31" t="inlineStr">
        <is>
          <t>K2</t>
        </is>
      </c>
      <c r="E100" s="31" t="n">
        <v>4</v>
      </c>
      <c r="F100" s="31" t="inlineStr">
        <is>
          <t>2026-04</t>
        </is>
      </c>
      <c r="G100" s="33" t="n">
        <v>46113</v>
      </c>
    </row>
    <row r="101">
      <c r="A101" s="33" t="n">
        <v>46122</v>
      </c>
      <c r="B101" s="31" t="n">
        <v>20260410</v>
      </c>
      <c r="C101" s="31" t="n">
        <v>2026</v>
      </c>
      <c r="D101" s="31" t="inlineStr">
        <is>
          <t>K2</t>
        </is>
      </c>
      <c r="E101" s="31" t="n">
        <v>4</v>
      </c>
      <c r="F101" s="31" t="inlineStr">
        <is>
          <t>2026-04</t>
        </is>
      </c>
      <c r="G101" s="33" t="n">
        <v>46113</v>
      </c>
    </row>
    <row r="102">
      <c r="A102" s="33" t="n">
        <v>46123</v>
      </c>
      <c r="B102" s="31" t="n">
        <v>20260411</v>
      </c>
      <c r="C102" s="31" t="n">
        <v>2026</v>
      </c>
      <c r="D102" s="31" t="inlineStr">
        <is>
          <t>K2</t>
        </is>
      </c>
      <c r="E102" s="31" t="n">
        <v>4</v>
      </c>
      <c r="F102" s="31" t="inlineStr">
        <is>
          <t>2026-04</t>
        </is>
      </c>
      <c r="G102" s="33" t="n">
        <v>46113</v>
      </c>
    </row>
    <row r="103">
      <c r="A103" s="33" t="n">
        <v>46124</v>
      </c>
      <c r="B103" s="31" t="n">
        <v>20260412</v>
      </c>
      <c r="C103" s="31" t="n">
        <v>2026</v>
      </c>
      <c r="D103" s="31" t="inlineStr">
        <is>
          <t>K2</t>
        </is>
      </c>
      <c r="E103" s="31" t="n">
        <v>4</v>
      </c>
      <c r="F103" s="31" t="inlineStr">
        <is>
          <t>2026-04</t>
        </is>
      </c>
      <c r="G103" s="33" t="n">
        <v>46113</v>
      </c>
    </row>
    <row r="104">
      <c r="A104" s="33" t="n">
        <v>46125</v>
      </c>
      <c r="B104" s="31" t="n">
        <v>20260413</v>
      </c>
      <c r="C104" s="31" t="n">
        <v>2026</v>
      </c>
      <c r="D104" s="31" t="inlineStr">
        <is>
          <t>K2</t>
        </is>
      </c>
      <c r="E104" s="31" t="n">
        <v>4</v>
      </c>
      <c r="F104" s="31" t="inlineStr">
        <is>
          <t>2026-04</t>
        </is>
      </c>
      <c r="G104" s="33" t="n">
        <v>46113</v>
      </c>
    </row>
    <row r="105">
      <c r="A105" s="33" t="n">
        <v>46126</v>
      </c>
      <c r="B105" s="31" t="n">
        <v>20260414</v>
      </c>
      <c r="C105" s="31" t="n">
        <v>2026</v>
      </c>
      <c r="D105" s="31" t="inlineStr">
        <is>
          <t>K2</t>
        </is>
      </c>
      <c r="E105" s="31" t="n">
        <v>4</v>
      </c>
      <c r="F105" s="31" t="inlineStr">
        <is>
          <t>2026-04</t>
        </is>
      </c>
      <c r="G105" s="33" t="n">
        <v>46113</v>
      </c>
    </row>
    <row r="106">
      <c r="A106" s="33" t="n">
        <v>46127</v>
      </c>
      <c r="B106" s="31" t="n">
        <v>20260415</v>
      </c>
      <c r="C106" s="31" t="n">
        <v>2026</v>
      </c>
      <c r="D106" s="31" t="inlineStr">
        <is>
          <t>K2</t>
        </is>
      </c>
      <c r="E106" s="31" t="n">
        <v>4</v>
      </c>
      <c r="F106" s="31" t="inlineStr">
        <is>
          <t>2026-04</t>
        </is>
      </c>
      <c r="G106" s="33" t="n">
        <v>46113</v>
      </c>
    </row>
    <row r="107">
      <c r="A107" s="33" t="n">
        <v>46128</v>
      </c>
      <c r="B107" s="31" t="n">
        <v>20260416</v>
      </c>
      <c r="C107" s="31" t="n">
        <v>2026</v>
      </c>
      <c r="D107" s="31" t="inlineStr">
        <is>
          <t>K2</t>
        </is>
      </c>
      <c r="E107" s="31" t="n">
        <v>4</v>
      </c>
      <c r="F107" s="31" t="inlineStr">
        <is>
          <t>2026-04</t>
        </is>
      </c>
      <c r="G107" s="33" t="n">
        <v>46113</v>
      </c>
    </row>
    <row r="108">
      <c r="A108" s="33" t="n">
        <v>46129</v>
      </c>
      <c r="B108" s="31" t="n">
        <v>20260417</v>
      </c>
      <c r="C108" s="31" t="n">
        <v>2026</v>
      </c>
      <c r="D108" s="31" t="inlineStr">
        <is>
          <t>K2</t>
        </is>
      </c>
      <c r="E108" s="31" t="n">
        <v>4</v>
      </c>
      <c r="F108" s="31" t="inlineStr">
        <is>
          <t>2026-04</t>
        </is>
      </c>
      <c r="G108" s="33" t="n">
        <v>46113</v>
      </c>
    </row>
    <row r="109">
      <c r="A109" s="33" t="n">
        <v>46130</v>
      </c>
      <c r="B109" s="31" t="n">
        <v>20260418</v>
      </c>
      <c r="C109" s="31" t="n">
        <v>2026</v>
      </c>
      <c r="D109" s="31" t="inlineStr">
        <is>
          <t>K2</t>
        </is>
      </c>
      <c r="E109" s="31" t="n">
        <v>4</v>
      </c>
      <c r="F109" s="31" t="inlineStr">
        <is>
          <t>2026-04</t>
        </is>
      </c>
      <c r="G109" s="33" t="n">
        <v>46113</v>
      </c>
    </row>
    <row r="110">
      <c r="A110" s="33" t="n">
        <v>46131</v>
      </c>
      <c r="B110" s="31" t="n">
        <v>20260419</v>
      </c>
      <c r="C110" s="31" t="n">
        <v>2026</v>
      </c>
      <c r="D110" s="31" t="inlineStr">
        <is>
          <t>K2</t>
        </is>
      </c>
      <c r="E110" s="31" t="n">
        <v>4</v>
      </c>
      <c r="F110" s="31" t="inlineStr">
        <is>
          <t>2026-04</t>
        </is>
      </c>
      <c r="G110" s="33" t="n">
        <v>46113</v>
      </c>
    </row>
    <row r="111">
      <c r="A111" s="33" t="n">
        <v>46132</v>
      </c>
      <c r="B111" s="31" t="n">
        <v>20260420</v>
      </c>
      <c r="C111" s="31" t="n">
        <v>2026</v>
      </c>
      <c r="D111" s="31" t="inlineStr">
        <is>
          <t>K2</t>
        </is>
      </c>
      <c r="E111" s="31" t="n">
        <v>4</v>
      </c>
      <c r="F111" s="31" t="inlineStr">
        <is>
          <t>2026-04</t>
        </is>
      </c>
      <c r="G111" s="33" t="n">
        <v>46113</v>
      </c>
    </row>
    <row r="112">
      <c r="A112" s="33" t="n">
        <v>46133</v>
      </c>
      <c r="B112" s="31" t="n">
        <v>20260421</v>
      </c>
      <c r="C112" s="31" t="n">
        <v>2026</v>
      </c>
      <c r="D112" s="31" t="inlineStr">
        <is>
          <t>K2</t>
        </is>
      </c>
      <c r="E112" s="31" t="n">
        <v>4</v>
      </c>
      <c r="F112" s="31" t="inlineStr">
        <is>
          <t>2026-04</t>
        </is>
      </c>
      <c r="G112" s="33" t="n">
        <v>46113</v>
      </c>
    </row>
    <row r="113">
      <c r="A113" s="33" t="n">
        <v>46134</v>
      </c>
      <c r="B113" s="31" t="n">
        <v>20260422</v>
      </c>
      <c r="C113" s="31" t="n">
        <v>2026</v>
      </c>
      <c r="D113" s="31" t="inlineStr">
        <is>
          <t>K2</t>
        </is>
      </c>
      <c r="E113" s="31" t="n">
        <v>4</v>
      </c>
      <c r="F113" s="31" t="inlineStr">
        <is>
          <t>2026-04</t>
        </is>
      </c>
      <c r="G113" s="33" t="n">
        <v>46113</v>
      </c>
    </row>
    <row r="114">
      <c r="A114" s="33" t="n">
        <v>46135</v>
      </c>
      <c r="B114" s="31" t="n">
        <v>20260423</v>
      </c>
      <c r="C114" s="31" t="n">
        <v>2026</v>
      </c>
      <c r="D114" s="31" t="inlineStr">
        <is>
          <t>K2</t>
        </is>
      </c>
      <c r="E114" s="31" t="n">
        <v>4</v>
      </c>
      <c r="F114" s="31" t="inlineStr">
        <is>
          <t>2026-04</t>
        </is>
      </c>
      <c r="G114" s="33" t="n">
        <v>46113</v>
      </c>
    </row>
    <row r="115">
      <c r="A115" s="33" t="n">
        <v>46136</v>
      </c>
      <c r="B115" s="31" t="n">
        <v>20260424</v>
      </c>
      <c r="C115" s="31" t="n">
        <v>2026</v>
      </c>
      <c r="D115" s="31" t="inlineStr">
        <is>
          <t>K2</t>
        </is>
      </c>
      <c r="E115" s="31" t="n">
        <v>4</v>
      </c>
      <c r="F115" s="31" t="inlineStr">
        <is>
          <t>2026-04</t>
        </is>
      </c>
      <c r="G115" s="33" t="n">
        <v>46113</v>
      </c>
    </row>
    <row r="116">
      <c r="A116" s="33" t="n">
        <v>46137</v>
      </c>
      <c r="B116" s="31" t="n">
        <v>20260425</v>
      </c>
      <c r="C116" s="31" t="n">
        <v>2026</v>
      </c>
      <c r="D116" s="31" t="inlineStr">
        <is>
          <t>K2</t>
        </is>
      </c>
      <c r="E116" s="31" t="n">
        <v>4</v>
      </c>
      <c r="F116" s="31" t="inlineStr">
        <is>
          <t>2026-04</t>
        </is>
      </c>
      <c r="G116" s="33" t="n">
        <v>46113</v>
      </c>
    </row>
    <row r="117">
      <c r="A117" s="33" t="n">
        <v>46138</v>
      </c>
      <c r="B117" s="31" t="n">
        <v>20260426</v>
      </c>
      <c r="C117" s="31" t="n">
        <v>2026</v>
      </c>
      <c r="D117" s="31" t="inlineStr">
        <is>
          <t>K2</t>
        </is>
      </c>
      <c r="E117" s="31" t="n">
        <v>4</v>
      </c>
      <c r="F117" s="31" t="inlineStr">
        <is>
          <t>2026-04</t>
        </is>
      </c>
      <c r="G117" s="33" t="n">
        <v>46113</v>
      </c>
    </row>
    <row r="118">
      <c r="A118" s="33" t="n">
        <v>46139</v>
      </c>
      <c r="B118" s="31" t="n">
        <v>20260427</v>
      </c>
      <c r="C118" s="31" t="n">
        <v>2026</v>
      </c>
      <c r="D118" s="31" t="inlineStr">
        <is>
          <t>K2</t>
        </is>
      </c>
      <c r="E118" s="31" t="n">
        <v>4</v>
      </c>
      <c r="F118" s="31" t="inlineStr">
        <is>
          <t>2026-04</t>
        </is>
      </c>
      <c r="G118" s="33" t="n">
        <v>46113</v>
      </c>
    </row>
    <row r="119">
      <c r="A119" s="33" t="n">
        <v>46140</v>
      </c>
      <c r="B119" s="31" t="n">
        <v>20260428</v>
      </c>
      <c r="C119" s="31" t="n">
        <v>2026</v>
      </c>
      <c r="D119" s="31" t="inlineStr">
        <is>
          <t>K2</t>
        </is>
      </c>
      <c r="E119" s="31" t="n">
        <v>4</v>
      </c>
      <c r="F119" s="31" t="inlineStr">
        <is>
          <t>2026-04</t>
        </is>
      </c>
      <c r="G119" s="33" t="n">
        <v>46113</v>
      </c>
    </row>
    <row r="120">
      <c r="A120" s="33" t="n">
        <v>46141</v>
      </c>
      <c r="B120" s="31" t="n">
        <v>20260429</v>
      </c>
      <c r="C120" s="31" t="n">
        <v>2026</v>
      </c>
      <c r="D120" s="31" t="inlineStr">
        <is>
          <t>K2</t>
        </is>
      </c>
      <c r="E120" s="31" t="n">
        <v>4</v>
      </c>
      <c r="F120" s="31" t="inlineStr">
        <is>
          <t>2026-04</t>
        </is>
      </c>
      <c r="G120" s="33" t="n">
        <v>46113</v>
      </c>
    </row>
    <row r="121">
      <c r="A121" s="33" t="n">
        <v>46142</v>
      </c>
      <c r="B121" s="31" t="n">
        <v>20260430</v>
      </c>
      <c r="C121" s="31" t="n">
        <v>2026</v>
      </c>
      <c r="D121" s="31" t="inlineStr">
        <is>
          <t>K2</t>
        </is>
      </c>
      <c r="E121" s="31" t="n">
        <v>4</v>
      </c>
      <c r="F121" s="31" t="inlineStr">
        <is>
          <t>2026-04</t>
        </is>
      </c>
      <c r="G121" s="33" t="n">
        <v>46113</v>
      </c>
    </row>
    <row r="122">
      <c r="A122" s="33" t="n">
        <v>46143</v>
      </c>
      <c r="B122" s="31" t="n">
        <v>20260501</v>
      </c>
      <c r="C122" s="31" t="n">
        <v>2026</v>
      </c>
      <c r="D122" s="31" t="inlineStr">
        <is>
          <t>K2</t>
        </is>
      </c>
      <c r="E122" s="31" t="n">
        <v>5</v>
      </c>
      <c r="F122" s="31" t="inlineStr">
        <is>
          <t>2026-05</t>
        </is>
      </c>
      <c r="G122" s="33" t="n">
        <v>46143</v>
      </c>
    </row>
    <row r="123">
      <c r="A123" s="33" t="n">
        <v>46144</v>
      </c>
      <c r="B123" s="31" t="n">
        <v>20260502</v>
      </c>
      <c r="C123" s="31" t="n">
        <v>2026</v>
      </c>
      <c r="D123" s="31" t="inlineStr">
        <is>
          <t>K2</t>
        </is>
      </c>
      <c r="E123" s="31" t="n">
        <v>5</v>
      </c>
      <c r="F123" s="31" t="inlineStr">
        <is>
          <t>2026-05</t>
        </is>
      </c>
      <c r="G123" s="33" t="n">
        <v>46143</v>
      </c>
    </row>
    <row r="124">
      <c r="A124" s="33" t="n">
        <v>46145</v>
      </c>
      <c r="B124" s="31" t="n">
        <v>20260503</v>
      </c>
      <c r="C124" s="31" t="n">
        <v>2026</v>
      </c>
      <c r="D124" s="31" t="inlineStr">
        <is>
          <t>K2</t>
        </is>
      </c>
      <c r="E124" s="31" t="n">
        <v>5</v>
      </c>
      <c r="F124" s="31" t="inlineStr">
        <is>
          <t>2026-05</t>
        </is>
      </c>
      <c r="G124" s="33" t="n">
        <v>46143</v>
      </c>
    </row>
    <row r="125">
      <c r="A125" s="33" t="n">
        <v>46146</v>
      </c>
      <c r="B125" s="31" t="n">
        <v>20260504</v>
      </c>
      <c r="C125" s="31" t="n">
        <v>2026</v>
      </c>
      <c r="D125" s="31" t="inlineStr">
        <is>
          <t>K2</t>
        </is>
      </c>
      <c r="E125" s="31" t="n">
        <v>5</v>
      </c>
      <c r="F125" s="31" t="inlineStr">
        <is>
          <t>2026-05</t>
        </is>
      </c>
      <c r="G125" s="33" t="n">
        <v>46143</v>
      </c>
    </row>
    <row r="126">
      <c r="A126" s="33" t="n">
        <v>46147</v>
      </c>
      <c r="B126" s="31" t="n">
        <v>20260505</v>
      </c>
      <c r="C126" s="31" t="n">
        <v>2026</v>
      </c>
      <c r="D126" s="31" t="inlineStr">
        <is>
          <t>K2</t>
        </is>
      </c>
      <c r="E126" s="31" t="n">
        <v>5</v>
      </c>
      <c r="F126" s="31" t="inlineStr">
        <is>
          <t>2026-05</t>
        </is>
      </c>
      <c r="G126" s="33" t="n">
        <v>46143</v>
      </c>
    </row>
    <row r="127">
      <c r="A127" s="33" t="n">
        <v>46148</v>
      </c>
      <c r="B127" s="31" t="n">
        <v>20260506</v>
      </c>
      <c r="C127" s="31" t="n">
        <v>2026</v>
      </c>
      <c r="D127" s="31" t="inlineStr">
        <is>
          <t>K2</t>
        </is>
      </c>
      <c r="E127" s="31" t="n">
        <v>5</v>
      </c>
      <c r="F127" s="31" t="inlineStr">
        <is>
          <t>2026-05</t>
        </is>
      </c>
      <c r="G127" s="33" t="n">
        <v>46143</v>
      </c>
    </row>
    <row r="128">
      <c r="A128" s="33" t="n">
        <v>46149</v>
      </c>
      <c r="B128" s="31" t="n">
        <v>20260507</v>
      </c>
      <c r="C128" s="31" t="n">
        <v>2026</v>
      </c>
      <c r="D128" s="31" t="inlineStr">
        <is>
          <t>K2</t>
        </is>
      </c>
      <c r="E128" s="31" t="n">
        <v>5</v>
      </c>
      <c r="F128" s="31" t="inlineStr">
        <is>
          <t>2026-05</t>
        </is>
      </c>
      <c r="G128" s="33" t="n">
        <v>46143</v>
      </c>
    </row>
    <row r="129">
      <c r="A129" s="33" t="n">
        <v>46150</v>
      </c>
      <c r="B129" s="31" t="n">
        <v>20260508</v>
      </c>
      <c r="C129" s="31" t="n">
        <v>2026</v>
      </c>
      <c r="D129" s="31" t="inlineStr">
        <is>
          <t>K2</t>
        </is>
      </c>
      <c r="E129" s="31" t="n">
        <v>5</v>
      </c>
      <c r="F129" s="31" t="inlineStr">
        <is>
          <t>2026-05</t>
        </is>
      </c>
      <c r="G129" s="33" t="n">
        <v>46143</v>
      </c>
    </row>
    <row r="130">
      <c r="A130" s="33" t="n">
        <v>46151</v>
      </c>
      <c r="B130" s="31" t="n">
        <v>20260509</v>
      </c>
      <c r="C130" s="31" t="n">
        <v>2026</v>
      </c>
      <c r="D130" s="31" t="inlineStr">
        <is>
          <t>K2</t>
        </is>
      </c>
      <c r="E130" s="31" t="n">
        <v>5</v>
      </c>
      <c r="F130" s="31" t="inlineStr">
        <is>
          <t>2026-05</t>
        </is>
      </c>
      <c r="G130" s="33" t="n">
        <v>46143</v>
      </c>
    </row>
    <row r="131">
      <c r="A131" s="33" t="n">
        <v>46152</v>
      </c>
      <c r="B131" s="31" t="n">
        <v>20260510</v>
      </c>
      <c r="C131" s="31" t="n">
        <v>2026</v>
      </c>
      <c r="D131" s="31" t="inlineStr">
        <is>
          <t>K2</t>
        </is>
      </c>
      <c r="E131" s="31" t="n">
        <v>5</v>
      </c>
      <c r="F131" s="31" t="inlineStr">
        <is>
          <t>2026-05</t>
        </is>
      </c>
      <c r="G131" s="33" t="n">
        <v>46143</v>
      </c>
    </row>
    <row r="132">
      <c r="A132" s="33" t="n">
        <v>46153</v>
      </c>
      <c r="B132" s="31" t="n">
        <v>20260511</v>
      </c>
      <c r="C132" s="31" t="n">
        <v>2026</v>
      </c>
      <c r="D132" s="31" t="inlineStr">
        <is>
          <t>K2</t>
        </is>
      </c>
      <c r="E132" s="31" t="n">
        <v>5</v>
      </c>
      <c r="F132" s="31" t="inlineStr">
        <is>
          <t>2026-05</t>
        </is>
      </c>
      <c r="G132" s="33" t="n">
        <v>46143</v>
      </c>
    </row>
    <row r="133">
      <c r="A133" s="33" t="n">
        <v>46154</v>
      </c>
      <c r="B133" s="31" t="n">
        <v>20260512</v>
      </c>
      <c r="C133" s="31" t="n">
        <v>2026</v>
      </c>
      <c r="D133" s="31" t="inlineStr">
        <is>
          <t>K2</t>
        </is>
      </c>
      <c r="E133" s="31" t="n">
        <v>5</v>
      </c>
      <c r="F133" s="31" t="inlineStr">
        <is>
          <t>2026-05</t>
        </is>
      </c>
      <c r="G133" s="33" t="n">
        <v>46143</v>
      </c>
    </row>
    <row r="134">
      <c r="A134" s="33" t="n">
        <v>46155</v>
      </c>
      <c r="B134" s="31" t="n">
        <v>20260513</v>
      </c>
      <c r="C134" s="31" t="n">
        <v>2026</v>
      </c>
      <c r="D134" s="31" t="inlineStr">
        <is>
          <t>K2</t>
        </is>
      </c>
      <c r="E134" s="31" t="n">
        <v>5</v>
      </c>
      <c r="F134" s="31" t="inlineStr">
        <is>
          <t>2026-05</t>
        </is>
      </c>
      <c r="G134" s="33" t="n">
        <v>46143</v>
      </c>
    </row>
    <row r="135">
      <c r="A135" s="33" t="n">
        <v>46156</v>
      </c>
      <c r="B135" s="31" t="n">
        <v>20260514</v>
      </c>
      <c r="C135" s="31" t="n">
        <v>2026</v>
      </c>
      <c r="D135" s="31" t="inlineStr">
        <is>
          <t>K2</t>
        </is>
      </c>
      <c r="E135" s="31" t="n">
        <v>5</v>
      </c>
      <c r="F135" s="31" t="inlineStr">
        <is>
          <t>2026-05</t>
        </is>
      </c>
      <c r="G135" s="33" t="n">
        <v>46143</v>
      </c>
    </row>
    <row r="136">
      <c r="A136" s="33" t="n">
        <v>46157</v>
      </c>
      <c r="B136" s="31" t="n">
        <v>20260515</v>
      </c>
      <c r="C136" s="31" t="n">
        <v>2026</v>
      </c>
      <c r="D136" s="31" t="inlineStr">
        <is>
          <t>K2</t>
        </is>
      </c>
      <c r="E136" s="31" t="n">
        <v>5</v>
      </c>
      <c r="F136" s="31" t="inlineStr">
        <is>
          <t>2026-05</t>
        </is>
      </c>
      <c r="G136" s="33" t="n">
        <v>46143</v>
      </c>
    </row>
    <row r="137">
      <c r="A137" s="33" t="n">
        <v>46158</v>
      </c>
      <c r="B137" s="31" t="n">
        <v>20260516</v>
      </c>
      <c r="C137" s="31" t="n">
        <v>2026</v>
      </c>
      <c r="D137" s="31" t="inlineStr">
        <is>
          <t>K2</t>
        </is>
      </c>
      <c r="E137" s="31" t="n">
        <v>5</v>
      </c>
      <c r="F137" s="31" t="inlineStr">
        <is>
          <t>2026-05</t>
        </is>
      </c>
      <c r="G137" s="33" t="n">
        <v>46143</v>
      </c>
    </row>
    <row r="138">
      <c r="A138" s="33" t="n">
        <v>46159</v>
      </c>
      <c r="B138" s="31" t="n">
        <v>20260517</v>
      </c>
      <c r="C138" s="31" t="n">
        <v>2026</v>
      </c>
      <c r="D138" s="31" t="inlineStr">
        <is>
          <t>K2</t>
        </is>
      </c>
      <c r="E138" s="31" t="n">
        <v>5</v>
      </c>
      <c r="F138" s="31" t="inlineStr">
        <is>
          <t>2026-05</t>
        </is>
      </c>
      <c r="G138" s="33" t="n">
        <v>46143</v>
      </c>
    </row>
    <row r="139">
      <c r="A139" s="33" t="n">
        <v>46160</v>
      </c>
      <c r="B139" s="31" t="n">
        <v>20260518</v>
      </c>
      <c r="C139" s="31" t="n">
        <v>2026</v>
      </c>
      <c r="D139" s="31" t="inlineStr">
        <is>
          <t>K2</t>
        </is>
      </c>
      <c r="E139" s="31" t="n">
        <v>5</v>
      </c>
      <c r="F139" s="31" t="inlineStr">
        <is>
          <t>2026-05</t>
        </is>
      </c>
      <c r="G139" s="33" t="n">
        <v>46143</v>
      </c>
    </row>
    <row r="140">
      <c r="A140" s="33" t="n">
        <v>46161</v>
      </c>
      <c r="B140" s="31" t="n">
        <v>20260519</v>
      </c>
      <c r="C140" s="31" t="n">
        <v>2026</v>
      </c>
      <c r="D140" s="31" t="inlineStr">
        <is>
          <t>K2</t>
        </is>
      </c>
      <c r="E140" s="31" t="n">
        <v>5</v>
      </c>
      <c r="F140" s="31" t="inlineStr">
        <is>
          <t>2026-05</t>
        </is>
      </c>
      <c r="G140" s="33" t="n">
        <v>46143</v>
      </c>
    </row>
    <row r="141">
      <c r="A141" s="33" t="n">
        <v>46162</v>
      </c>
      <c r="B141" s="31" t="n">
        <v>20260520</v>
      </c>
      <c r="C141" s="31" t="n">
        <v>2026</v>
      </c>
      <c r="D141" s="31" t="inlineStr">
        <is>
          <t>K2</t>
        </is>
      </c>
      <c r="E141" s="31" t="n">
        <v>5</v>
      </c>
      <c r="F141" s="31" t="inlineStr">
        <is>
          <t>2026-05</t>
        </is>
      </c>
      <c r="G141" s="33" t="n">
        <v>46143</v>
      </c>
    </row>
    <row r="142">
      <c r="A142" s="33" t="n">
        <v>46163</v>
      </c>
      <c r="B142" s="31" t="n">
        <v>20260521</v>
      </c>
      <c r="C142" s="31" t="n">
        <v>2026</v>
      </c>
      <c r="D142" s="31" t="inlineStr">
        <is>
          <t>K2</t>
        </is>
      </c>
      <c r="E142" s="31" t="n">
        <v>5</v>
      </c>
      <c r="F142" s="31" t="inlineStr">
        <is>
          <t>2026-05</t>
        </is>
      </c>
      <c r="G142" s="33" t="n">
        <v>46143</v>
      </c>
    </row>
    <row r="143">
      <c r="A143" s="33" t="n">
        <v>46164</v>
      </c>
      <c r="B143" s="31" t="n">
        <v>20260522</v>
      </c>
      <c r="C143" s="31" t="n">
        <v>2026</v>
      </c>
      <c r="D143" s="31" t="inlineStr">
        <is>
          <t>K2</t>
        </is>
      </c>
      <c r="E143" s="31" t="n">
        <v>5</v>
      </c>
      <c r="F143" s="31" t="inlineStr">
        <is>
          <t>2026-05</t>
        </is>
      </c>
      <c r="G143" s="33" t="n">
        <v>46143</v>
      </c>
    </row>
    <row r="144">
      <c r="A144" s="33" t="n">
        <v>46165</v>
      </c>
      <c r="B144" s="31" t="n">
        <v>20260523</v>
      </c>
      <c r="C144" s="31" t="n">
        <v>2026</v>
      </c>
      <c r="D144" s="31" t="inlineStr">
        <is>
          <t>K2</t>
        </is>
      </c>
      <c r="E144" s="31" t="n">
        <v>5</v>
      </c>
      <c r="F144" s="31" t="inlineStr">
        <is>
          <t>2026-05</t>
        </is>
      </c>
      <c r="G144" s="33" t="n">
        <v>46143</v>
      </c>
    </row>
    <row r="145">
      <c r="A145" s="33" t="n">
        <v>46166</v>
      </c>
      <c r="B145" s="31" t="n">
        <v>20260524</v>
      </c>
      <c r="C145" s="31" t="n">
        <v>2026</v>
      </c>
      <c r="D145" s="31" t="inlineStr">
        <is>
          <t>K2</t>
        </is>
      </c>
      <c r="E145" s="31" t="n">
        <v>5</v>
      </c>
      <c r="F145" s="31" t="inlineStr">
        <is>
          <t>2026-05</t>
        </is>
      </c>
      <c r="G145" s="33" t="n">
        <v>46143</v>
      </c>
    </row>
    <row r="146">
      <c r="A146" s="33" t="n">
        <v>46167</v>
      </c>
      <c r="B146" s="31" t="n">
        <v>20260525</v>
      </c>
      <c r="C146" s="31" t="n">
        <v>2026</v>
      </c>
      <c r="D146" s="31" t="inlineStr">
        <is>
          <t>K2</t>
        </is>
      </c>
      <c r="E146" s="31" t="n">
        <v>5</v>
      </c>
      <c r="F146" s="31" t="inlineStr">
        <is>
          <t>2026-05</t>
        </is>
      </c>
      <c r="G146" s="33" t="n">
        <v>46143</v>
      </c>
    </row>
    <row r="147">
      <c r="A147" s="33" t="n">
        <v>46168</v>
      </c>
      <c r="B147" s="31" t="n">
        <v>20260526</v>
      </c>
      <c r="C147" s="31" t="n">
        <v>2026</v>
      </c>
      <c r="D147" s="31" t="inlineStr">
        <is>
          <t>K2</t>
        </is>
      </c>
      <c r="E147" s="31" t="n">
        <v>5</v>
      </c>
      <c r="F147" s="31" t="inlineStr">
        <is>
          <t>2026-05</t>
        </is>
      </c>
      <c r="G147" s="33" t="n">
        <v>46143</v>
      </c>
    </row>
    <row r="148">
      <c r="A148" s="33" t="n">
        <v>46169</v>
      </c>
      <c r="B148" s="31" t="n">
        <v>20260527</v>
      </c>
      <c r="C148" s="31" t="n">
        <v>2026</v>
      </c>
      <c r="D148" s="31" t="inlineStr">
        <is>
          <t>K2</t>
        </is>
      </c>
      <c r="E148" s="31" t="n">
        <v>5</v>
      </c>
      <c r="F148" s="31" t="inlineStr">
        <is>
          <t>2026-05</t>
        </is>
      </c>
      <c r="G148" s="33" t="n">
        <v>46143</v>
      </c>
    </row>
    <row r="149">
      <c r="A149" s="33" t="n">
        <v>46170</v>
      </c>
      <c r="B149" s="31" t="n">
        <v>20260528</v>
      </c>
      <c r="C149" s="31" t="n">
        <v>2026</v>
      </c>
      <c r="D149" s="31" t="inlineStr">
        <is>
          <t>K2</t>
        </is>
      </c>
      <c r="E149" s="31" t="n">
        <v>5</v>
      </c>
      <c r="F149" s="31" t="inlineStr">
        <is>
          <t>2026-05</t>
        </is>
      </c>
      <c r="G149" s="33" t="n">
        <v>46143</v>
      </c>
    </row>
    <row r="150">
      <c r="A150" s="33" t="n">
        <v>46171</v>
      </c>
      <c r="B150" s="31" t="n">
        <v>20260529</v>
      </c>
      <c r="C150" s="31" t="n">
        <v>2026</v>
      </c>
      <c r="D150" s="31" t="inlineStr">
        <is>
          <t>K2</t>
        </is>
      </c>
      <c r="E150" s="31" t="n">
        <v>5</v>
      </c>
      <c r="F150" s="31" t="inlineStr">
        <is>
          <t>2026-05</t>
        </is>
      </c>
      <c r="G150" s="33" t="n">
        <v>46143</v>
      </c>
    </row>
    <row r="151">
      <c r="A151" s="33" t="n">
        <v>46172</v>
      </c>
      <c r="B151" s="31" t="n">
        <v>20260530</v>
      </c>
      <c r="C151" s="31" t="n">
        <v>2026</v>
      </c>
      <c r="D151" s="31" t="inlineStr">
        <is>
          <t>K2</t>
        </is>
      </c>
      <c r="E151" s="31" t="n">
        <v>5</v>
      </c>
      <c r="F151" s="31" t="inlineStr">
        <is>
          <t>2026-05</t>
        </is>
      </c>
      <c r="G151" s="33" t="n">
        <v>46143</v>
      </c>
    </row>
    <row r="152">
      <c r="A152" s="33" t="n">
        <v>46173</v>
      </c>
      <c r="B152" s="31" t="n">
        <v>20260531</v>
      </c>
      <c r="C152" s="31" t="n">
        <v>2026</v>
      </c>
      <c r="D152" s="31" t="inlineStr">
        <is>
          <t>K2</t>
        </is>
      </c>
      <c r="E152" s="31" t="n">
        <v>5</v>
      </c>
      <c r="F152" s="31" t="inlineStr">
        <is>
          <t>2026-05</t>
        </is>
      </c>
      <c r="G152" s="33" t="n">
        <v>46143</v>
      </c>
    </row>
    <row r="153">
      <c r="A153" s="33" t="n">
        <v>46174</v>
      </c>
      <c r="B153" s="31" t="n">
        <v>20260601</v>
      </c>
      <c r="C153" s="31" t="n">
        <v>2026</v>
      </c>
      <c r="D153" s="31" t="inlineStr">
        <is>
          <t>K2</t>
        </is>
      </c>
      <c r="E153" s="31" t="n">
        <v>6</v>
      </c>
      <c r="F153" s="31" t="inlineStr">
        <is>
          <t>2026-06</t>
        </is>
      </c>
      <c r="G153" s="33" t="n">
        <v>46174</v>
      </c>
    </row>
    <row r="154">
      <c r="A154" s="33" t="n">
        <v>46175</v>
      </c>
      <c r="B154" s="31" t="n">
        <v>20260602</v>
      </c>
      <c r="C154" s="31" t="n">
        <v>2026</v>
      </c>
      <c r="D154" s="31" t="inlineStr">
        <is>
          <t>K2</t>
        </is>
      </c>
      <c r="E154" s="31" t="n">
        <v>6</v>
      </c>
      <c r="F154" s="31" t="inlineStr">
        <is>
          <t>2026-06</t>
        </is>
      </c>
      <c r="G154" s="33" t="n">
        <v>46174</v>
      </c>
    </row>
    <row r="155">
      <c r="A155" s="33" t="n">
        <v>46176</v>
      </c>
      <c r="B155" s="31" t="n">
        <v>20260603</v>
      </c>
      <c r="C155" s="31" t="n">
        <v>2026</v>
      </c>
      <c r="D155" s="31" t="inlineStr">
        <is>
          <t>K2</t>
        </is>
      </c>
      <c r="E155" s="31" t="n">
        <v>6</v>
      </c>
      <c r="F155" s="31" t="inlineStr">
        <is>
          <t>2026-06</t>
        </is>
      </c>
      <c r="G155" s="33" t="n">
        <v>46174</v>
      </c>
    </row>
    <row r="156">
      <c r="A156" s="33" t="n">
        <v>46177</v>
      </c>
      <c r="B156" s="31" t="n">
        <v>20260604</v>
      </c>
      <c r="C156" s="31" t="n">
        <v>2026</v>
      </c>
      <c r="D156" s="31" t="inlineStr">
        <is>
          <t>K2</t>
        </is>
      </c>
      <c r="E156" s="31" t="n">
        <v>6</v>
      </c>
      <c r="F156" s="31" t="inlineStr">
        <is>
          <t>2026-06</t>
        </is>
      </c>
      <c r="G156" s="33" t="n">
        <v>46174</v>
      </c>
    </row>
    <row r="157">
      <c r="A157" s="33" t="n">
        <v>46178</v>
      </c>
      <c r="B157" s="31" t="n">
        <v>20260605</v>
      </c>
      <c r="C157" s="31" t="n">
        <v>2026</v>
      </c>
      <c r="D157" s="31" t="inlineStr">
        <is>
          <t>K2</t>
        </is>
      </c>
      <c r="E157" s="31" t="n">
        <v>6</v>
      </c>
      <c r="F157" s="31" t="inlineStr">
        <is>
          <t>2026-06</t>
        </is>
      </c>
      <c r="G157" s="33" t="n">
        <v>46174</v>
      </c>
    </row>
    <row r="158">
      <c r="A158" s="33" t="n">
        <v>46179</v>
      </c>
      <c r="B158" s="31" t="n">
        <v>20260606</v>
      </c>
      <c r="C158" s="31" t="n">
        <v>2026</v>
      </c>
      <c r="D158" s="31" t="inlineStr">
        <is>
          <t>K2</t>
        </is>
      </c>
      <c r="E158" s="31" t="n">
        <v>6</v>
      </c>
      <c r="F158" s="31" t="inlineStr">
        <is>
          <t>2026-06</t>
        </is>
      </c>
      <c r="G158" s="33" t="n">
        <v>46174</v>
      </c>
    </row>
    <row r="159">
      <c r="A159" s="33" t="n">
        <v>46180</v>
      </c>
      <c r="B159" s="31" t="n">
        <v>20260607</v>
      </c>
      <c r="C159" s="31" t="n">
        <v>2026</v>
      </c>
      <c r="D159" s="31" t="inlineStr">
        <is>
          <t>K2</t>
        </is>
      </c>
      <c r="E159" s="31" t="n">
        <v>6</v>
      </c>
      <c r="F159" s="31" t="inlineStr">
        <is>
          <t>2026-06</t>
        </is>
      </c>
      <c r="G159" s="33" t="n">
        <v>46174</v>
      </c>
    </row>
    <row r="160">
      <c r="A160" s="33" t="n">
        <v>46181</v>
      </c>
      <c r="B160" s="31" t="n">
        <v>20260608</v>
      </c>
      <c r="C160" s="31" t="n">
        <v>2026</v>
      </c>
      <c r="D160" s="31" t="inlineStr">
        <is>
          <t>K2</t>
        </is>
      </c>
      <c r="E160" s="31" t="n">
        <v>6</v>
      </c>
      <c r="F160" s="31" t="inlineStr">
        <is>
          <t>2026-06</t>
        </is>
      </c>
      <c r="G160" s="33" t="n">
        <v>46174</v>
      </c>
    </row>
    <row r="161">
      <c r="A161" s="33" t="n">
        <v>46182</v>
      </c>
      <c r="B161" s="31" t="n">
        <v>20260609</v>
      </c>
      <c r="C161" s="31" t="n">
        <v>2026</v>
      </c>
      <c r="D161" s="31" t="inlineStr">
        <is>
          <t>K2</t>
        </is>
      </c>
      <c r="E161" s="31" t="n">
        <v>6</v>
      </c>
      <c r="F161" s="31" t="inlineStr">
        <is>
          <t>2026-06</t>
        </is>
      </c>
      <c r="G161" s="33" t="n">
        <v>46174</v>
      </c>
    </row>
    <row r="162">
      <c r="A162" s="33" t="n">
        <v>46183</v>
      </c>
      <c r="B162" s="31" t="n">
        <v>20260610</v>
      </c>
      <c r="C162" s="31" t="n">
        <v>2026</v>
      </c>
      <c r="D162" s="31" t="inlineStr">
        <is>
          <t>K2</t>
        </is>
      </c>
      <c r="E162" s="31" t="n">
        <v>6</v>
      </c>
      <c r="F162" s="31" t="inlineStr">
        <is>
          <t>2026-06</t>
        </is>
      </c>
      <c r="G162" s="33" t="n">
        <v>46174</v>
      </c>
    </row>
    <row r="163">
      <c r="A163" s="33" t="n">
        <v>46184</v>
      </c>
      <c r="B163" s="31" t="n">
        <v>20260611</v>
      </c>
      <c r="C163" s="31" t="n">
        <v>2026</v>
      </c>
      <c r="D163" s="31" t="inlineStr">
        <is>
          <t>K2</t>
        </is>
      </c>
      <c r="E163" s="31" t="n">
        <v>6</v>
      </c>
      <c r="F163" s="31" t="inlineStr">
        <is>
          <t>2026-06</t>
        </is>
      </c>
      <c r="G163" s="33" t="n">
        <v>46174</v>
      </c>
    </row>
    <row r="164">
      <c r="A164" s="33" t="n">
        <v>46185</v>
      </c>
      <c r="B164" s="31" t="n">
        <v>20260612</v>
      </c>
      <c r="C164" s="31" t="n">
        <v>2026</v>
      </c>
      <c r="D164" s="31" t="inlineStr">
        <is>
          <t>K2</t>
        </is>
      </c>
      <c r="E164" s="31" t="n">
        <v>6</v>
      </c>
      <c r="F164" s="31" t="inlineStr">
        <is>
          <t>2026-06</t>
        </is>
      </c>
      <c r="G164" s="33" t="n">
        <v>46174</v>
      </c>
    </row>
    <row r="165">
      <c r="A165" s="33" t="n">
        <v>46186</v>
      </c>
      <c r="B165" s="31" t="n">
        <v>20260613</v>
      </c>
      <c r="C165" s="31" t="n">
        <v>2026</v>
      </c>
      <c r="D165" s="31" t="inlineStr">
        <is>
          <t>K2</t>
        </is>
      </c>
      <c r="E165" s="31" t="n">
        <v>6</v>
      </c>
      <c r="F165" s="31" t="inlineStr">
        <is>
          <t>2026-06</t>
        </is>
      </c>
      <c r="G165" s="33" t="n">
        <v>46174</v>
      </c>
    </row>
    <row r="166">
      <c r="A166" s="33" t="n">
        <v>46187</v>
      </c>
      <c r="B166" s="31" t="n">
        <v>20260614</v>
      </c>
      <c r="C166" s="31" t="n">
        <v>2026</v>
      </c>
      <c r="D166" s="31" t="inlineStr">
        <is>
          <t>K2</t>
        </is>
      </c>
      <c r="E166" s="31" t="n">
        <v>6</v>
      </c>
      <c r="F166" s="31" t="inlineStr">
        <is>
          <t>2026-06</t>
        </is>
      </c>
      <c r="G166" s="33" t="n">
        <v>46174</v>
      </c>
    </row>
    <row r="167">
      <c r="A167" s="33" t="n">
        <v>46188</v>
      </c>
      <c r="B167" s="31" t="n">
        <v>20260615</v>
      </c>
      <c r="C167" s="31" t="n">
        <v>2026</v>
      </c>
      <c r="D167" s="31" t="inlineStr">
        <is>
          <t>K2</t>
        </is>
      </c>
      <c r="E167" s="31" t="n">
        <v>6</v>
      </c>
      <c r="F167" s="31" t="inlineStr">
        <is>
          <t>2026-06</t>
        </is>
      </c>
      <c r="G167" s="33" t="n">
        <v>46174</v>
      </c>
    </row>
    <row r="168">
      <c r="A168" s="33" t="n">
        <v>46189</v>
      </c>
      <c r="B168" s="31" t="n">
        <v>20260616</v>
      </c>
      <c r="C168" s="31" t="n">
        <v>2026</v>
      </c>
      <c r="D168" s="31" t="inlineStr">
        <is>
          <t>K2</t>
        </is>
      </c>
      <c r="E168" s="31" t="n">
        <v>6</v>
      </c>
      <c r="F168" s="31" t="inlineStr">
        <is>
          <t>2026-06</t>
        </is>
      </c>
      <c r="G168" s="33" t="n">
        <v>46174</v>
      </c>
    </row>
    <row r="169">
      <c r="A169" s="33" t="n">
        <v>46190</v>
      </c>
      <c r="B169" s="31" t="n">
        <v>20260617</v>
      </c>
      <c r="C169" s="31" t="n">
        <v>2026</v>
      </c>
      <c r="D169" s="31" t="inlineStr">
        <is>
          <t>K2</t>
        </is>
      </c>
      <c r="E169" s="31" t="n">
        <v>6</v>
      </c>
      <c r="F169" s="31" t="inlineStr">
        <is>
          <t>2026-06</t>
        </is>
      </c>
      <c r="G169" s="33" t="n">
        <v>46174</v>
      </c>
    </row>
    <row r="170">
      <c r="A170" s="33" t="n">
        <v>46191</v>
      </c>
      <c r="B170" s="31" t="n">
        <v>20260618</v>
      </c>
      <c r="C170" s="31" t="n">
        <v>2026</v>
      </c>
      <c r="D170" s="31" t="inlineStr">
        <is>
          <t>K2</t>
        </is>
      </c>
      <c r="E170" s="31" t="n">
        <v>6</v>
      </c>
      <c r="F170" s="31" t="inlineStr">
        <is>
          <t>2026-06</t>
        </is>
      </c>
      <c r="G170" s="33" t="n">
        <v>46174</v>
      </c>
    </row>
    <row r="171">
      <c r="A171" s="33" t="n">
        <v>46192</v>
      </c>
      <c r="B171" s="31" t="n">
        <v>20260619</v>
      </c>
      <c r="C171" s="31" t="n">
        <v>2026</v>
      </c>
      <c r="D171" s="31" t="inlineStr">
        <is>
          <t>K2</t>
        </is>
      </c>
      <c r="E171" s="31" t="n">
        <v>6</v>
      </c>
      <c r="F171" s="31" t="inlineStr">
        <is>
          <t>2026-06</t>
        </is>
      </c>
      <c r="G171" s="33" t="n">
        <v>46174</v>
      </c>
    </row>
    <row r="172">
      <c r="A172" s="33" t="n">
        <v>46193</v>
      </c>
      <c r="B172" s="31" t="n">
        <v>20260620</v>
      </c>
      <c r="C172" s="31" t="n">
        <v>2026</v>
      </c>
      <c r="D172" s="31" t="inlineStr">
        <is>
          <t>K2</t>
        </is>
      </c>
      <c r="E172" s="31" t="n">
        <v>6</v>
      </c>
      <c r="F172" s="31" t="inlineStr">
        <is>
          <t>2026-06</t>
        </is>
      </c>
      <c r="G172" s="33" t="n">
        <v>46174</v>
      </c>
    </row>
    <row r="173">
      <c r="A173" s="33" t="n">
        <v>46194</v>
      </c>
      <c r="B173" s="31" t="n">
        <v>20260621</v>
      </c>
      <c r="C173" s="31" t="n">
        <v>2026</v>
      </c>
      <c r="D173" s="31" t="inlineStr">
        <is>
          <t>K2</t>
        </is>
      </c>
      <c r="E173" s="31" t="n">
        <v>6</v>
      </c>
      <c r="F173" s="31" t="inlineStr">
        <is>
          <t>2026-06</t>
        </is>
      </c>
      <c r="G173" s="33" t="n">
        <v>46174</v>
      </c>
    </row>
    <row r="174">
      <c r="A174" s="33" t="n">
        <v>46195</v>
      </c>
      <c r="B174" s="31" t="n">
        <v>20260622</v>
      </c>
      <c r="C174" s="31" t="n">
        <v>2026</v>
      </c>
      <c r="D174" s="31" t="inlineStr">
        <is>
          <t>K2</t>
        </is>
      </c>
      <c r="E174" s="31" t="n">
        <v>6</v>
      </c>
      <c r="F174" s="31" t="inlineStr">
        <is>
          <t>2026-06</t>
        </is>
      </c>
      <c r="G174" s="33" t="n">
        <v>46174</v>
      </c>
    </row>
    <row r="175">
      <c r="A175" s="33" t="n">
        <v>46196</v>
      </c>
      <c r="B175" s="31" t="n">
        <v>20260623</v>
      </c>
      <c r="C175" s="31" t="n">
        <v>2026</v>
      </c>
      <c r="D175" s="31" t="inlineStr">
        <is>
          <t>K2</t>
        </is>
      </c>
      <c r="E175" s="31" t="n">
        <v>6</v>
      </c>
      <c r="F175" s="31" t="inlineStr">
        <is>
          <t>2026-06</t>
        </is>
      </c>
      <c r="G175" s="33" t="n">
        <v>46174</v>
      </c>
    </row>
    <row r="176">
      <c r="A176" s="33" t="n">
        <v>46197</v>
      </c>
      <c r="B176" s="31" t="n">
        <v>20260624</v>
      </c>
      <c r="C176" s="31" t="n">
        <v>2026</v>
      </c>
      <c r="D176" s="31" t="inlineStr">
        <is>
          <t>K2</t>
        </is>
      </c>
      <c r="E176" s="31" t="n">
        <v>6</v>
      </c>
      <c r="F176" s="31" t="inlineStr">
        <is>
          <t>2026-06</t>
        </is>
      </c>
      <c r="G176" s="33" t="n">
        <v>46174</v>
      </c>
    </row>
    <row r="177">
      <c r="A177" s="33" t="n">
        <v>46198</v>
      </c>
      <c r="B177" s="31" t="n">
        <v>20260625</v>
      </c>
      <c r="C177" s="31" t="n">
        <v>2026</v>
      </c>
      <c r="D177" s="31" t="inlineStr">
        <is>
          <t>K2</t>
        </is>
      </c>
      <c r="E177" s="31" t="n">
        <v>6</v>
      </c>
      <c r="F177" s="31" t="inlineStr">
        <is>
          <t>2026-06</t>
        </is>
      </c>
      <c r="G177" s="33" t="n">
        <v>46174</v>
      </c>
    </row>
    <row r="178">
      <c r="A178" s="33" t="n">
        <v>46199</v>
      </c>
      <c r="B178" s="31" t="n">
        <v>20260626</v>
      </c>
      <c r="C178" s="31" t="n">
        <v>2026</v>
      </c>
      <c r="D178" s="31" t="inlineStr">
        <is>
          <t>K2</t>
        </is>
      </c>
      <c r="E178" s="31" t="n">
        <v>6</v>
      </c>
      <c r="F178" s="31" t="inlineStr">
        <is>
          <t>2026-06</t>
        </is>
      </c>
      <c r="G178" s="33" t="n">
        <v>46174</v>
      </c>
    </row>
    <row r="179">
      <c r="A179" s="33" t="n">
        <v>46200</v>
      </c>
      <c r="B179" s="31" t="n">
        <v>20260627</v>
      </c>
      <c r="C179" s="31" t="n">
        <v>2026</v>
      </c>
      <c r="D179" s="31" t="inlineStr">
        <is>
          <t>K2</t>
        </is>
      </c>
      <c r="E179" s="31" t="n">
        <v>6</v>
      </c>
      <c r="F179" s="31" t="inlineStr">
        <is>
          <t>2026-06</t>
        </is>
      </c>
      <c r="G179" s="33" t="n">
        <v>46174</v>
      </c>
    </row>
    <row r="180">
      <c r="A180" s="33" t="n">
        <v>46201</v>
      </c>
      <c r="B180" s="31" t="n">
        <v>20260628</v>
      </c>
      <c r="C180" s="31" t="n">
        <v>2026</v>
      </c>
      <c r="D180" s="31" t="inlineStr">
        <is>
          <t>K2</t>
        </is>
      </c>
      <c r="E180" s="31" t="n">
        <v>6</v>
      </c>
      <c r="F180" s="31" t="inlineStr">
        <is>
          <t>2026-06</t>
        </is>
      </c>
      <c r="G180" s="33" t="n">
        <v>46174</v>
      </c>
    </row>
    <row r="181">
      <c r="A181" s="33" t="n">
        <v>46202</v>
      </c>
      <c r="B181" s="31" t="n">
        <v>20260629</v>
      </c>
      <c r="C181" s="31" t="n">
        <v>2026</v>
      </c>
      <c r="D181" s="31" t="inlineStr">
        <is>
          <t>K2</t>
        </is>
      </c>
      <c r="E181" s="31" t="n">
        <v>6</v>
      </c>
      <c r="F181" s="31" t="inlineStr">
        <is>
          <t>2026-06</t>
        </is>
      </c>
      <c r="G181" s="33" t="n">
        <v>46174</v>
      </c>
    </row>
    <row r="182">
      <c r="A182" s="33" t="n">
        <v>46203</v>
      </c>
      <c r="B182" s="31" t="n">
        <v>20260630</v>
      </c>
      <c r="C182" s="31" t="n">
        <v>2026</v>
      </c>
      <c r="D182" s="31" t="inlineStr">
        <is>
          <t>K2</t>
        </is>
      </c>
      <c r="E182" s="31" t="n">
        <v>6</v>
      </c>
      <c r="F182" s="31" t="inlineStr">
        <is>
          <t>2026-06</t>
        </is>
      </c>
      <c r="G182" s="33" t="n">
        <v>46174</v>
      </c>
    </row>
    <row r="183">
      <c r="A183" s="33" t="n">
        <v>46204</v>
      </c>
      <c r="B183" s="31" t="n">
        <v>20260701</v>
      </c>
      <c r="C183" s="31" t="n">
        <v>2026</v>
      </c>
      <c r="D183" s="31" t="inlineStr">
        <is>
          <t>K3</t>
        </is>
      </c>
      <c r="E183" s="31" t="n">
        <v>7</v>
      </c>
      <c r="F183" s="31" t="inlineStr">
        <is>
          <t>2026-07</t>
        </is>
      </c>
      <c r="G183" s="33" t="n">
        <v>46204</v>
      </c>
    </row>
    <row r="184">
      <c r="A184" s="33" t="n">
        <v>46205</v>
      </c>
      <c r="B184" s="31" t="n">
        <v>20260702</v>
      </c>
      <c r="C184" s="31" t="n">
        <v>2026</v>
      </c>
      <c r="D184" s="31" t="inlineStr">
        <is>
          <t>K3</t>
        </is>
      </c>
      <c r="E184" s="31" t="n">
        <v>7</v>
      </c>
      <c r="F184" s="31" t="inlineStr">
        <is>
          <t>2026-07</t>
        </is>
      </c>
      <c r="G184" s="33" t="n">
        <v>46204</v>
      </c>
    </row>
    <row r="185">
      <c r="A185" s="33" t="n">
        <v>46206</v>
      </c>
      <c r="B185" s="31" t="n">
        <v>20260703</v>
      </c>
      <c r="C185" s="31" t="n">
        <v>2026</v>
      </c>
      <c r="D185" s="31" t="inlineStr">
        <is>
          <t>K3</t>
        </is>
      </c>
      <c r="E185" s="31" t="n">
        <v>7</v>
      </c>
      <c r="F185" s="31" t="inlineStr">
        <is>
          <t>2026-07</t>
        </is>
      </c>
      <c r="G185" s="33" t="n">
        <v>46204</v>
      </c>
    </row>
    <row r="186">
      <c r="A186" s="33" t="n">
        <v>46207</v>
      </c>
      <c r="B186" s="31" t="n">
        <v>20260704</v>
      </c>
      <c r="C186" s="31" t="n">
        <v>2026</v>
      </c>
      <c r="D186" s="31" t="inlineStr">
        <is>
          <t>K3</t>
        </is>
      </c>
      <c r="E186" s="31" t="n">
        <v>7</v>
      </c>
      <c r="F186" s="31" t="inlineStr">
        <is>
          <t>2026-07</t>
        </is>
      </c>
      <c r="G186" s="33" t="n">
        <v>46204</v>
      </c>
    </row>
    <row r="187">
      <c r="A187" s="33" t="n">
        <v>46208</v>
      </c>
      <c r="B187" s="31" t="n">
        <v>20260705</v>
      </c>
      <c r="C187" s="31" t="n">
        <v>2026</v>
      </c>
      <c r="D187" s="31" t="inlineStr">
        <is>
          <t>K3</t>
        </is>
      </c>
      <c r="E187" s="31" t="n">
        <v>7</v>
      </c>
      <c r="F187" s="31" t="inlineStr">
        <is>
          <t>2026-07</t>
        </is>
      </c>
      <c r="G187" s="33" t="n">
        <v>46204</v>
      </c>
    </row>
    <row r="188">
      <c r="A188" s="33" t="n">
        <v>46209</v>
      </c>
      <c r="B188" s="31" t="n">
        <v>20260706</v>
      </c>
      <c r="C188" s="31" t="n">
        <v>2026</v>
      </c>
      <c r="D188" s="31" t="inlineStr">
        <is>
          <t>K3</t>
        </is>
      </c>
      <c r="E188" s="31" t="n">
        <v>7</v>
      </c>
      <c r="F188" s="31" t="inlineStr">
        <is>
          <t>2026-07</t>
        </is>
      </c>
      <c r="G188" s="33" t="n">
        <v>46204</v>
      </c>
    </row>
    <row r="189">
      <c r="A189" s="33" t="n">
        <v>46210</v>
      </c>
      <c r="B189" s="31" t="n">
        <v>20260707</v>
      </c>
      <c r="C189" s="31" t="n">
        <v>2026</v>
      </c>
      <c r="D189" s="31" t="inlineStr">
        <is>
          <t>K3</t>
        </is>
      </c>
      <c r="E189" s="31" t="n">
        <v>7</v>
      </c>
      <c r="F189" s="31" t="inlineStr">
        <is>
          <t>2026-07</t>
        </is>
      </c>
      <c r="G189" s="33" t="n">
        <v>46204</v>
      </c>
    </row>
    <row r="190">
      <c r="A190" s="33" t="n">
        <v>46211</v>
      </c>
      <c r="B190" s="31" t="n">
        <v>20260708</v>
      </c>
      <c r="C190" s="31" t="n">
        <v>2026</v>
      </c>
      <c r="D190" s="31" t="inlineStr">
        <is>
          <t>K3</t>
        </is>
      </c>
      <c r="E190" s="31" t="n">
        <v>7</v>
      </c>
      <c r="F190" s="31" t="inlineStr">
        <is>
          <t>2026-07</t>
        </is>
      </c>
      <c r="G190" s="33" t="n">
        <v>46204</v>
      </c>
    </row>
    <row r="191">
      <c r="A191" s="33" t="n">
        <v>46212</v>
      </c>
      <c r="B191" s="31" t="n">
        <v>20260709</v>
      </c>
      <c r="C191" s="31" t="n">
        <v>2026</v>
      </c>
      <c r="D191" s="31" t="inlineStr">
        <is>
          <t>K3</t>
        </is>
      </c>
      <c r="E191" s="31" t="n">
        <v>7</v>
      </c>
      <c r="F191" s="31" t="inlineStr">
        <is>
          <t>2026-07</t>
        </is>
      </c>
      <c r="G191" s="33" t="n">
        <v>46204</v>
      </c>
    </row>
    <row r="192">
      <c r="A192" s="33" t="n">
        <v>46213</v>
      </c>
      <c r="B192" s="31" t="n">
        <v>20260710</v>
      </c>
      <c r="C192" s="31" t="n">
        <v>2026</v>
      </c>
      <c r="D192" s="31" t="inlineStr">
        <is>
          <t>K3</t>
        </is>
      </c>
      <c r="E192" s="31" t="n">
        <v>7</v>
      </c>
      <c r="F192" s="31" t="inlineStr">
        <is>
          <t>2026-07</t>
        </is>
      </c>
      <c r="G192" s="33" t="n">
        <v>46204</v>
      </c>
    </row>
    <row r="193">
      <c r="A193" s="33" t="n">
        <v>46214</v>
      </c>
      <c r="B193" s="31" t="n">
        <v>20260711</v>
      </c>
      <c r="C193" s="31" t="n">
        <v>2026</v>
      </c>
      <c r="D193" s="31" t="inlineStr">
        <is>
          <t>K3</t>
        </is>
      </c>
      <c r="E193" s="31" t="n">
        <v>7</v>
      </c>
      <c r="F193" s="31" t="inlineStr">
        <is>
          <t>2026-07</t>
        </is>
      </c>
      <c r="G193" s="33" t="n">
        <v>46204</v>
      </c>
    </row>
    <row r="194">
      <c r="A194" s="33" t="n">
        <v>46215</v>
      </c>
      <c r="B194" s="31" t="n">
        <v>20260712</v>
      </c>
      <c r="C194" s="31" t="n">
        <v>2026</v>
      </c>
      <c r="D194" s="31" t="inlineStr">
        <is>
          <t>K3</t>
        </is>
      </c>
      <c r="E194" s="31" t="n">
        <v>7</v>
      </c>
      <c r="F194" s="31" t="inlineStr">
        <is>
          <t>2026-07</t>
        </is>
      </c>
      <c r="G194" s="33" t="n">
        <v>46204</v>
      </c>
    </row>
    <row r="195">
      <c r="A195" s="33" t="n">
        <v>46216</v>
      </c>
      <c r="B195" s="31" t="n">
        <v>20260713</v>
      </c>
      <c r="C195" s="31" t="n">
        <v>2026</v>
      </c>
      <c r="D195" s="31" t="inlineStr">
        <is>
          <t>K3</t>
        </is>
      </c>
      <c r="E195" s="31" t="n">
        <v>7</v>
      </c>
      <c r="F195" s="31" t="inlineStr">
        <is>
          <t>2026-07</t>
        </is>
      </c>
      <c r="G195" s="33" t="n">
        <v>46204</v>
      </c>
    </row>
    <row r="196">
      <c r="A196" s="33" t="n">
        <v>46217</v>
      </c>
      <c r="B196" s="31" t="n">
        <v>20260714</v>
      </c>
      <c r="C196" s="31" t="n">
        <v>2026</v>
      </c>
      <c r="D196" s="31" t="inlineStr">
        <is>
          <t>K3</t>
        </is>
      </c>
      <c r="E196" s="31" t="n">
        <v>7</v>
      </c>
      <c r="F196" s="31" t="inlineStr">
        <is>
          <t>2026-07</t>
        </is>
      </c>
      <c r="G196" s="33" t="n">
        <v>46204</v>
      </c>
    </row>
    <row r="197">
      <c r="A197" s="33" t="n">
        <v>46218</v>
      </c>
      <c r="B197" s="31" t="n">
        <v>20260715</v>
      </c>
      <c r="C197" s="31" t="n">
        <v>2026</v>
      </c>
      <c r="D197" s="31" t="inlineStr">
        <is>
          <t>K3</t>
        </is>
      </c>
      <c r="E197" s="31" t="n">
        <v>7</v>
      </c>
      <c r="F197" s="31" t="inlineStr">
        <is>
          <t>2026-07</t>
        </is>
      </c>
      <c r="G197" s="33" t="n">
        <v>46204</v>
      </c>
    </row>
    <row r="198">
      <c r="A198" s="33" t="n">
        <v>46219</v>
      </c>
      <c r="B198" s="31" t="n">
        <v>20260716</v>
      </c>
      <c r="C198" s="31" t="n">
        <v>2026</v>
      </c>
      <c r="D198" s="31" t="inlineStr">
        <is>
          <t>K3</t>
        </is>
      </c>
      <c r="E198" s="31" t="n">
        <v>7</v>
      </c>
      <c r="F198" s="31" t="inlineStr">
        <is>
          <t>2026-07</t>
        </is>
      </c>
      <c r="G198" s="33" t="n">
        <v>46204</v>
      </c>
    </row>
    <row r="199">
      <c r="A199" s="33" t="n">
        <v>46220</v>
      </c>
      <c r="B199" s="31" t="n">
        <v>20260717</v>
      </c>
      <c r="C199" s="31" t="n">
        <v>2026</v>
      </c>
      <c r="D199" s="31" t="inlineStr">
        <is>
          <t>K3</t>
        </is>
      </c>
      <c r="E199" s="31" t="n">
        <v>7</v>
      </c>
      <c r="F199" s="31" t="inlineStr">
        <is>
          <t>2026-07</t>
        </is>
      </c>
      <c r="G199" s="33" t="n">
        <v>46204</v>
      </c>
    </row>
    <row r="200">
      <c r="A200" s="33" t="n">
        <v>46221</v>
      </c>
      <c r="B200" s="31" t="n">
        <v>20260718</v>
      </c>
      <c r="C200" s="31" t="n">
        <v>2026</v>
      </c>
      <c r="D200" s="31" t="inlineStr">
        <is>
          <t>K3</t>
        </is>
      </c>
      <c r="E200" s="31" t="n">
        <v>7</v>
      </c>
      <c r="F200" s="31" t="inlineStr">
        <is>
          <t>2026-07</t>
        </is>
      </c>
      <c r="G200" s="33" t="n">
        <v>46204</v>
      </c>
    </row>
    <row r="201">
      <c r="A201" s="33" t="n">
        <v>46222</v>
      </c>
      <c r="B201" s="31" t="n">
        <v>20260719</v>
      </c>
      <c r="C201" s="31" t="n">
        <v>2026</v>
      </c>
      <c r="D201" s="31" t="inlineStr">
        <is>
          <t>K3</t>
        </is>
      </c>
      <c r="E201" s="31" t="n">
        <v>7</v>
      </c>
      <c r="F201" s="31" t="inlineStr">
        <is>
          <t>2026-07</t>
        </is>
      </c>
      <c r="G201" s="33" t="n">
        <v>46204</v>
      </c>
    </row>
    <row r="202">
      <c r="A202" s="33" t="n">
        <v>46223</v>
      </c>
      <c r="B202" s="31" t="n">
        <v>20260720</v>
      </c>
      <c r="C202" s="31" t="n">
        <v>2026</v>
      </c>
      <c r="D202" s="31" t="inlineStr">
        <is>
          <t>K3</t>
        </is>
      </c>
      <c r="E202" s="31" t="n">
        <v>7</v>
      </c>
      <c r="F202" s="31" t="inlineStr">
        <is>
          <t>2026-07</t>
        </is>
      </c>
      <c r="G202" s="33" t="n">
        <v>46204</v>
      </c>
    </row>
    <row r="203">
      <c r="A203" s="33" t="n">
        <v>46224</v>
      </c>
      <c r="B203" s="31" t="n">
        <v>20260721</v>
      </c>
      <c r="C203" s="31" t="n">
        <v>2026</v>
      </c>
      <c r="D203" s="31" t="inlineStr">
        <is>
          <t>K3</t>
        </is>
      </c>
      <c r="E203" s="31" t="n">
        <v>7</v>
      </c>
      <c r="F203" s="31" t="inlineStr">
        <is>
          <t>2026-07</t>
        </is>
      </c>
      <c r="G203" s="33" t="n">
        <v>46204</v>
      </c>
    </row>
    <row r="204">
      <c r="A204" s="33" t="n">
        <v>46225</v>
      </c>
      <c r="B204" s="31" t="n">
        <v>20260722</v>
      </c>
      <c r="C204" s="31" t="n">
        <v>2026</v>
      </c>
      <c r="D204" s="31" t="inlineStr">
        <is>
          <t>K3</t>
        </is>
      </c>
      <c r="E204" s="31" t="n">
        <v>7</v>
      </c>
      <c r="F204" s="31" t="inlineStr">
        <is>
          <t>2026-07</t>
        </is>
      </c>
      <c r="G204" s="33" t="n">
        <v>46204</v>
      </c>
    </row>
    <row r="205">
      <c r="A205" s="33" t="n">
        <v>46226</v>
      </c>
      <c r="B205" s="31" t="n">
        <v>20260723</v>
      </c>
      <c r="C205" s="31" t="n">
        <v>2026</v>
      </c>
      <c r="D205" s="31" t="inlineStr">
        <is>
          <t>K3</t>
        </is>
      </c>
      <c r="E205" s="31" t="n">
        <v>7</v>
      </c>
      <c r="F205" s="31" t="inlineStr">
        <is>
          <t>2026-07</t>
        </is>
      </c>
      <c r="G205" s="33" t="n">
        <v>46204</v>
      </c>
    </row>
    <row r="206">
      <c r="A206" s="33" t="n">
        <v>46227</v>
      </c>
      <c r="B206" s="31" t="n">
        <v>20260724</v>
      </c>
      <c r="C206" s="31" t="n">
        <v>2026</v>
      </c>
      <c r="D206" s="31" t="inlineStr">
        <is>
          <t>K3</t>
        </is>
      </c>
      <c r="E206" s="31" t="n">
        <v>7</v>
      </c>
      <c r="F206" s="31" t="inlineStr">
        <is>
          <t>2026-07</t>
        </is>
      </c>
      <c r="G206" s="33" t="n">
        <v>46204</v>
      </c>
    </row>
    <row r="207">
      <c r="A207" s="33" t="n">
        <v>46228</v>
      </c>
      <c r="B207" s="31" t="n">
        <v>20260725</v>
      </c>
      <c r="C207" s="31" t="n">
        <v>2026</v>
      </c>
      <c r="D207" s="31" t="inlineStr">
        <is>
          <t>K3</t>
        </is>
      </c>
      <c r="E207" s="31" t="n">
        <v>7</v>
      </c>
      <c r="F207" s="31" t="inlineStr">
        <is>
          <t>2026-07</t>
        </is>
      </c>
      <c r="G207" s="33" t="n">
        <v>46204</v>
      </c>
    </row>
    <row r="208">
      <c r="A208" s="33" t="n">
        <v>46229</v>
      </c>
      <c r="B208" s="31" t="n">
        <v>20260726</v>
      </c>
      <c r="C208" s="31" t="n">
        <v>2026</v>
      </c>
      <c r="D208" s="31" t="inlineStr">
        <is>
          <t>K3</t>
        </is>
      </c>
      <c r="E208" s="31" t="n">
        <v>7</v>
      </c>
      <c r="F208" s="31" t="inlineStr">
        <is>
          <t>2026-07</t>
        </is>
      </c>
      <c r="G208" s="33" t="n">
        <v>46204</v>
      </c>
    </row>
    <row r="209">
      <c r="A209" s="33" t="n">
        <v>46230</v>
      </c>
      <c r="B209" s="31" t="n">
        <v>20260727</v>
      </c>
      <c r="C209" s="31" t="n">
        <v>2026</v>
      </c>
      <c r="D209" s="31" t="inlineStr">
        <is>
          <t>K3</t>
        </is>
      </c>
      <c r="E209" s="31" t="n">
        <v>7</v>
      </c>
      <c r="F209" s="31" t="inlineStr">
        <is>
          <t>2026-07</t>
        </is>
      </c>
      <c r="G209" s="33" t="n">
        <v>46204</v>
      </c>
    </row>
    <row r="210">
      <c r="A210" s="33" t="n">
        <v>46231</v>
      </c>
      <c r="B210" s="31" t="n">
        <v>20260728</v>
      </c>
      <c r="C210" s="31" t="n">
        <v>2026</v>
      </c>
      <c r="D210" s="31" t="inlineStr">
        <is>
          <t>K3</t>
        </is>
      </c>
      <c r="E210" s="31" t="n">
        <v>7</v>
      </c>
      <c r="F210" s="31" t="inlineStr">
        <is>
          <t>2026-07</t>
        </is>
      </c>
      <c r="G210" s="33" t="n">
        <v>46204</v>
      </c>
    </row>
    <row r="211">
      <c r="A211" s="33" t="n">
        <v>46232</v>
      </c>
      <c r="B211" s="31" t="n">
        <v>20260729</v>
      </c>
      <c r="C211" s="31" t="n">
        <v>2026</v>
      </c>
      <c r="D211" s="31" t="inlineStr">
        <is>
          <t>K3</t>
        </is>
      </c>
      <c r="E211" s="31" t="n">
        <v>7</v>
      </c>
      <c r="F211" s="31" t="inlineStr">
        <is>
          <t>2026-07</t>
        </is>
      </c>
      <c r="G211" s="33" t="n">
        <v>46204</v>
      </c>
    </row>
    <row r="212">
      <c r="A212" s="33" t="n">
        <v>46233</v>
      </c>
      <c r="B212" s="31" t="n">
        <v>20260730</v>
      </c>
      <c r="C212" s="31" t="n">
        <v>2026</v>
      </c>
      <c r="D212" s="31" t="inlineStr">
        <is>
          <t>K3</t>
        </is>
      </c>
      <c r="E212" s="31" t="n">
        <v>7</v>
      </c>
      <c r="F212" s="31" t="inlineStr">
        <is>
          <t>2026-07</t>
        </is>
      </c>
      <c r="G212" s="33" t="n">
        <v>46204</v>
      </c>
    </row>
    <row r="213">
      <c r="A213" s="33" t="n">
        <v>46234</v>
      </c>
      <c r="B213" s="31" t="n">
        <v>20260731</v>
      </c>
      <c r="C213" s="31" t="n">
        <v>2026</v>
      </c>
      <c r="D213" s="31" t="inlineStr">
        <is>
          <t>K3</t>
        </is>
      </c>
      <c r="E213" s="31" t="n">
        <v>7</v>
      </c>
      <c r="F213" s="31" t="inlineStr">
        <is>
          <t>2026-07</t>
        </is>
      </c>
      <c r="G213" s="33" t="n">
        <v>46204</v>
      </c>
    </row>
    <row r="214">
      <c r="A214" s="33" t="n">
        <v>46235</v>
      </c>
      <c r="B214" s="31" t="n">
        <v>20260801</v>
      </c>
      <c r="C214" s="31" t="n">
        <v>2026</v>
      </c>
      <c r="D214" s="31" t="inlineStr">
        <is>
          <t>K3</t>
        </is>
      </c>
      <c r="E214" s="31" t="n">
        <v>8</v>
      </c>
      <c r="F214" s="31" t="inlineStr">
        <is>
          <t>2026-08</t>
        </is>
      </c>
      <c r="G214" s="33" t="n">
        <v>46235</v>
      </c>
    </row>
    <row r="215">
      <c r="A215" s="33" t="n">
        <v>46236</v>
      </c>
      <c r="B215" s="31" t="n">
        <v>20260802</v>
      </c>
      <c r="C215" s="31" t="n">
        <v>2026</v>
      </c>
      <c r="D215" s="31" t="inlineStr">
        <is>
          <t>K3</t>
        </is>
      </c>
      <c r="E215" s="31" t="n">
        <v>8</v>
      </c>
      <c r="F215" s="31" t="inlineStr">
        <is>
          <t>2026-08</t>
        </is>
      </c>
      <c r="G215" s="33" t="n">
        <v>46235</v>
      </c>
    </row>
    <row r="216">
      <c r="A216" s="33" t="n">
        <v>46237</v>
      </c>
      <c r="B216" s="31" t="n">
        <v>20260803</v>
      </c>
      <c r="C216" s="31" t="n">
        <v>2026</v>
      </c>
      <c r="D216" s="31" t="inlineStr">
        <is>
          <t>K3</t>
        </is>
      </c>
      <c r="E216" s="31" t="n">
        <v>8</v>
      </c>
      <c r="F216" s="31" t="inlineStr">
        <is>
          <t>2026-08</t>
        </is>
      </c>
      <c r="G216" s="33" t="n">
        <v>46235</v>
      </c>
    </row>
    <row r="217">
      <c r="A217" s="33" t="n">
        <v>46238</v>
      </c>
      <c r="B217" s="31" t="n">
        <v>20260804</v>
      </c>
      <c r="C217" s="31" t="n">
        <v>2026</v>
      </c>
      <c r="D217" s="31" t="inlineStr">
        <is>
          <t>K3</t>
        </is>
      </c>
      <c r="E217" s="31" t="n">
        <v>8</v>
      </c>
      <c r="F217" s="31" t="inlineStr">
        <is>
          <t>2026-08</t>
        </is>
      </c>
      <c r="G217" s="33" t="n">
        <v>46235</v>
      </c>
    </row>
    <row r="218">
      <c r="A218" s="33" t="n">
        <v>46239</v>
      </c>
      <c r="B218" s="31" t="n">
        <v>20260805</v>
      </c>
      <c r="C218" s="31" t="n">
        <v>2026</v>
      </c>
      <c r="D218" s="31" t="inlineStr">
        <is>
          <t>K3</t>
        </is>
      </c>
      <c r="E218" s="31" t="n">
        <v>8</v>
      </c>
      <c r="F218" s="31" t="inlineStr">
        <is>
          <t>2026-08</t>
        </is>
      </c>
      <c r="G218" s="33" t="n">
        <v>46235</v>
      </c>
    </row>
    <row r="219">
      <c r="A219" s="33" t="n">
        <v>46240</v>
      </c>
      <c r="B219" s="31" t="n">
        <v>20260806</v>
      </c>
      <c r="C219" s="31" t="n">
        <v>2026</v>
      </c>
      <c r="D219" s="31" t="inlineStr">
        <is>
          <t>K3</t>
        </is>
      </c>
      <c r="E219" s="31" t="n">
        <v>8</v>
      </c>
      <c r="F219" s="31" t="inlineStr">
        <is>
          <t>2026-08</t>
        </is>
      </c>
      <c r="G219" s="33" t="n">
        <v>46235</v>
      </c>
    </row>
    <row r="220">
      <c r="A220" s="33" t="n">
        <v>46241</v>
      </c>
      <c r="B220" s="31" t="n">
        <v>20260807</v>
      </c>
      <c r="C220" s="31" t="n">
        <v>2026</v>
      </c>
      <c r="D220" s="31" t="inlineStr">
        <is>
          <t>K3</t>
        </is>
      </c>
      <c r="E220" s="31" t="n">
        <v>8</v>
      </c>
      <c r="F220" s="31" t="inlineStr">
        <is>
          <t>2026-08</t>
        </is>
      </c>
      <c r="G220" s="33" t="n">
        <v>46235</v>
      </c>
    </row>
    <row r="221">
      <c r="A221" s="33" t="n">
        <v>46242</v>
      </c>
      <c r="B221" s="31" t="n">
        <v>20260808</v>
      </c>
      <c r="C221" s="31" t="n">
        <v>2026</v>
      </c>
      <c r="D221" s="31" t="inlineStr">
        <is>
          <t>K3</t>
        </is>
      </c>
      <c r="E221" s="31" t="n">
        <v>8</v>
      </c>
      <c r="F221" s="31" t="inlineStr">
        <is>
          <t>2026-08</t>
        </is>
      </c>
      <c r="G221" s="33" t="n">
        <v>46235</v>
      </c>
    </row>
    <row r="222">
      <c r="A222" s="33" t="n">
        <v>46243</v>
      </c>
      <c r="B222" s="31" t="n">
        <v>20260809</v>
      </c>
      <c r="C222" s="31" t="n">
        <v>2026</v>
      </c>
      <c r="D222" s="31" t="inlineStr">
        <is>
          <t>K3</t>
        </is>
      </c>
      <c r="E222" s="31" t="n">
        <v>8</v>
      </c>
      <c r="F222" s="31" t="inlineStr">
        <is>
          <t>2026-08</t>
        </is>
      </c>
      <c r="G222" s="33" t="n">
        <v>46235</v>
      </c>
    </row>
    <row r="223">
      <c r="A223" s="33" t="n">
        <v>46244</v>
      </c>
      <c r="B223" s="31" t="n">
        <v>20260810</v>
      </c>
      <c r="C223" s="31" t="n">
        <v>2026</v>
      </c>
      <c r="D223" s="31" t="inlineStr">
        <is>
          <t>K3</t>
        </is>
      </c>
      <c r="E223" s="31" t="n">
        <v>8</v>
      </c>
      <c r="F223" s="31" t="inlineStr">
        <is>
          <t>2026-08</t>
        </is>
      </c>
      <c r="G223" s="33" t="n">
        <v>46235</v>
      </c>
    </row>
    <row r="224">
      <c r="A224" s="33" t="n">
        <v>46245</v>
      </c>
      <c r="B224" s="31" t="n">
        <v>20260811</v>
      </c>
      <c r="C224" s="31" t="n">
        <v>2026</v>
      </c>
      <c r="D224" s="31" t="inlineStr">
        <is>
          <t>K3</t>
        </is>
      </c>
      <c r="E224" s="31" t="n">
        <v>8</v>
      </c>
      <c r="F224" s="31" t="inlineStr">
        <is>
          <t>2026-08</t>
        </is>
      </c>
      <c r="G224" s="33" t="n">
        <v>46235</v>
      </c>
    </row>
    <row r="225">
      <c r="A225" s="33" t="n">
        <v>46246</v>
      </c>
      <c r="B225" s="31" t="n">
        <v>20260812</v>
      </c>
      <c r="C225" s="31" t="n">
        <v>2026</v>
      </c>
      <c r="D225" s="31" t="inlineStr">
        <is>
          <t>K3</t>
        </is>
      </c>
      <c r="E225" s="31" t="n">
        <v>8</v>
      </c>
      <c r="F225" s="31" t="inlineStr">
        <is>
          <t>2026-08</t>
        </is>
      </c>
      <c r="G225" s="33" t="n">
        <v>46235</v>
      </c>
    </row>
    <row r="226">
      <c r="A226" s="33" t="n">
        <v>46247</v>
      </c>
      <c r="B226" s="31" t="n">
        <v>20260813</v>
      </c>
      <c r="C226" s="31" t="n">
        <v>2026</v>
      </c>
      <c r="D226" s="31" t="inlineStr">
        <is>
          <t>K3</t>
        </is>
      </c>
      <c r="E226" s="31" t="n">
        <v>8</v>
      </c>
      <c r="F226" s="31" t="inlineStr">
        <is>
          <t>2026-08</t>
        </is>
      </c>
      <c r="G226" s="33" t="n">
        <v>46235</v>
      </c>
    </row>
    <row r="227">
      <c r="A227" s="33" t="n">
        <v>46248</v>
      </c>
      <c r="B227" s="31" t="n">
        <v>20260814</v>
      </c>
      <c r="C227" s="31" t="n">
        <v>2026</v>
      </c>
      <c r="D227" s="31" t="inlineStr">
        <is>
          <t>K3</t>
        </is>
      </c>
      <c r="E227" s="31" t="n">
        <v>8</v>
      </c>
      <c r="F227" s="31" t="inlineStr">
        <is>
          <t>2026-08</t>
        </is>
      </c>
      <c r="G227" s="33" t="n">
        <v>46235</v>
      </c>
    </row>
    <row r="228">
      <c r="A228" s="33" t="n">
        <v>46249</v>
      </c>
      <c r="B228" s="31" t="n">
        <v>20260815</v>
      </c>
      <c r="C228" s="31" t="n">
        <v>2026</v>
      </c>
      <c r="D228" s="31" t="inlineStr">
        <is>
          <t>K3</t>
        </is>
      </c>
      <c r="E228" s="31" t="n">
        <v>8</v>
      </c>
      <c r="F228" s="31" t="inlineStr">
        <is>
          <t>2026-08</t>
        </is>
      </c>
      <c r="G228" s="33" t="n">
        <v>46235</v>
      </c>
    </row>
    <row r="229">
      <c r="A229" s="33" t="n">
        <v>46250</v>
      </c>
      <c r="B229" s="31" t="n">
        <v>20260816</v>
      </c>
      <c r="C229" s="31" t="n">
        <v>2026</v>
      </c>
      <c r="D229" s="31" t="inlineStr">
        <is>
          <t>K3</t>
        </is>
      </c>
      <c r="E229" s="31" t="n">
        <v>8</v>
      </c>
      <c r="F229" s="31" t="inlineStr">
        <is>
          <t>2026-08</t>
        </is>
      </c>
      <c r="G229" s="33" t="n">
        <v>46235</v>
      </c>
    </row>
    <row r="230">
      <c r="A230" s="33" t="n">
        <v>46251</v>
      </c>
      <c r="B230" s="31" t="n">
        <v>20260817</v>
      </c>
      <c r="C230" s="31" t="n">
        <v>2026</v>
      </c>
      <c r="D230" s="31" t="inlineStr">
        <is>
          <t>K3</t>
        </is>
      </c>
      <c r="E230" s="31" t="n">
        <v>8</v>
      </c>
      <c r="F230" s="31" t="inlineStr">
        <is>
          <t>2026-08</t>
        </is>
      </c>
      <c r="G230" s="33" t="n">
        <v>46235</v>
      </c>
    </row>
    <row r="231">
      <c r="A231" s="33" t="n">
        <v>46252</v>
      </c>
      <c r="B231" s="31" t="n">
        <v>20260818</v>
      </c>
      <c r="C231" s="31" t="n">
        <v>2026</v>
      </c>
      <c r="D231" s="31" t="inlineStr">
        <is>
          <t>K3</t>
        </is>
      </c>
      <c r="E231" s="31" t="n">
        <v>8</v>
      </c>
      <c r="F231" s="31" t="inlineStr">
        <is>
          <t>2026-08</t>
        </is>
      </c>
      <c r="G231" s="33" t="n">
        <v>46235</v>
      </c>
    </row>
    <row r="232">
      <c r="A232" s="33" t="n">
        <v>46253</v>
      </c>
      <c r="B232" s="31" t="n">
        <v>20260819</v>
      </c>
      <c r="C232" s="31" t="n">
        <v>2026</v>
      </c>
      <c r="D232" s="31" t="inlineStr">
        <is>
          <t>K3</t>
        </is>
      </c>
      <c r="E232" s="31" t="n">
        <v>8</v>
      </c>
      <c r="F232" s="31" t="inlineStr">
        <is>
          <t>2026-08</t>
        </is>
      </c>
      <c r="G232" s="33" t="n">
        <v>46235</v>
      </c>
    </row>
    <row r="233">
      <c r="A233" s="33" t="n">
        <v>46254</v>
      </c>
      <c r="B233" s="31" t="n">
        <v>20260820</v>
      </c>
      <c r="C233" s="31" t="n">
        <v>2026</v>
      </c>
      <c r="D233" s="31" t="inlineStr">
        <is>
          <t>K3</t>
        </is>
      </c>
      <c r="E233" s="31" t="n">
        <v>8</v>
      </c>
      <c r="F233" s="31" t="inlineStr">
        <is>
          <t>2026-08</t>
        </is>
      </c>
      <c r="G233" s="33" t="n">
        <v>46235</v>
      </c>
    </row>
    <row r="234">
      <c r="A234" s="33" t="n">
        <v>46255</v>
      </c>
      <c r="B234" s="31" t="n">
        <v>20260821</v>
      </c>
      <c r="C234" s="31" t="n">
        <v>2026</v>
      </c>
      <c r="D234" s="31" t="inlineStr">
        <is>
          <t>K3</t>
        </is>
      </c>
      <c r="E234" s="31" t="n">
        <v>8</v>
      </c>
      <c r="F234" s="31" t="inlineStr">
        <is>
          <t>2026-08</t>
        </is>
      </c>
      <c r="G234" s="33" t="n">
        <v>46235</v>
      </c>
    </row>
    <row r="235">
      <c r="A235" s="33" t="n">
        <v>46256</v>
      </c>
      <c r="B235" s="31" t="n">
        <v>20260822</v>
      </c>
      <c r="C235" s="31" t="n">
        <v>2026</v>
      </c>
      <c r="D235" s="31" t="inlineStr">
        <is>
          <t>K3</t>
        </is>
      </c>
      <c r="E235" s="31" t="n">
        <v>8</v>
      </c>
      <c r="F235" s="31" t="inlineStr">
        <is>
          <t>2026-08</t>
        </is>
      </c>
      <c r="G235" s="33" t="n">
        <v>46235</v>
      </c>
    </row>
    <row r="236">
      <c r="A236" s="33" t="n">
        <v>46257</v>
      </c>
      <c r="B236" s="31" t="n">
        <v>20260823</v>
      </c>
      <c r="C236" s="31" t="n">
        <v>2026</v>
      </c>
      <c r="D236" s="31" t="inlineStr">
        <is>
          <t>K3</t>
        </is>
      </c>
      <c r="E236" s="31" t="n">
        <v>8</v>
      </c>
      <c r="F236" s="31" t="inlineStr">
        <is>
          <t>2026-08</t>
        </is>
      </c>
      <c r="G236" s="33" t="n">
        <v>46235</v>
      </c>
    </row>
    <row r="237">
      <c r="A237" s="33" t="n">
        <v>46258</v>
      </c>
      <c r="B237" s="31" t="n">
        <v>20260824</v>
      </c>
      <c r="C237" s="31" t="n">
        <v>2026</v>
      </c>
      <c r="D237" s="31" t="inlineStr">
        <is>
          <t>K3</t>
        </is>
      </c>
      <c r="E237" s="31" t="n">
        <v>8</v>
      </c>
      <c r="F237" s="31" t="inlineStr">
        <is>
          <t>2026-08</t>
        </is>
      </c>
      <c r="G237" s="33" t="n">
        <v>46235</v>
      </c>
    </row>
    <row r="238">
      <c r="A238" s="33" t="n">
        <v>46259</v>
      </c>
      <c r="B238" s="31" t="n">
        <v>20260825</v>
      </c>
      <c r="C238" s="31" t="n">
        <v>2026</v>
      </c>
      <c r="D238" s="31" t="inlineStr">
        <is>
          <t>K3</t>
        </is>
      </c>
      <c r="E238" s="31" t="n">
        <v>8</v>
      </c>
      <c r="F238" s="31" t="inlineStr">
        <is>
          <t>2026-08</t>
        </is>
      </c>
      <c r="G238" s="33" t="n">
        <v>46235</v>
      </c>
    </row>
    <row r="239">
      <c r="A239" s="33" t="n">
        <v>46260</v>
      </c>
      <c r="B239" s="31" t="n">
        <v>20260826</v>
      </c>
      <c r="C239" s="31" t="n">
        <v>2026</v>
      </c>
      <c r="D239" s="31" t="inlineStr">
        <is>
          <t>K3</t>
        </is>
      </c>
      <c r="E239" s="31" t="n">
        <v>8</v>
      </c>
      <c r="F239" s="31" t="inlineStr">
        <is>
          <t>2026-08</t>
        </is>
      </c>
      <c r="G239" s="33" t="n">
        <v>46235</v>
      </c>
    </row>
    <row r="240">
      <c r="A240" s="33" t="n">
        <v>46261</v>
      </c>
      <c r="B240" s="31" t="n">
        <v>20260827</v>
      </c>
      <c r="C240" s="31" t="n">
        <v>2026</v>
      </c>
      <c r="D240" s="31" t="inlineStr">
        <is>
          <t>K3</t>
        </is>
      </c>
      <c r="E240" s="31" t="n">
        <v>8</v>
      </c>
      <c r="F240" s="31" t="inlineStr">
        <is>
          <t>2026-08</t>
        </is>
      </c>
      <c r="G240" s="33" t="n">
        <v>46235</v>
      </c>
    </row>
    <row r="241">
      <c r="A241" s="33" t="n">
        <v>46262</v>
      </c>
      <c r="B241" s="31" t="n">
        <v>20260828</v>
      </c>
      <c r="C241" s="31" t="n">
        <v>2026</v>
      </c>
      <c r="D241" s="31" t="inlineStr">
        <is>
          <t>K3</t>
        </is>
      </c>
      <c r="E241" s="31" t="n">
        <v>8</v>
      </c>
      <c r="F241" s="31" t="inlineStr">
        <is>
          <t>2026-08</t>
        </is>
      </c>
      <c r="G241" s="33" t="n">
        <v>46235</v>
      </c>
    </row>
    <row r="242">
      <c r="A242" s="33" t="n">
        <v>46263</v>
      </c>
      <c r="B242" s="31" t="n">
        <v>20260829</v>
      </c>
      <c r="C242" s="31" t="n">
        <v>2026</v>
      </c>
      <c r="D242" s="31" t="inlineStr">
        <is>
          <t>K3</t>
        </is>
      </c>
      <c r="E242" s="31" t="n">
        <v>8</v>
      </c>
      <c r="F242" s="31" t="inlineStr">
        <is>
          <t>2026-08</t>
        </is>
      </c>
      <c r="G242" s="33" t="n">
        <v>46235</v>
      </c>
    </row>
    <row r="243">
      <c r="A243" s="33" t="n">
        <v>46264</v>
      </c>
      <c r="B243" s="31" t="n">
        <v>20260830</v>
      </c>
      <c r="C243" s="31" t="n">
        <v>2026</v>
      </c>
      <c r="D243" s="31" t="inlineStr">
        <is>
          <t>K3</t>
        </is>
      </c>
      <c r="E243" s="31" t="n">
        <v>8</v>
      </c>
      <c r="F243" s="31" t="inlineStr">
        <is>
          <t>2026-08</t>
        </is>
      </c>
      <c r="G243" s="33" t="n">
        <v>46235</v>
      </c>
    </row>
    <row r="244">
      <c r="A244" s="33" t="n">
        <v>46265</v>
      </c>
      <c r="B244" s="31" t="n">
        <v>20260831</v>
      </c>
      <c r="C244" s="31" t="n">
        <v>2026</v>
      </c>
      <c r="D244" s="31" t="inlineStr">
        <is>
          <t>K3</t>
        </is>
      </c>
      <c r="E244" s="31" t="n">
        <v>8</v>
      </c>
      <c r="F244" s="31" t="inlineStr">
        <is>
          <t>2026-08</t>
        </is>
      </c>
      <c r="G244" s="33" t="n">
        <v>46235</v>
      </c>
    </row>
    <row r="245">
      <c r="A245" s="33" t="n">
        <v>46266</v>
      </c>
      <c r="B245" s="31" t="n">
        <v>20260901</v>
      </c>
      <c r="C245" s="31" t="n">
        <v>2026</v>
      </c>
      <c r="D245" s="31" t="inlineStr">
        <is>
          <t>K3</t>
        </is>
      </c>
      <c r="E245" s="31" t="n">
        <v>9</v>
      </c>
      <c r="F245" s="31" t="inlineStr">
        <is>
          <t>2026-09</t>
        </is>
      </c>
      <c r="G245" s="33" t="n">
        <v>46266</v>
      </c>
    </row>
    <row r="246">
      <c r="A246" s="33" t="n">
        <v>46267</v>
      </c>
      <c r="B246" s="31" t="n">
        <v>20260902</v>
      </c>
      <c r="C246" s="31" t="n">
        <v>2026</v>
      </c>
      <c r="D246" s="31" t="inlineStr">
        <is>
          <t>K3</t>
        </is>
      </c>
      <c r="E246" s="31" t="n">
        <v>9</v>
      </c>
      <c r="F246" s="31" t="inlineStr">
        <is>
          <t>2026-09</t>
        </is>
      </c>
      <c r="G246" s="33" t="n">
        <v>46266</v>
      </c>
    </row>
    <row r="247">
      <c r="A247" s="33" t="n">
        <v>46268</v>
      </c>
      <c r="B247" s="31" t="n">
        <v>20260903</v>
      </c>
      <c r="C247" s="31" t="n">
        <v>2026</v>
      </c>
      <c r="D247" s="31" t="inlineStr">
        <is>
          <t>K3</t>
        </is>
      </c>
      <c r="E247" s="31" t="n">
        <v>9</v>
      </c>
      <c r="F247" s="31" t="inlineStr">
        <is>
          <t>2026-09</t>
        </is>
      </c>
      <c r="G247" s="33" t="n">
        <v>46266</v>
      </c>
    </row>
    <row r="248">
      <c r="A248" s="33" t="n">
        <v>46269</v>
      </c>
      <c r="B248" s="31" t="n">
        <v>20260904</v>
      </c>
      <c r="C248" s="31" t="n">
        <v>2026</v>
      </c>
      <c r="D248" s="31" t="inlineStr">
        <is>
          <t>K3</t>
        </is>
      </c>
      <c r="E248" s="31" t="n">
        <v>9</v>
      </c>
      <c r="F248" s="31" t="inlineStr">
        <is>
          <t>2026-09</t>
        </is>
      </c>
      <c r="G248" s="33" t="n">
        <v>46266</v>
      </c>
    </row>
    <row r="249">
      <c r="A249" s="33" t="n">
        <v>46270</v>
      </c>
      <c r="B249" s="31" t="n">
        <v>20260905</v>
      </c>
      <c r="C249" s="31" t="n">
        <v>2026</v>
      </c>
      <c r="D249" s="31" t="inlineStr">
        <is>
          <t>K3</t>
        </is>
      </c>
      <c r="E249" s="31" t="n">
        <v>9</v>
      </c>
      <c r="F249" s="31" t="inlineStr">
        <is>
          <t>2026-09</t>
        </is>
      </c>
      <c r="G249" s="33" t="n">
        <v>46266</v>
      </c>
    </row>
    <row r="250">
      <c r="A250" s="33" t="n">
        <v>46271</v>
      </c>
      <c r="B250" s="31" t="n">
        <v>20260906</v>
      </c>
      <c r="C250" s="31" t="n">
        <v>2026</v>
      </c>
      <c r="D250" s="31" t="inlineStr">
        <is>
          <t>K3</t>
        </is>
      </c>
      <c r="E250" s="31" t="n">
        <v>9</v>
      </c>
      <c r="F250" s="31" t="inlineStr">
        <is>
          <t>2026-09</t>
        </is>
      </c>
      <c r="G250" s="33" t="n">
        <v>46266</v>
      </c>
    </row>
    <row r="251">
      <c r="A251" s="33" t="n">
        <v>46272</v>
      </c>
      <c r="B251" s="31" t="n">
        <v>20260907</v>
      </c>
      <c r="C251" s="31" t="n">
        <v>2026</v>
      </c>
      <c r="D251" s="31" t="inlineStr">
        <is>
          <t>K3</t>
        </is>
      </c>
      <c r="E251" s="31" t="n">
        <v>9</v>
      </c>
      <c r="F251" s="31" t="inlineStr">
        <is>
          <t>2026-09</t>
        </is>
      </c>
      <c r="G251" s="33" t="n">
        <v>46266</v>
      </c>
    </row>
    <row r="252">
      <c r="A252" s="33" t="n">
        <v>46273</v>
      </c>
      <c r="B252" s="31" t="n">
        <v>20260908</v>
      </c>
      <c r="C252" s="31" t="n">
        <v>2026</v>
      </c>
      <c r="D252" s="31" t="inlineStr">
        <is>
          <t>K3</t>
        </is>
      </c>
      <c r="E252" s="31" t="n">
        <v>9</v>
      </c>
      <c r="F252" s="31" t="inlineStr">
        <is>
          <t>2026-09</t>
        </is>
      </c>
      <c r="G252" s="33" t="n">
        <v>46266</v>
      </c>
    </row>
    <row r="253">
      <c r="A253" s="33" t="n">
        <v>46274</v>
      </c>
      <c r="B253" s="31" t="n">
        <v>20260909</v>
      </c>
      <c r="C253" s="31" t="n">
        <v>2026</v>
      </c>
      <c r="D253" s="31" t="inlineStr">
        <is>
          <t>K3</t>
        </is>
      </c>
      <c r="E253" s="31" t="n">
        <v>9</v>
      </c>
      <c r="F253" s="31" t="inlineStr">
        <is>
          <t>2026-09</t>
        </is>
      </c>
      <c r="G253" s="33" t="n">
        <v>46266</v>
      </c>
    </row>
    <row r="254">
      <c r="A254" s="33" t="n">
        <v>46275</v>
      </c>
      <c r="B254" s="31" t="n">
        <v>20260910</v>
      </c>
      <c r="C254" s="31" t="n">
        <v>2026</v>
      </c>
      <c r="D254" s="31" t="inlineStr">
        <is>
          <t>K3</t>
        </is>
      </c>
      <c r="E254" s="31" t="n">
        <v>9</v>
      </c>
      <c r="F254" s="31" t="inlineStr">
        <is>
          <t>2026-09</t>
        </is>
      </c>
      <c r="G254" s="33" t="n">
        <v>46266</v>
      </c>
    </row>
    <row r="255">
      <c r="A255" s="33" t="n">
        <v>46276</v>
      </c>
      <c r="B255" s="31" t="n">
        <v>20260911</v>
      </c>
      <c r="C255" s="31" t="n">
        <v>2026</v>
      </c>
      <c r="D255" s="31" t="inlineStr">
        <is>
          <t>K3</t>
        </is>
      </c>
      <c r="E255" s="31" t="n">
        <v>9</v>
      </c>
      <c r="F255" s="31" t="inlineStr">
        <is>
          <t>2026-09</t>
        </is>
      </c>
      <c r="G255" s="33" t="n">
        <v>46266</v>
      </c>
    </row>
    <row r="256">
      <c r="A256" s="33" t="n">
        <v>46277</v>
      </c>
      <c r="B256" s="31" t="n">
        <v>20260912</v>
      </c>
      <c r="C256" s="31" t="n">
        <v>2026</v>
      </c>
      <c r="D256" s="31" t="inlineStr">
        <is>
          <t>K3</t>
        </is>
      </c>
      <c r="E256" s="31" t="n">
        <v>9</v>
      </c>
      <c r="F256" s="31" t="inlineStr">
        <is>
          <t>2026-09</t>
        </is>
      </c>
      <c r="G256" s="33" t="n">
        <v>46266</v>
      </c>
    </row>
    <row r="257">
      <c r="A257" s="33" t="n">
        <v>46278</v>
      </c>
      <c r="B257" s="31" t="n">
        <v>20260913</v>
      </c>
      <c r="C257" s="31" t="n">
        <v>2026</v>
      </c>
      <c r="D257" s="31" t="inlineStr">
        <is>
          <t>K3</t>
        </is>
      </c>
      <c r="E257" s="31" t="n">
        <v>9</v>
      </c>
      <c r="F257" s="31" t="inlineStr">
        <is>
          <t>2026-09</t>
        </is>
      </c>
      <c r="G257" s="33" t="n">
        <v>46266</v>
      </c>
    </row>
    <row r="258">
      <c r="A258" s="33" t="n">
        <v>46279</v>
      </c>
      <c r="B258" s="31" t="n">
        <v>20260914</v>
      </c>
      <c r="C258" s="31" t="n">
        <v>2026</v>
      </c>
      <c r="D258" s="31" t="inlineStr">
        <is>
          <t>K3</t>
        </is>
      </c>
      <c r="E258" s="31" t="n">
        <v>9</v>
      </c>
      <c r="F258" s="31" t="inlineStr">
        <is>
          <t>2026-09</t>
        </is>
      </c>
      <c r="G258" s="33" t="n">
        <v>46266</v>
      </c>
    </row>
    <row r="259">
      <c r="A259" s="33" t="n">
        <v>46280</v>
      </c>
      <c r="B259" s="31" t="n">
        <v>20260915</v>
      </c>
      <c r="C259" s="31" t="n">
        <v>2026</v>
      </c>
      <c r="D259" s="31" t="inlineStr">
        <is>
          <t>K3</t>
        </is>
      </c>
      <c r="E259" s="31" t="n">
        <v>9</v>
      </c>
      <c r="F259" s="31" t="inlineStr">
        <is>
          <t>2026-09</t>
        </is>
      </c>
      <c r="G259" s="33" t="n">
        <v>46266</v>
      </c>
    </row>
    <row r="260">
      <c r="A260" s="33" t="n">
        <v>46281</v>
      </c>
      <c r="B260" s="31" t="n">
        <v>20260916</v>
      </c>
      <c r="C260" s="31" t="n">
        <v>2026</v>
      </c>
      <c r="D260" s="31" t="inlineStr">
        <is>
          <t>K3</t>
        </is>
      </c>
      <c r="E260" s="31" t="n">
        <v>9</v>
      </c>
      <c r="F260" s="31" t="inlineStr">
        <is>
          <t>2026-09</t>
        </is>
      </c>
      <c r="G260" s="33" t="n">
        <v>46266</v>
      </c>
    </row>
    <row r="261">
      <c r="A261" s="33" t="n">
        <v>46282</v>
      </c>
      <c r="B261" s="31" t="n">
        <v>20260917</v>
      </c>
      <c r="C261" s="31" t="n">
        <v>2026</v>
      </c>
      <c r="D261" s="31" t="inlineStr">
        <is>
          <t>K3</t>
        </is>
      </c>
      <c r="E261" s="31" t="n">
        <v>9</v>
      </c>
      <c r="F261" s="31" t="inlineStr">
        <is>
          <t>2026-09</t>
        </is>
      </c>
      <c r="G261" s="33" t="n">
        <v>46266</v>
      </c>
    </row>
    <row r="262">
      <c r="A262" s="33" t="n">
        <v>46283</v>
      </c>
      <c r="B262" s="31" t="n">
        <v>20260918</v>
      </c>
      <c r="C262" s="31" t="n">
        <v>2026</v>
      </c>
      <c r="D262" s="31" t="inlineStr">
        <is>
          <t>K3</t>
        </is>
      </c>
      <c r="E262" s="31" t="n">
        <v>9</v>
      </c>
      <c r="F262" s="31" t="inlineStr">
        <is>
          <t>2026-09</t>
        </is>
      </c>
      <c r="G262" s="33" t="n">
        <v>46266</v>
      </c>
    </row>
    <row r="263">
      <c r="A263" s="33" t="n">
        <v>46284</v>
      </c>
      <c r="B263" s="31" t="n">
        <v>20260919</v>
      </c>
      <c r="C263" s="31" t="n">
        <v>2026</v>
      </c>
      <c r="D263" s="31" t="inlineStr">
        <is>
          <t>K3</t>
        </is>
      </c>
      <c r="E263" s="31" t="n">
        <v>9</v>
      </c>
      <c r="F263" s="31" t="inlineStr">
        <is>
          <t>2026-09</t>
        </is>
      </c>
      <c r="G263" s="33" t="n">
        <v>46266</v>
      </c>
    </row>
    <row r="264">
      <c r="A264" s="33" t="n">
        <v>46285</v>
      </c>
      <c r="B264" s="31" t="n">
        <v>20260920</v>
      </c>
      <c r="C264" s="31" t="n">
        <v>2026</v>
      </c>
      <c r="D264" s="31" t="inlineStr">
        <is>
          <t>K3</t>
        </is>
      </c>
      <c r="E264" s="31" t="n">
        <v>9</v>
      </c>
      <c r="F264" s="31" t="inlineStr">
        <is>
          <t>2026-09</t>
        </is>
      </c>
      <c r="G264" s="33" t="n">
        <v>46266</v>
      </c>
    </row>
    <row r="265">
      <c r="A265" s="33" t="n">
        <v>46286</v>
      </c>
      <c r="B265" s="31" t="n">
        <v>20260921</v>
      </c>
      <c r="C265" s="31" t="n">
        <v>2026</v>
      </c>
      <c r="D265" s="31" t="inlineStr">
        <is>
          <t>K3</t>
        </is>
      </c>
      <c r="E265" s="31" t="n">
        <v>9</v>
      </c>
      <c r="F265" s="31" t="inlineStr">
        <is>
          <t>2026-09</t>
        </is>
      </c>
      <c r="G265" s="33" t="n">
        <v>46266</v>
      </c>
    </row>
    <row r="266">
      <c r="A266" s="33" t="n">
        <v>46287</v>
      </c>
      <c r="B266" s="31" t="n">
        <v>20260922</v>
      </c>
      <c r="C266" s="31" t="n">
        <v>2026</v>
      </c>
      <c r="D266" s="31" t="inlineStr">
        <is>
          <t>K3</t>
        </is>
      </c>
      <c r="E266" s="31" t="n">
        <v>9</v>
      </c>
      <c r="F266" s="31" t="inlineStr">
        <is>
          <t>2026-09</t>
        </is>
      </c>
      <c r="G266" s="33" t="n">
        <v>46266</v>
      </c>
    </row>
    <row r="267">
      <c r="A267" s="33" t="n">
        <v>46288</v>
      </c>
      <c r="B267" s="31" t="n">
        <v>20260923</v>
      </c>
      <c r="C267" s="31" t="n">
        <v>2026</v>
      </c>
      <c r="D267" s="31" t="inlineStr">
        <is>
          <t>K3</t>
        </is>
      </c>
      <c r="E267" s="31" t="n">
        <v>9</v>
      </c>
      <c r="F267" s="31" t="inlineStr">
        <is>
          <t>2026-09</t>
        </is>
      </c>
      <c r="G267" s="33" t="n">
        <v>46266</v>
      </c>
    </row>
    <row r="268">
      <c r="A268" s="33" t="n">
        <v>46289</v>
      </c>
      <c r="B268" s="31" t="n">
        <v>20260924</v>
      </c>
      <c r="C268" s="31" t="n">
        <v>2026</v>
      </c>
      <c r="D268" s="31" t="inlineStr">
        <is>
          <t>K3</t>
        </is>
      </c>
      <c r="E268" s="31" t="n">
        <v>9</v>
      </c>
      <c r="F268" s="31" t="inlineStr">
        <is>
          <t>2026-09</t>
        </is>
      </c>
      <c r="G268" s="33" t="n">
        <v>46266</v>
      </c>
    </row>
    <row r="269">
      <c r="A269" s="33" t="n">
        <v>46290</v>
      </c>
      <c r="B269" s="31" t="n">
        <v>20260925</v>
      </c>
      <c r="C269" s="31" t="n">
        <v>2026</v>
      </c>
      <c r="D269" s="31" t="inlineStr">
        <is>
          <t>K3</t>
        </is>
      </c>
      <c r="E269" s="31" t="n">
        <v>9</v>
      </c>
      <c r="F269" s="31" t="inlineStr">
        <is>
          <t>2026-09</t>
        </is>
      </c>
      <c r="G269" s="33" t="n">
        <v>46266</v>
      </c>
    </row>
    <row r="270">
      <c r="A270" s="33" t="n">
        <v>46291</v>
      </c>
      <c r="B270" s="31" t="n">
        <v>20260926</v>
      </c>
      <c r="C270" s="31" t="n">
        <v>2026</v>
      </c>
      <c r="D270" s="31" t="inlineStr">
        <is>
          <t>K3</t>
        </is>
      </c>
      <c r="E270" s="31" t="n">
        <v>9</v>
      </c>
      <c r="F270" s="31" t="inlineStr">
        <is>
          <t>2026-09</t>
        </is>
      </c>
      <c r="G270" s="33" t="n">
        <v>46266</v>
      </c>
    </row>
    <row r="271">
      <c r="A271" s="33" t="n">
        <v>46292</v>
      </c>
      <c r="B271" s="31" t="n">
        <v>20260927</v>
      </c>
      <c r="C271" s="31" t="n">
        <v>2026</v>
      </c>
      <c r="D271" s="31" t="inlineStr">
        <is>
          <t>K3</t>
        </is>
      </c>
      <c r="E271" s="31" t="n">
        <v>9</v>
      </c>
      <c r="F271" s="31" t="inlineStr">
        <is>
          <t>2026-09</t>
        </is>
      </c>
      <c r="G271" s="33" t="n">
        <v>46266</v>
      </c>
    </row>
    <row r="272">
      <c r="A272" s="33" t="n">
        <v>46293</v>
      </c>
      <c r="B272" s="31" t="n">
        <v>20260928</v>
      </c>
      <c r="C272" s="31" t="n">
        <v>2026</v>
      </c>
      <c r="D272" s="31" t="inlineStr">
        <is>
          <t>K3</t>
        </is>
      </c>
      <c r="E272" s="31" t="n">
        <v>9</v>
      </c>
      <c r="F272" s="31" t="inlineStr">
        <is>
          <t>2026-09</t>
        </is>
      </c>
      <c r="G272" s="33" t="n">
        <v>46266</v>
      </c>
    </row>
    <row r="273">
      <c r="A273" s="33" t="n">
        <v>46294</v>
      </c>
      <c r="B273" s="31" t="n">
        <v>20260929</v>
      </c>
      <c r="C273" s="31" t="n">
        <v>2026</v>
      </c>
      <c r="D273" s="31" t="inlineStr">
        <is>
          <t>K3</t>
        </is>
      </c>
      <c r="E273" s="31" t="n">
        <v>9</v>
      </c>
      <c r="F273" s="31" t="inlineStr">
        <is>
          <t>2026-09</t>
        </is>
      </c>
      <c r="G273" s="33" t="n">
        <v>46266</v>
      </c>
    </row>
    <row r="274">
      <c r="A274" s="33" t="n">
        <v>46295</v>
      </c>
      <c r="B274" s="31" t="n">
        <v>20260930</v>
      </c>
      <c r="C274" s="31" t="n">
        <v>2026</v>
      </c>
      <c r="D274" s="31" t="inlineStr">
        <is>
          <t>K3</t>
        </is>
      </c>
      <c r="E274" s="31" t="n">
        <v>9</v>
      </c>
      <c r="F274" s="31" t="inlineStr">
        <is>
          <t>2026-09</t>
        </is>
      </c>
      <c r="G274" s="33" t="n">
        <v>46266</v>
      </c>
    </row>
    <row r="275">
      <c r="A275" s="33" t="n">
        <v>46296</v>
      </c>
      <c r="B275" s="31" t="n">
        <v>20261001</v>
      </c>
      <c r="C275" s="31" t="n">
        <v>2026</v>
      </c>
      <c r="D275" s="31" t="inlineStr">
        <is>
          <t>K4</t>
        </is>
      </c>
      <c r="E275" s="31" t="n">
        <v>10</v>
      </c>
      <c r="F275" s="31" t="inlineStr">
        <is>
          <t>2026-10</t>
        </is>
      </c>
      <c r="G275" s="33" t="n">
        <v>46296</v>
      </c>
    </row>
    <row r="276">
      <c r="A276" s="33" t="n">
        <v>46297</v>
      </c>
      <c r="B276" s="31" t="n">
        <v>20261002</v>
      </c>
      <c r="C276" s="31" t="n">
        <v>2026</v>
      </c>
      <c r="D276" s="31" t="inlineStr">
        <is>
          <t>K4</t>
        </is>
      </c>
      <c r="E276" s="31" t="n">
        <v>10</v>
      </c>
      <c r="F276" s="31" t="inlineStr">
        <is>
          <t>2026-10</t>
        </is>
      </c>
      <c r="G276" s="33" t="n">
        <v>46296</v>
      </c>
    </row>
    <row r="277">
      <c r="A277" s="33" t="n">
        <v>46298</v>
      </c>
      <c r="B277" s="31" t="n">
        <v>20261003</v>
      </c>
      <c r="C277" s="31" t="n">
        <v>2026</v>
      </c>
      <c r="D277" s="31" t="inlineStr">
        <is>
          <t>K4</t>
        </is>
      </c>
      <c r="E277" s="31" t="n">
        <v>10</v>
      </c>
      <c r="F277" s="31" t="inlineStr">
        <is>
          <t>2026-10</t>
        </is>
      </c>
      <c r="G277" s="33" t="n">
        <v>46296</v>
      </c>
    </row>
    <row r="278">
      <c r="A278" s="33" t="n">
        <v>46299</v>
      </c>
      <c r="B278" s="31" t="n">
        <v>20261004</v>
      </c>
      <c r="C278" s="31" t="n">
        <v>2026</v>
      </c>
      <c r="D278" s="31" t="inlineStr">
        <is>
          <t>K4</t>
        </is>
      </c>
      <c r="E278" s="31" t="n">
        <v>10</v>
      </c>
      <c r="F278" s="31" t="inlineStr">
        <is>
          <t>2026-10</t>
        </is>
      </c>
      <c r="G278" s="33" t="n">
        <v>46296</v>
      </c>
    </row>
    <row r="279">
      <c r="A279" s="33" t="n">
        <v>46300</v>
      </c>
      <c r="B279" s="31" t="n">
        <v>20261005</v>
      </c>
      <c r="C279" s="31" t="n">
        <v>2026</v>
      </c>
      <c r="D279" s="31" t="inlineStr">
        <is>
          <t>K4</t>
        </is>
      </c>
      <c r="E279" s="31" t="n">
        <v>10</v>
      </c>
      <c r="F279" s="31" t="inlineStr">
        <is>
          <t>2026-10</t>
        </is>
      </c>
      <c r="G279" s="33" t="n">
        <v>46296</v>
      </c>
    </row>
    <row r="280">
      <c r="A280" s="33" t="n">
        <v>46301</v>
      </c>
      <c r="B280" s="31" t="n">
        <v>20261006</v>
      </c>
      <c r="C280" s="31" t="n">
        <v>2026</v>
      </c>
      <c r="D280" s="31" t="inlineStr">
        <is>
          <t>K4</t>
        </is>
      </c>
      <c r="E280" s="31" t="n">
        <v>10</v>
      </c>
      <c r="F280" s="31" t="inlineStr">
        <is>
          <t>2026-10</t>
        </is>
      </c>
      <c r="G280" s="33" t="n">
        <v>46296</v>
      </c>
    </row>
    <row r="281">
      <c r="A281" s="33" t="n">
        <v>46302</v>
      </c>
      <c r="B281" s="31" t="n">
        <v>20261007</v>
      </c>
      <c r="C281" s="31" t="n">
        <v>2026</v>
      </c>
      <c r="D281" s="31" t="inlineStr">
        <is>
          <t>K4</t>
        </is>
      </c>
      <c r="E281" s="31" t="n">
        <v>10</v>
      </c>
      <c r="F281" s="31" t="inlineStr">
        <is>
          <t>2026-10</t>
        </is>
      </c>
      <c r="G281" s="33" t="n">
        <v>46296</v>
      </c>
    </row>
    <row r="282">
      <c r="A282" s="33" t="n">
        <v>46303</v>
      </c>
      <c r="B282" s="31" t="n">
        <v>20261008</v>
      </c>
      <c r="C282" s="31" t="n">
        <v>2026</v>
      </c>
      <c r="D282" s="31" t="inlineStr">
        <is>
          <t>K4</t>
        </is>
      </c>
      <c r="E282" s="31" t="n">
        <v>10</v>
      </c>
      <c r="F282" s="31" t="inlineStr">
        <is>
          <t>2026-10</t>
        </is>
      </c>
      <c r="G282" s="33" t="n">
        <v>46296</v>
      </c>
    </row>
    <row r="283">
      <c r="A283" s="33" t="n">
        <v>46304</v>
      </c>
      <c r="B283" s="31" t="n">
        <v>20261009</v>
      </c>
      <c r="C283" s="31" t="n">
        <v>2026</v>
      </c>
      <c r="D283" s="31" t="inlineStr">
        <is>
          <t>K4</t>
        </is>
      </c>
      <c r="E283" s="31" t="n">
        <v>10</v>
      </c>
      <c r="F283" s="31" t="inlineStr">
        <is>
          <t>2026-10</t>
        </is>
      </c>
      <c r="G283" s="33" t="n">
        <v>46296</v>
      </c>
    </row>
    <row r="284">
      <c r="A284" s="33" t="n">
        <v>46305</v>
      </c>
      <c r="B284" s="31" t="n">
        <v>20261010</v>
      </c>
      <c r="C284" s="31" t="n">
        <v>2026</v>
      </c>
      <c r="D284" s="31" t="inlineStr">
        <is>
          <t>K4</t>
        </is>
      </c>
      <c r="E284" s="31" t="n">
        <v>10</v>
      </c>
      <c r="F284" s="31" t="inlineStr">
        <is>
          <t>2026-10</t>
        </is>
      </c>
      <c r="G284" s="33" t="n">
        <v>46296</v>
      </c>
    </row>
    <row r="285">
      <c r="A285" s="33" t="n">
        <v>46306</v>
      </c>
      <c r="B285" s="31" t="n">
        <v>20261011</v>
      </c>
      <c r="C285" s="31" t="n">
        <v>2026</v>
      </c>
      <c r="D285" s="31" t="inlineStr">
        <is>
          <t>K4</t>
        </is>
      </c>
      <c r="E285" s="31" t="n">
        <v>10</v>
      </c>
      <c r="F285" s="31" t="inlineStr">
        <is>
          <t>2026-10</t>
        </is>
      </c>
      <c r="G285" s="33" t="n">
        <v>46296</v>
      </c>
    </row>
    <row r="286">
      <c r="A286" s="33" t="n">
        <v>46307</v>
      </c>
      <c r="B286" s="31" t="n">
        <v>20261012</v>
      </c>
      <c r="C286" s="31" t="n">
        <v>2026</v>
      </c>
      <c r="D286" s="31" t="inlineStr">
        <is>
          <t>K4</t>
        </is>
      </c>
      <c r="E286" s="31" t="n">
        <v>10</v>
      </c>
      <c r="F286" s="31" t="inlineStr">
        <is>
          <t>2026-10</t>
        </is>
      </c>
      <c r="G286" s="33" t="n">
        <v>46296</v>
      </c>
    </row>
    <row r="287">
      <c r="A287" s="33" t="n">
        <v>46308</v>
      </c>
      <c r="B287" s="31" t="n">
        <v>20261013</v>
      </c>
      <c r="C287" s="31" t="n">
        <v>2026</v>
      </c>
      <c r="D287" s="31" t="inlineStr">
        <is>
          <t>K4</t>
        </is>
      </c>
      <c r="E287" s="31" t="n">
        <v>10</v>
      </c>
      <c r="F287" s="31" t="inlineStr">
        <is>
          <t>2026-10</t>
        </is>
      </c>
      <c r="G287" s="33" t="n">
        <v>46296</v>
      </c>
    </row>
    <row r="288">
      <c r="A288" s="33" t="n">
        <v>46309</v>
      </c>
      <c r="B288" s="31" t="n">
        <v>20261014</v>
      </c>
      <c r="C288" s="31" t="n">
        <v>2026</v>
      </c>
      <c r="D288" s="31" t="inlineStr">
        <is>
          <t>K4</t>
        </is>
      </c>
      <c r="E288" s="31" t="n">
        <v>10</v>
      </c>
      <c r="F288" s="31" t="inlineStr">
        <is>
          <t>2026-10</t>
        </is>
      </c>
      <c r="G288" s="33" t="n">
        <v>46296</v>
      </c>
    </row>
    <row r="289">
      <c r="A289" s="33" t="n">
        <v>46310</v>
      </c>
      <c r="B289" s="31" t="n">
        <v>20261015</v>
      </c>
      <c r="C289" s="31" t="n">
        <v>2026</v>
      </c>
      <c r="D289" s="31" t="inlineStr">
        <is>
          <t>K4</t>
        </is>
      </c>
      <c r="E289" s="31" t="n">
        <v>10</v>
      </c>
      <c r="F289" s="31" t="inlineStr">
        <is>
          <t>2026-10</t>
        </is>
      </c>
      <c r="G289" s="33" t="n">
        <v>46296</v>
      </c>
    </row>
    <row r="290">
      <c r="A290" s="33" t="n">
        <v>46311</v>
      </c>
      <c r="B290" s="31" t="n">
        <v>20261016</v>
      </c>
      <c r="C290" s="31" t="n">
        <v>2026</v>
      </c>
      <c r="D290" s="31" t="inlineStr">
        <is>
          <t>K4</t>
        </is>
      </c>
      <c r="E290" s="31" t="n">
        <v>10</v>
      </c>
      <c r="F290" s="31" t="inlineStr">
        <is>
          <t>2026-10</t>
        </is>
      </c>
      <c r="G290" s="33" t="n">
        <v>46296</v>
      </c>
    </row>
    <row r="291">
      <c r="A291" s="33" t="n">
        <v>46312</v>
      </c>
      <c r="B291" s="31" t="n">
        <v>20261017</v>
      </c>
      <c r="C291" s="31" t="n">
        <v>2026</v>
      </c>
      <c r="D291" s="31" t="inlineStr">
        <is>
          <t>K4</t>
        </is>
      </c>
      <c r="E291" s="31" t="n">
        <v>10</v>
      </c>
      <c r="F291" s="31" t="inlineStr">
        <is>
          <t>2026-10</t>
        </is>
      </c>
      <c r="G291" s="33" t="n">
        <v>46296</v>
      </c>
    </row>
    <row r="292">
      <c r="A292" s="33" t="n">
        <v>46313</v>
      </c>
      <c r="B292" s="31" t="n">
        <v>20261018</v>
      </c>
      <c r="C292" s="31" t="n">
        <v>2026</v>
      </c>
      <c r="D292" s="31" t="inlineStr">
        <is>
          <t>K4</t>
        </is>
      </c>
      <c r="E292" s="31" t="n">
        <v>10</v>
      </c>
      <c r="F292" s="31" t="inlineStr">
        <is>
          <t>2026-10</t>
        </is>
      </c>
      <c r="G292" s="33" t="n">
        <v>46296</v>
      </c>
    </row>
    <row r="293">
      <c r="A293" s="33" t="n">
        <v>46314</v>
      </c>
      <c r="B293" s="31" t="n">
        <v>20261019</v>
      </c>
      <c r="C293" s="31" t="n">
        <v>2026</v>
      </c>
      <c r="D293" s="31" t="inlineStr">
        <is>
          <t>K4</t>
        </is>
      </c>
      <c r="E293" s="31" t="n">
        <v>10</v>
      </c>
      <c r="F293" s="31" t="inlineStr">
        <is>
          <t>2026-10</t>
        </is>
      </c>
      <c r="G293" s="33" t="n">
        <v>46296</v>
      </c>
    </row>
    <row r="294">
      <c r="A294" s="33" t="n">
        <v>46315</v>
      </c>
      <c r="B294" s="31" t="n">
        <v>20261020</v>
      </c>
      <c r="C294" s="31" t="n">
        <v>2026</v>
      </c>
      <c r="D294" s="31" t="inlineStr">
        <is>
          <t>K4</t>
        </is>
      </c>
      <c r="E294" s="31" t="n">
        <v>10</v>
      </c>
      <c r="F294" s="31" t="inlineStr">
        <is>
          <t>2026-10</t>
        </is>
      </c>
      <c r="G294" s="33" t="n">
        <v>46296</v>
      </c>
    </row>
    <row r="295">
      <c r="A295" s="33" t="n">
        <v>46316</v>
      </c>
      <c r="B295" s="31" t="n">
        <v>20261021</v>
      </c>
      <c r="C295" s="31" t="n">
        <v>2026</v>
      </c>
      <c r="D295" s="31" t="inlineStr">
        <is>
          <t>K4</t>
        </is>
      </c>
      <c r="E295" s="31" t="n">
        <v>10</v>
      </c>
      <c r="F295" s="31" t="inlineStr">
        <is>
          <t>2026-10</t>
        </is>
      </c>
      <c r="G295" s="33" t="n">
        <v>46296</v>
      </c>
    </row>
    <row r="296">
      <c r="A296" s="33" t="n">
        <v>46317</v>
      </c>
      <c r="B296" s="31" t="n">
        <v>20261022</v>
      </c>
      <c r="C296" s="31" t="n">
        <v>2026</v>
      </c>
      <c r="D296" s="31" t="inlineStr">
        <is>
          <t>K4</t>
        </is>
      </c>
      <c r="E296" s="31" t="n">
        <v>10</v>
      </c>
      <c r="F296" s="31" t="inlineStr">
        <is>
          <t>2026-10</t>
        </is>
      </c>
      <c r="G296" s="33" t="n">
        <v>46296</v>
      </c>
    </row>
    <row r="297">
      <c r="A297" s="33" t="n">
        <v>46318</v>
      </c>
      <c r="B297" s="31" t="n">
        <v>20261023</v>
      </c>
      <c r="C297" s="31" t="n">
        <v>2026</v>
      </c>
      <c r="D297" s="31" t="inlineStr">
        <is>
          <t>K4</t>
        </is>
      </c>
      <c r="E297" s="31" t="n">
        <v>10</v>
      </c>
      <c r="F297" s="31" t="inlineStr">
        <is>
          <t>2026-10</t>
        </is>
      </c>
      <c r="G297" s="33" t="n">
        <v>46296</v>
      </c>
    </row>
    <row r="298">
      <c r="A298" s="33" t="n">
        <v>46319</v>
      </c>
      <c r="B298" s="31" t="n">
        <v>20261024</v>
      </c>
      <c r="C298" s="31" t="n">
        <v>2026</v>
      </c>
      <c r="D298" s="31" t="inlineStr">
        <is>
          <t>K4</t>
        </is>
      </c>
      <c r="E298" s="31" t="n">
        <v>10</v>
      </c>
      <c r="F298" s="31" t="inlineStr">
        <is>
          <t>2026-10</t>
        </is>
      </c>
      <c r="G298" s="33" t="n">
        <v>46296</v>
      </c>
    </row>
    <row r="299">
      <c r="A299" s="33" t="n">
        <v>46320</v>
      </c>
      <c r="B299" s="31" t="n">
        <v>20261025</v>
      </c>
      <c r="C299" s="31" t="n">
        <v>2026</v>
      </c>
      <c r="D299" s="31" t="inlineStr">
        <is>
          <t>K4</t>
        </is>
      </c>
      <c r="E299" s="31" t="n">
        <v>10</v>
      </c>
      <c r="F299" s="31" t="inlineStr">
        <is>
          <t>2026-10</t>
        </is>
      </c>
      <c r="G299" s="33" t="n">
        <v>46296</v>
      </c>
    </row>
    <row r="300">
      <c r="A300" s="33" t="n">
        <v>46321</v>
      </c>
      <c r="B300" s="31" t="n">
        <v>20261026</v>
      </c>
      <c r="C300" s="31" t="n">
        <v>2026</v>
      </c>
      <c r="D300" s="31" t="inlineStr">
        <is>
          <t>K4</t>
        </is>
      </c>
      <c r="E300" s="31" t="n">
        <v>10</v>
      </c>
      <c r="F300" s="31" t="inlineStr">
        <is>
          <t>2026-10</t>
        </is>
      </c>
      <c r="G300" s="33" t="n">
        <v>46296</v>
      </c>
    </row>
    <row r="301">
      <c r="A301" s="33" t="n">
        <v>46322</v>
      </c>
      <c r="B301" s="31" t="n">
        <v>20261027</v>
      </c>
      <c r="C301" s="31" t="n">
        <v>2026</v>
      </c>
      <c r="D301" s="31" t="inlineStr">
        <is>
          <t>K4</t>
        </is>
      </c>
      <c r="E301" s="31" t="n">
        <v>10</v>
      </c>
      <c r="F301" s="31" t="inlineStr">
        <is>
          <t>2026-10</t>
        </is>
      </c>
      <c r="G301" s="33" t="n">
        <v>46296</v>
      </c>
    </row>
    <row r="302">
      <c r="A302" s="33" t="n">
        <v>46323</v>
      </c>
      <c r="B302" s="31" t="n">
        <v>20261028</v>
      </c>
      <c r="C302" s="31" t="n">
        <v>2026</v>
      </c>
      <c r="D302" s="31" t="inlineStr">
        <is>
          <t>K4</t>
        </is>
      </c>
      <c r="E302" s="31" t="n">
        <v>10</v>
      </c>
      <c r="F302" s="31" t="inlineStr">
        <is>
          <t>2026-10</t>
        </is>
      </c>
      <c r="G302" s="33" t="n">
        <v>46296</v>
      </c>
    </row>
    <row r="303">
      <c r="A303" s="33" t="n">
        <v>46324</v>
      </c>
      <c r="B303" s="31" t="n">
        <v>20261029</v>
      </c>
      <c r="C303" s="31" t="n">
        <v>2026</v>
      </c>
      <c r="D303" s="31" t="inlineStr">
        <is>
          <t>K4</t>
        </is>
      </c>
      <c r="E303" s="31" t="n">
        <v>10</v>
      </c>
      <c r="F303" s="31" t="inlineStr">
        <is>
          <t>2026-10</t>
        </is>
      </c>
      <c r="G303" s="33" t="n">
        <v>46296</v>
      </c>
    </row>
    <row r="304">
      <c r="A304" s="33" t="n">
        <v>46325</v>
      </c>
      <c r="B304" s="31" t="n">
        <v>20261030</v>
      </c>
      <c r="C304" s="31" t="n">
        <v>2026</v>
      </c>
      <c r="D304" s="31" t="inlineStr">
        <is>
          <t>K4</t>
        </is>
      </c>
      <c r="E304" s="31" t="n">
        <v>10</v>
      </c>
      <c r="F304" s="31" t="inlineStr">
        <is>
          <t>2026-10</t>
        </is>
      </c>
      <c r="G304" s="33" t="n">
        <v>46296</v>
      </c>
    </row>
    <row r="305">
      <c r="A305" s="33" t="n">
        <v>46326</v>
      </c>
      <c r="B305" s="31" t="n">
        <v>20261031</v>
      </c>
      <c r="C305" s="31" t="n">
        <v>2026</v>
      </c>
      <c r="D305" s="31" t="inlineStr">
        <is>
          <t>K4</t>
        </is>
      </c>
      <c r="E305" s="31" t="n">
        <v>10</v>
      </c>
      <c r="F305" s="31" t="inlineStr">
        <is>
          <t>2026-10</t>
        </is>
      </c>
      <c r="G305" s="33" t="n">
        <v>46296</v>
      </c>
    </row>
    <row r="306">
      <c r="A306" s="33" t="n">
        <v>46327</v>
      </c>
      <c r="B306" s="31" t="n">
        <v>20261101</v>
      </c>
      <c r="C306" s="31" t="n">
        <v>2026</v>
      </c>
      <c r="D306" s="31" t="inlineStr">
        <is>
          <t>K4</t>
        </is>
      </c>
      <c r="E306" s="31" t="n">
        <v>11</v>
      </c>
      <c r="F306" s="31" t="inlineStr">
        <is>
          <t>2026-11</t>
        </is>
      </c>
      <c r="G306" s="33" t="n">
        <v>46327</v>
      </c>
    </row>
    <row r="307">
      <c r="A307" s="33" t="n">
        <v>46328</v>
      </c>
      <c r="B307" s="31" t="n">
        <v>20261102</v>
      </c>
      <c r="C307" s="31" t="n">
        <v>2026</v>
      </c>
      <c r="D307" s="31" t="inlineStr">
        <is>
          <t>K4</t>
        </is>
      </c>
      <c r="E307" s="31" t="n">
        <v>11</v>
      </c>
      <c r="F307" s="31" t="inlineStr">
        <is>
          <t>2026-11</t>
        </is>
      </c>
      <c r="G307" s="33" t="n">
        <v>46327</v>
      </c>
    </row>
    <row r="308">
      <c r="A308" s="33" t="n">
        <v>46329</v>
      </c>
      <c r="B308" s="31" t="n">
        <v>20261103</v>
      </c>
      <c r="C308" s="31" t="n">
        <v>2026</v>
      </c>
      <c r="D308" s="31" t="inlineStr">
        <is>
          <t>K4</t>
        </is>
      </c>
      <c r="E308" s="31" t="n">
        <v>11</v>
      </c>
      <c r="F308" s="31" t="inlineStr">
        <is>
          <t>2026-11</t>
        </is>
      </c>
      <c r="G308" s="33" t="n">
        <v>46327</v>
      </c>
    </row>
    <row r="309">
      <c r="A309" s="33" t="n">
        <v>46330</v>
      </c>
      <c r="B309" s="31" t="n">
        <v>20261104</v>
      </c>
      <c r="C309" s="31" t="n">
        <v>2026</v>
      </c>
      <c r="D309" s="31" t="inlineStr">
        <is>
          <t>K4</t>
        </is>
      </c>
      <c r="E309" s="31" t="n">
        <v>11</v>
      </c>
      <c r="F309" s="31" t="inlineStr">
        <is>
          <t>2026-11</t>
        </is>
      </c>
      <c r="G309" s="33" t="n">
        <v>46327</v>
      </c>
    </row>
    <row r="310">
      <c r="A310" s="33" t="n">
        <v>46331</v>
      </c>
      <c r="B310" s="31" t="n">
        <v>20261105</v>
      </c>
      <c r="C310" s="31" t="n">
        <v>2026</v>
      </c>
      <c r="D310" s="31" t="inlineStr">
        <is>
          <t>K4</t>
        </is>
      </c>
      <c r="E310" s="31" t="n">
        <v>11</v>
      </c>
      <c r="F310" s="31" t="inlineStr">
        <is>
          <t>2026-11</t>
        </is>
      </c>
      <c r="G310" s="33" t="n">
        <v>46327</v>
      </c>
    </row>
    <row r="311">
      <c r="A311" s="33" t="n">
        <v>46332</v>
      </c>
      <c r="B311" s="31" t="n">
        <v>20261106</v>
      </c>
      <c r="C311" s="31" t="n">
        <v>2026</v>
      </c>
      <c r="D311" s="31" t="inlineStr">
        <is>
          <t>K4</t>
        </is>
      </c>
      <c r="E311" s="31" t="n">
        <v>11</v>
      </c>
      <c r="F311" s="31" t="inlineStr">
        <is>
          <t>2026-11</t>
        </is>
      </c>
      <c r="G311" s="33" t="n">
        <v>46327</v>
      </c>
    </row>
    <row r="312">
      <c r="A312" s="33" t="n">
        <v>46333</v>
      </c>
      <c r="B312" s="31" t="n">
        <v>20261107</v>
      </c>
      <c r="C312" s="31" t="n">
        <v>2026</v>
      </c>
      <c r="D312" s="31" t="inlineStr">
        <is>
          <t>K4</t>
        </is>
      </c>
      <c r="E312" s="31" t="n">
        <v>11</v>
      </c>
      <c r="F312" s="31" t="inlineStr">
        <is>
          <t>2026-11</t>
        </is>
      </c>
      <c r="G312" s="33" t="n">
        <v>46327</v>
      </c>
    </row>
    <row r="313">
      <c r="A313" s="33" t="n">
        <v>46334</v>
      </c>
      <c r="B313" s="31" t="n">
        <v>20261108</v>
      </c>
      <c r="C313" s="31" t="n">
        <v>2026</v>
      </c>
      <c r="D313" s="31" t="inlineStr">
        <is>
          <t>K4</t>
        </is>
      </c>
      <c r="E313" s="31" t="n">
        <v>11</v>
      </c>
      <c r="F313" s="31" t="inlineStr">
        <is>
          <t>2026-11</t>
        </is>
      </c>
      <c r="G313" s="33" t="n">
        <v>46327</v>
      </c>
    </row>
    <row r="314">
      <c r="A314" s="33" t="n">
        <v>46335</v>
      </c>
      <c r="B314" s="31" t="n">
        <v>20261109</v>
      </c>
      <c r="C314" s="31" t="n">
        <v>2026</v>
      </c>
      <c r="D314" s="31" t="inlineStr">
        <is>
          <t>K4</t>
        </is>
      </c>
      <c r="E314" s="31" t="n">
        <v>11</v>
      </c>
      <c r="F314" s="31" t="inlineStr">
        <is>
          <t>2026-11</t>
        </is>
      </c>
      <c r="G314" s="33" t="n">
        <v>46327</v>
      </c>
    </row>
    <row r="315">
      <c r="A315" s="33" t="n">
        <v>46336</v>
      </c>
      <c r="B315" s="31" t="n">
        <v>20261110</v>
      </c>
      <c r="C315" s="31" t="n">
        <v>2026</v>
      </c>
      <c r="D315" s="31" t="inlineStr">
        <is>
          <t>K4</t>
        </is>
      </c>
      <c r="E315" s="31" t="n">
        <v>11</v>
      </c>
      <c r="F315" s="31" t="inlineStr">
        <is>
          <t>2026-11</t>
        </is>
      </c>
      <c r="G315" s="33" t="n">
        <v>46327</v>
      </c>
    </row>
    <row r="316">
      <c r="A316" s="33" t="n">
        <v>46337</v>
      </c>
      <c r="B316" s="31" t="n">
        <v>20261111</v>
      </c>
      <c r="C316" s="31" t="n">
        <v>2026</v>
      </c>
      <c r="D316" s="31" t="inlineStr">
        <is>
          <t>K4</t>
        </is>
      </c>
      <c r="E316" s="31" t="n">
        <v>11</v>
      </c>
      <c r="F316" s="31" t="inlineStr">
        <is>
          <t>2026-11</t>
        </is>
      </c>
      <c r="G316" s="33" t="n">
        <v>46327</v>
      </c>
    </row>
    <row r="317">
      <c r="A317" s="33" t="n">
        <v>46338</v>
      </c>
      <c r="B317" s="31" t="n">
        <v>20261112</v>
      </c>
      <c r="C317" s="31" t="n">
        <v>2026</v>
      </c>
      <c r="D317" s="31" t="inlineStr">
        <is>
          <t>K4</t>
        </is>
      </c>
      <c r="E317" s="31" t="n">
        <v>11</v>
      </c>
      <c r="F317" s="31" t="inlineStr">
        <is>
          <t>2026-11</t>
        </is>
      </c>
      <c r="G317" s="33" t="n">
        <v>46327</v>
      </c>
    </row>
    <row r="318">
      <c r="A318" s="33" t="n">
        <v>46339</v>
      </c>
      <c r="B318" s="31" t="n">
        <v>20261113</v>
      </c>
      <c r="C318" s="31" t="n">
        <v>2026</v>
      </c>
      <c r="D318" s="31" t="inlineStr">
        <is>
          <t>K4</t>
        </is>
      </c>
      <c r="E318" s="31" t="n">
        <v>11</v>
      </c>
      <c r="F318" s="31" t="inlineStr">
        <is>
          <t>2026-11</t>
        </is>
      </c>
      <c r="G318" s="33" t="n">
        <v>46327</v>
      </c>
    </row>
    <row r="319">
      <c r="A319" s="33" t="n">
        <v>46340</v>
      </c>
      <c r="B319" s="31" t="n">
        <v>20261114</v>
      </c>
      <c r="C319" s="31" t="n">
        <v>2026</v>
      </c>
      <c r="D319" s="31" t="inlineStr">
        <is>
          <t>K4</t>
        </is>
      </c>
      <c r="E319" s="31" t="n">
        <v>11</v>
      </c>
      <c r="F319" s="31" t="inlineStr">
        <is>
          <t>2026-11</t>
        </is>
      </c>
      <c r="G319" s="33" t="n">
        <v>46327</v>
      </c>
    </row>
    <row r="320">
      <c r="A320" s="33" t="n">
        <v>46341</v>
      </c>
      <c r="B320" s="31" t="n">
        <v>20261115</v>
      </c>
      <c r="C320" s="31" t="n">
        <v>2026</v>
      </c>
      <c r="D320" s="31" t="inlineStr">
        <is>
          <t>K4</t>
        </is>
      </c>
      <c r="E320" s="31" t="n">
        <v>11</v>
      </c>
      <c r="F320" s="31" t="inlineStr">
        <is>
          <t>2026-11</t>
        </is>
      </c>
      <c r="G320" s="33" t="n">
        <v>46327</v>
      </c>
    </row>
    <row r="321">
      <c r="A321" s="33" t="n">
        <v>46342</v>
      </c>
      <c r="B321" s="31" t="n">
        <v>20261116</v>
      </c>
      <c r="C321" s="31" t="n">
        <v>2026</v>
      </c>
      <c r="D321" s="31" t="inlineStr">
        <is>
          <t>K4</t>
        </is>
      </c>
      <c r="E321" s="31" t="n">
        <v>11</v>
      </c>
      <c r="F321" s="31" t="inlineStr">
        <is>
          <t>2026-11</t>
        </is>
      </c>
      <c r="G321" s="33" t="n">
        <v>46327</v>
      </c>
    </row>
    <row r="322">
      <c r="A322" s="33" t="n">
        <v>46343</v>
      </c>
      <c r="B322" s="31" t="n">
        <v>20261117</v>
      </c>
      <c r="C322" s="31" t="n">
        <v>2026</v>
      </c>
      <c r="D322" s="31" t="inlineStr">
        <is>
          <t>K4</t>
        </is>
      </c>
      <c r="E322" s="31" t="n">
        <v>11</v>
      </c>
      <c r="F322" s="31" t="inlineStr">
        <is>
          <t>2026-11</t>
        </is>
      </c>
      <c r="G322" s="33" t="n">
        <v>46327</v>
      </c>
    </row>
    <row r="323">
      <c r="A323" s="33" t="n">
        <v>46344</v>
      </c>
      <c r="B323" s="31" t="n">
        <v>20261118</v>
      </c>
      <c r="C323" s="31" t="n">
        <v>2026</v>
      </c>
      <c r="D323" s="31" t="inlineStr">
        <is>
          <t>K4</t>
        </is>
      </c>
      <c r="E323" s="31" t="n">
        <v>11</v>
      </c>
      <c r="F323" s="31" t="inlineStr">
        <is>
          <t>2026-11</t>
        </is>
      </c>
      <c r="G323" s="33" t="n">
        <v>46327</v>
      </c>
    </row>
    <row r="324">
      <c r="A324" s="33" t="n">
        <v>46345</v>
      </c>
      <c r="B324" s="31" t="n">
        <v>20261119</v>
      </c>
      <c r="C324" s="31" t="n">
        <v>2026</v>
      </c>
      <c r="D324" s="31" t="inlineStr">
        <is>
          <t>K4</t>
        </is>
      </c>
      <c r="E324" s="31" t="n">
        <v>11</v>
      </c>
      <c r="F324" s="31" t="inlineStr">
        <is>
          <t>2026-11</t>
        </is>
      </c>
      <c r="G324" s="33" t="n">
        <v>46327</v>
      </c>
    </row>
    <row r="325">
      <c r="A325" s="33" t="n">
        <v>46346</v>
      </c>
      <c r="B325" s="31" t="n">
        <v>20261120</v>
      </c>
      <c r="C325" s="31" t="n">
        <v>2026</v>
      </c>
      <c r="D325" s="31" t="inlineStr">
        <is>
          <t>K4</t>
        </is>
      </c>
      <c r="E325" s="31" t="n">
        <v>11</v>
      </c>
      <c r="F325" s="31" t="inlineStr">
        <is>
          <t>2026-11</t>
        </is>
      </c>
      <c r="G325" s="33" t="n">
        <v>46327</v>
      </c>
    </row>
    <row r="326">
      <c r="A326" s="33" t="n">
        <v>46347</v>
      </c>
      <c r="B326" s="31" t="n">
        <v>20261121</v>
      </c>
      <c r="C326" s="31" t="n">
        <v>2026</v>
      </c>
      <c r="D326" s="31" t="inlineStr">
        <is>
          <t>K4</t>
        </is>
      </c>
      <c r="E326" s="31" t="n">
        <v>11</v>
      </c>
      <c r="F326" s="31" t="inlineStr">
        <is>
          <t>2026-11</t>
        </is>
      </c>
      <c r="G326" s="33" t="n">
        <v>46327</v>
      </c>
    </row>
    <row r="327">
      <c r="A327" s="33" t="n">
        <v>46348</v>
      </c>
      <c r="B327" s="31" t="n">
        <v>20261122</v>
      </c>
      <c r="C327" s="31" t="n">
        <v>2026</v>
      </c>
      <c r="D327" s="31" t="inlineStr">
        <is>
          <t>K4</t>
        </is>
      </c>
      <c r="E327" s="31" t="n">
        <v>11</v>
      </c>
      <c r="F327" s="31" t="inlineStr">
        <is>
          <t>2026-11</t>
        </is>
      </c>
      <c r="G327" s="33" t="n">
        <v>46327</v>
      </c>
    </row>
    <row r="328">
      <c r="A328" s="33" t="n">
        <v>46349</v>
      </c>
      <c r="B328" s="31" t="n">
        <v>20261123</v>
      </c>
      <c r="C328" s="31" t="n">
        <v>2026</v>
      </c>
      <c r="D328" s="31" t="inlineStr">
        <is>
          <t>K4</t>
        </is>
      </c>
      <c r="E328" s="31" t="n">
        <v>11</v>
      </c>
      <c r="F328" s="31" t="inlineStr">
        <is>
          <t>2026-11</t>
        </is>
      </c>
      <c r="G328" s="33" t="n">
        <v>46327</v>
      </c>
    </row>
    <row r="329">
      <c r="A329" s="33" t="n">
        <v>46350</v>
      </c>
      <c r="B329" s="31" t="n">
        <v>20261124</v>
      </c>
      <c r="C329" s="31" t="n">
        <v>2026</v>
      </c>
      <c r="D329" s="31" t="inlineStr">
        <is>
          <t>K4</t>
        </is>
      </c>
      <c r="E329" s="31" t="n">
        <v>11</v>
      </c>
      <c r="F329" s="31" t="inlineStr">
        <is>
          <t>2026-11</t>
        </is>
      </c>
      <c r="G329" s="33" t="n">
        <v>46327</v>
      </c>
    </row>
    <row r="330">
      <c r="A330" s="33" t="n">
        <v>46351</v>
      </c>
      <c r="B330" s="31" t="n">
        <v>20261125</v>
      </c>
      <c r="C330" s="31" t="n">
        <v>2026</v>
      </c>
      <c r="D330" s="31" t="inlineStr">
        <is>
          <t>K4</t>
        </is>
      </c>
      <c r="E330" s="31" t="n">
        <v>11</v>
      </c>
      <c r="F330" s="31" t="inlineStr">
        <is>
          <t>2026-11</t>
        </is>
      </c>
      <c r="G330" s="33" t="n">
        <v>46327</v>
      </c>
    </row>
    <row r="331">
      <c r="A331" s="33" t="n">
        <v>46352</v>
      </c>
      <c r="B331" s="31" t="n">
        <v>20261126</v>
      </c>
      <c r="C331" s="31" t="n">
        <v>2026</v>
      </c>
      <c r="D331" s="31" t="inlineStr">
        <is>
          <t>K4</t>
        </is>
      </c>
      <c r="E331" s="31" t="n">
        <v>11</v>
      </c>
      <c r="F331" s="31" t="inlineStr">
        <is>
          <t>2026-11</t>
        </is>
      </c>
      <c r="G331" s="33" t="n">
        <v>46327</v>
      </c>
    </row>
    <row r="332">
      <c r="A332" s="33" t="n">
        <v>46353</v>
      </c>
      <c r="B332" s="31" t="n">
        <v>20261127</v>
      </c>
      <c r="C332" s="31" t="n">
        <v>2026</v>
      </c>
      <c r="D332" s="31" t="inlineStr">
        <is>
          <t>K4</t>
        </is>
      </c>
      <c r="E332" s="31" t="n">
        <v>11</v>
      </c>
      <c r="F332" s="31" t="inlineStr">
        <is>
          <t>2026-11</t>
        </is>
      </c>
      <c r="G332" s="33" t="n">
        <v>46327</v>
      </c>
    </row>
    <row r="333">
      <c r="A333" s="33" t="n">
        <v>46354</v>
      </c>
      <c r="B333" s="31" t="n">
        <v>20261128</v>
      </c>
      <c r="C333" s="31" t="n">
        <v>2026</v>
      </c>
      <c r="D333" s="31" t="inlineStr">
        <is>
          <t>K4</t>
        </is>
      </c>
      <c r="E333" s="31" t="n">
        <v>11</v>
      </c>
      <c r="F333" s="31" t="inlineStr">
        <is>
          <t>2026-11</t>
        </is>
      </c>
      <c r="G333" s="33" t="n">
        <v>46327</v>
      </c>
    </row>
    <row r="334">
      <c r="A334" s="33" t="n">
        <v>46355</v>
      </c>
      <c r="B334" s="31" t="n">
        <v>20261129</v>
      </c>
      <c r="C334" s="31" t="n">
        <v>2026</v>
      </c>
      <c r="D334" s="31" t="inlineStr">
        <is>
          <t>K4</t>
        </is>
      </c>
      <c r="E334" s="31" t="n">
        <v>11</v>
      </c>
      <c r="F334" s="31" t="inlineStr">
        <is>
          <t>2026-11</t>
        </is>
      </c>
      <c r="G334" s="33" t="n">
        <v>46327</v>
      </c>
    </row>
    <row r="335">
      <c r="A335" s="33" t="n">
        <v>46356</v>
      </c>
      <c r="B335" s="31" t="n">
        <v>20261130</v>
      </c>
      <c r="C335" s="31" t="n">
        <v>2026</v>
      </c>
      <c r="D335" s="31" t="inlineStr">
        <is>
          <t>K4</t>
        </is>
      </c>
      <c r="E335" s="31" t="n">
        <v>11</v>
      </c>
      <c r="F335" s="31" t="inlineStr">
        <is>
          <t>2026-11</t>
        </is>
      </c>
      <c r="G335" s="33" t="n">
        <v>46327</v>
      </c>
    </row>
    <row r="336">
      <c r="A336" s="33" t="n">
        <v>46357</v>
      </c>
      <c r="B336" s="31" t="n">
        <v>20261201</v>
      </c>
      <c r="C336" s="31" t="n">
        <v>2026</v>
      </c>
      <c r="D336" s="31" t="inlineStr">
        <is>
          <t>K4</t>
        </is>
      </c>
      <c r="E336" s="31" t="n">
        <v>12</v>
      </c>
      <c r="F336" s="31" t="inlineStr">
        <is>
          <t>2026-12</t>
        </is>
      </c>
      <c r="G336" s="33" t="n">
        <v>46357</v>
      </c>
    </row>
    <row r="337">
      <c r="A337" s="33" t="n">
        <v>46358</v>
      </c>
      <c r="B337" s="31" t="n">
        <v>20261202</v>
      </c>
      <c r="C337" s="31" t="n">
        <v>2026</v>
      </c>
      <c r="D337" s="31" t="inlineStr">
        <is>
          <t>K4</t>
        </is>
      </c>
      <c r="E337" s="31" t="n">
        <v>12</v>
      </c>
      <c r="F337" s="31" t="inlineStr">
        <is>
          <t>2026-12</t>
        </is>
      </c>
      <c r="G337" s="33" t="n">
        <v>46357</v>
      </c>
    </row>
    <row r="338">
      <c r="A338" s="33" t="n">
        <v>46359</v>
      </c>
      <c r="B338" s="31" t="n">
        <v>20261203</v>
      </c>
      <c r="C338" s="31" t="n">
        <v>2026</v>
      </c>
      <c r="D338" s="31" t="inlineStr">
        <is>
          <t>K4</t>
        </is>
      </c>
      <c r="E338" s="31" t="n">
        <v>12</v>
      </c>
      <c r="F338" s="31" t="inlineStr">
        <is>
          <t>2026-12</t>
        </is>
      </c>
      <c r="G338" s="33" t="n">
        <v>46357</v>
      </c>
    </row>
    <row r="339">
      <c r="A339" s="33" t="n">
        <v>46360</v>
      </c>
      <c r="B339" s="31" t="n">
        <v>20261204</v>
      </c>
      <c r="C339" s="31" t="n">
        <v>2026</v>
      </c>
      <c r="D339" s="31" t="inlineStr">
        <is>
          <t>K4</t>
        </is>
      </c>
      <c r="E339" s="31" t="n">
        <v>12</v>
      </c>
      <c r="F339" s="31" t="inlineStr">
        <is>
          <t>2026-12</t>
        </is>
      </c>
      <c r="G339" s="33" t="n">
        <v>46357</v>
      </c>
    </row>
    <row r="340">
      <c r="A340" s="33" t="n">
        <v>46361</v>
      </c>
      <c r="B340" s="31" t="n">
        <v>20261205</v>
      </c>
      <c r="C340" s="31" t="n">
        <v>2026</v>
      </c>
      <c r="D340" s="31" t="inlineStr">
        <is>
          <t>K4</t>
        </is>
      </c>
      <c r="E340" s="31" t="n">
        <v>12</v>
      </c>
      <c r="F340" s="31" t="inlineStr">
        <is>
          <t>2026-12</t>
        </is>
      </c>
      <c r="G340" s="33" t="n">
        <v>46357</v>
      </c>
    </row>
    <row r="341">
      <c r="A341" s="33" t="n">
        <v>46362</v>
      </c>
      <c r="B341" s="31" t="n">
        <v>20261206</v>
      </c>
      <c r="C341" s="31" t="n">
        <v>2026</v>
      </c>
      <c r="D341" s="31" t="inlineStr">
        <is>
          <t>K4</t>
        </is>
      </c>
      <c r="E341" s="31" t="n">
        <v>12</v>
      </c>
      <c r="F341" s="31" t="inlineStr">
        <is>
          <t>2026-12</t>
        </is>
      </c>
      <c r="G341" s="33" t="n">
        <v>46357</v>
      </c>
    </row>
    <row r="342">
      <c r="A342" s="33" t="n">
        <v>46363</v>
      </c>
      <c r="B342" s="31" t="n">
        <v>20261207</v>
      </c>
      <c r="C342" s="31" t="n">
        <v>2026</v>
      </c>
      <c r="D342" s="31" t="inlineStr">
        <is>
          <t>K4</t>
        </is>
      </c>
      <c r="E342" s="31" t="n">
        <v>12</v>
      </c>
      <c r="F342" s="31" t="inlineStr">
        <is>
          <t>2026-12</t>
        </is>
      </c>
      <c r="G342" s="33" t="n">
        <v>46357</v>
      </c>
    </row>
    <row r="343">
      <c r="A343" s="33" t="n">
        <v>46364</v>
      </c>
      <c r="B343" s="31" t="n">
        <v>20261208</v>
      </c>
      <c r="C343" s="31" t="n">
        <v>2026</v>
      </c>
      <c r="D343" s="31" t="inlineStr">
        <is>
          <t>K4</t>
        </is>
      </c>
      <c r="E343" s="31" t="n">
        <v>12</v>
      </c>
      <c r="F343" s="31" t="inlineStr">
        <is>
          <t>2026-12</t>
        </is>
      </c>
      <c r="G343" s="33" t="n">
        <v>46357</v>
      </c>
    </row>
    <row r="344">
      <c r="A344" s="33" t="n">
        <v>46365</v>
      </c>
      <c r="B344" s="31" t="n">
        <v>20261209</v>
      </c>
      <c r="C344" s="31" t="n">
        <v>2026</v>
      </c>
      <c r="D344" s="31" t="inlineStr">
        <is>
          <t>K4</t>
        </is>
      </c>
      <c r="E344" s="31" t="n">
        <v>12</v>
      </c>
      <c r="F344" s="31" t="inlineStr">
        <is>
          <t>2026-12</t>
        </is>
      </c>
      <c r="G344" s="33" t="n">
        <v>46357</v>
      </c>
    </row>
    <row r="345">
      <c r="A345" s="33" t="n">
        <v>46366</v>
      </c>
      <c r="B345" s="31" t="n">
        <v>20261210</v>
      </c>
      <c r="C345" s="31" t="n">
        <v>2026</v>
      </c>
      <c r="D345" s="31" t="inlineStr">
        <is>
          <t>K4</t>
        </is>
      </c>
      <c r="E345" s="31" t="n">
        <v>12</v>
      </c>
      <c r="F345" s="31" t="inlineStr">
        <is>
          <t>2026-12</t>
        </is>
      </c>
      <c r="G345" s="33" t="n">
        <v>46357</v>
      </c>
    </row>
    <row r="346">
      <c r="A346" s="33" t="n">
        <v>46367</v>
      </c>
      <c r="B346" s="31" t="n">
        <v>20261211</v>
      </c>
      <c r="C346" s="31" t="n">
        <v>2026</v>
      </c>
      <c r="D346" s="31" t="inlineStr">
        <is>
          <t>K4</t>
        </is>
      </c>
      <c r="E346" s="31" t="n">
        <v>12</v>
      </c>
      <c r="F346" s="31" t="inlineStr">
        <is>
          <t>2026-12</t>
        </is>
      </c>
      <c r="G346" s="33" t="n">
        <v>46357</v>
      </c>
    </row>
    <row r="347">
      <c r="A347" s="33" t="n">
        <v>46368</v>
      </c>
      <c r="B347" s="31" t="n">
        <v>20261212</v>
      </c>
      <c r="C347" s="31" t="n">
        <v>2026</v>
      </c>
      <c r="D347" s="31" t="inlineStr">
        <is>
          <t>K4</t>
        </is>
      </c>
      <c r="E347" s="31" t="n">
        <v>12</v>
      </c>
      <c r="F347" s="31" t="inlineStr">
        <is>
          <t>2026-12</t>
        </is>
      </c>
      <c r="G347" s="33" t="n">
        <v>46357</v>
      </c>
    </row>
    <row r="348">
      <c r="A348" s="33" t="n">
        <v>46369</v>
      </c>
      <c r="B348" s="31" t="n">
        <v>20261213</v>
      </c>
      <c r="C348" s="31" t="n">
        <v>2026</v>
      </c>
      <c r="D348" s="31" t="inlineStr">
        <is>
          <t>K4</t>
        </is>
      </c>
      <c r="E348" s="31" t="n">
        <v>12</v>
      </c>
      <c r="F348" s="31" t="inlineStr">
        <is>
          <t>2026-12</t>
        </is>
      </c>
      <c r="G348" s="33" t="n">
        <v>46357</v>
      </c>
    </row>
    <row r="349">
      <c r="A349" s="33" t="n">
        <v>46370</v>
      </c>
      <c r="B349" s="31" t="n">
        <v>20261214</v>
      </c>
      <c r="C349" s="31" t="n">
        <v>2026</v>
      </c>
      <c r="D349" s="31" t="inlineStr">
        <is>
          <t>K4</t>
        </is>
      </c>
      <c r="E349" s="31" t="n">
        <v>12</v>
      </c>
      <c r="F349" s="31" t="inlineStr">
        <is>
          <t>2026-12</t>
        </is>
      </c>
      <c r="G349" s="33" t="n">
        <v>46357</v>
      </c>
    </row>
    <row r="350">
      <c r="A350" s="33" t="n">
        <v>46371</v>
      </c>
      <c r="B350" s="31" t="n">
        <v>20261215</v>
      </c>
      <c r="C350" s="31" t="n">
        <v>2026</v>
      </c>
      <c r="D350" s="31" t="inlineStr">
        <is>
          <t>K4</t>
        </is>
      </c>
      <c r="E350" s="31" t="n">
        <v>12</v>
      </c>
      <c r="F350" s="31" t="inlineStr">
        <is>
          <t>2026-12</t>
        </is>
      </c>
      <c r="G350" s="33" t="n">
        <v>46357</v>
      </c>
    </row>
    <row r="351">
      <c r="A351" s="33" t="n">
        <v>46372</v>
      </c>
      <c r="B351" s="31" t="n">
        <v>20261216</v>
      </c>
      <c r="C351" s="31" t="n">
        <v>2026</v>
      </c>
      <c r="D351" s="31" t="inlineStr">
        <is>
          <t>K4</t>
        </is>
      </c>
      <c r="E351" s="31" t="n">
        <v>12</v>
      </c>
      <c r="F351" s="31" t="inlineStr">
        <is>
          <t>2026-12</t>
        </is>
      </c>
      <c r="G351" s="33" t="n">
        <v>46357</v>
      </c>
    </row>
    <row r="352">
      <c r="A352" s="33" t="n">
        <v>46373</v>
      </c>
      <c r="B352" s="31" t="n">
        <v>20261217</v>
      </c>
      <c r="C352" s="31" t="n">
        <v>2026</v>
      </c>
      <c r="D352" s="31" t="inlineStr">
        <is>
          <t>K4</t>
        </is>
      </c>
      <c r="E352" s="31" t="n">
        <v>12</v>
      </c>
      <c r="F352" s="31" t="inlineStr">
        <is>
          <t>2026-12</t>
        </is>
      </c>
      <c r="G352" s="33" t="n">
        <v>46357</v>
      </c>
    </row>
    <row r="353">
      <c r="A353" s="33" t="n">
        <v>46374</v>
      </c>
      <c r="B353" s="31" t="n">
        <v>20261218</v>
      </c>
      <c r="C353" s="31" t="n">
        <v>2026</v>
      </c>
      <c r="D353" s="31" t="inlineStr">
        <is>
          <t>K4</t>
        </is>
      </c>
      <c r="E353" s="31" t="n">
        <v>12</v>
      </c>
      <c r="F353" s="31" t="inlineStr">
        <is>
          <t>2026-12</t>
        </is>
      </c>
      <c r="G353" s="33" t="n">
        <v>46357</v>
      </c>
    </row>
    <row r="354">
      <c r="A354" s="33" t="n">
        <v>46375</v>
      </c>
      <c r="B354" s="31" t="n">
        <v>20261219</v>
      </c>
      <c r="C354" s="31" t="n">
        <v>2026</v>
      </c>
      <c r="D354" s="31" t="inlineStr">
        <is>
          <t>K4</t>
        </is>
      </c>
      <c r="E354" s="31" t="n">
        <v>12</v>
      </c>
      <c r="F354" s="31" t="inlineStr">
        <is>
          <t>2026-12</t>
        </is>
      </c>
      <c r="G354" s="33" t="n">
        <v>46357</v>
      </c>
    </row>
    <row r="355">
      <c r="A355" s="33" t="n">
        <v>46376</v>
      </c>
      <c r="B355" s="31" t="n">
        <v>20261220</v>
      </c>
      <c r="C355" s="31" t="n">
        <v>2026</v>
      </c>
      <c r="D355" s="31" t="inlineStr">
        <is>
          <t>K4</t>
        </is>
      </c>
      <c r="E355" s="31" t="n">
        <v>12</v>
      </c>
      <c r="F355" s="31" t="inlineStr">
        <is>
          <t>2026-12</t>
        </is>
      </c>
      <c r="G355" s="33" t="n">
        <v>46357</v>
      </c>
    </row>
    <row r="356">
      <c r="A356" s="33" t="n">
        <v>46377</v>
      </c>
      <c r="B356" s="31" t="n">
        <v>20261221</v>
      </c>
      <c r="C356" s="31" t="n">
        <v>2026</v>
      </c>
      <c r="D356" s="31" t="inlineStr">
        <is>
          <t>K4</t>
        </is>
      </c>
      <c r="E356" s="31" t="n">
        <v>12</v>
      </c>
      <c r="F356" s="31" t="inlineStr">
        <is>
          <t>2026-12</t>
        </is>
      </c>
      <c r="G356" s="33" t="n">
        <v>46357</v>
      </c>
    </row>
    <row r="357">
      <c r="A357" s="33" t="n">
        <v>46378</v>
      </c>
      <c r="B357" s="31" t="n">
        <v>20261222</v>
      </c>
      <c r="C357" s="31" t="n">
        <v>2026</v>
      </c>
      <c r="D357" s="31" t="inlineStr">
        <is>
          <t>K4</t>
        </is>
      </c>
      <c r="E357" s="31" t="n">
        <v>12</v>
      </c>
      <c r="F357" s="31" t="inlineStr">
        <is>
          <t>2026-12</t>
        </is>
      </c>
      <c r="G357" s="33" t="n">
        <v>46357</v>
      </c>
    </row>
    <row r="358">
      <c r="A358" s="33" t="n">
        <v>46379</v>
      </c>
      <c r="B358" s="31" t="n">
        <v>20261223</v>
      </c>
      <c r="C358" s="31" t="n">
        <v>2026</v>
      </c>
      <c r="D358" s="31" t="inlineStr">
        <is>
          <t>K4</t>
        </is>
      </c>
      <c r="E358" s="31" t="n">
        <v>12</v>
      </c>
      <c r="F358" s="31" t="inlineStr">
        <is>
          <t>2026-12</t>
        </is>
      </c>
      <c r="G358" s="33" t="n">
        <v>46357</v>
      </c>
    </row>
    <row r="359">
      <c r="A359" s="33" t="n">
        <v>46380</v>
      </c>
      <c r="B359" s="31" t="n">
        <v>20261224</v>
      </c>
      <c r="C359" s="31" t="n">
        <v>2026</v>
      </c>
      <c r="D359" s="31" t="inlineStr">
        <is>
          <t>K4</t>
        </is>
      </c>
      <c r="E359" s="31" t="n">
        <v>12</v>
      </c>
      <c r="F359" s="31" t="inlineStr">
        <is>
          <t>2026-12</t>
        </is>
      </c>
      <c r="G359" s="33" t="n">
        <v>46357</v>
      </c>
    </row>
    <row r="360">
      <c r="A360" s="33" t="n">
        <v>46381</v>
      </c>
      <c r="B360" s="31" t="n">
        <v>20261225</v>
      </c>
      <c r="C360" s="31" t="n">
        <v>2026</v>
      </c>
      <c r="D360" s="31" t="inlineStr">
        <is>
          <t>K4</t>
        </is>
      </c>
      <c r="E360" s="31" t="n">
        <v>12</v>
      </c>
      <c r="F360" s="31" t="inlineStr">
        <is>
          <t>2026-12</t>
        </is>
      </c>
      <c r="G360" s="33" t="n">
        <v>46357</v>
      </c>
    </row>
    <row r="361">
      <c r="A361" s="33" t="n">
        <v>46382</v>
      </c>
      <c r="B361" s="31" t="n">
        <v>20261226</v>
      </c>
      <c r="C361" s="31" t="n">
        <v>2026</v>
      </c>
      <c r="D361" s="31" t="inlineStr">
        <is>
          <t>K4</t>
        </is>
      </c>
      <c r="E361" s="31" t="n">
        <v>12</v>
      </c>
      <c r="F361" s="31" t="inlineStr">
        <is>
          <t>2026-12</t>
        </is>
      </c>
      <c r="G361" s="33" t="n">
        <v>46357</v>
      </c>
    </row>
    <row r="362">
      <c r="A362" s="33" t="n">
        <v>46383</v>
      </c>
      <c r="B362" s="31" t="n">
        <v>20261227</v>
      </c>
      <c r="C362" s="31" t="n">
        <v>2026</v>
      </c>
      <c r="D362" s="31" t="inlineStr">
        <is>
          <t>K4</t>
        </is>
      </c>
      <c r="E362" s="31" t="n">
        <v>12</v>
      </c>
      <c r="F362" s="31" t="inlineStr">
        <is>
          <t>2026-12</t>
        </is>
      </c>
      <c r="G362" s="33" t="n">
        <v>46357</v>
      </c>
    </row>
    <row r="363">
      <c r="A363" s="33" t="n">
        <v>46384</v>
      </c>
      <c r="B363" s="31" t="n">
        <v>20261228</v>
      </c>
      <c r="C363" s="31" t="n">
        <v>2026</v>
      </c>
      <c r="D363" s="31" t="inlineStr">
        <is>
          <t>K4</t>
        </is>
      </c>
      <c r="E363" s="31" t="n">
        <v>12</v>
      </c>
      <c r="F363" s="31" t="inlineStr">
        <is>
          <t>2026-12</t>
        </is>
      </c>
      <c r="G363" s="33" t="n">
        <v>46357</v>
      </c>
    </row>
    <row r="364">
      <c r="A364" s="33" t="n">
        <v>46385</v>
      </c>
      <c r="B364" s="31" t="n">
        <v>20261229</v>
      </c>
      <c r="C364" s="31" t="n">
        <v>2026</v>
      </c>
      <c r="D364" s="31" t="inlineStr">
        <is>
          <t>K4</t>
        </is>
      </c>
      <c r="E364" s="31" t="n">
        <v>12</v>
      </c>
      <c r="F364" s="31" t="inlineStr">
        <is>
          <t>2026-12</t>
        </is>
      </c>
      <c r="G364" s="33" t="n">
        <v>46357</v>
      </c>
    </row>
    <row r="365">
      <c r="A365" s="33" t="n">
        <v>46386</v>
      </c>
      <c r="B365" s="31" t="n">
        <v>20261230</v>
      </c>
      <c r="C365" s="31" t="n">
        <v>2026</v>
      </c>
      <c r="D365" s="31" t="inlineStr">
        <is>
          <t>K4</t>
        </is>
      </c>
      <c r="E365" s="31" t="n">
        <v>12</v>
      </c>
      <c r="F365" s="31" t="inlineStr">
        <is>
          <t>2026-12</t>
        </is>
      </c>
      <c r="G365" s="33" t="n">
        <v>46357</v>
      </c>
    </row>
    <row r="366">
      <c r="A366" s="33" t="n">
        <v>46387</v>
      </c>
      <c r="B366" s="31" t="n">
        <v>20261231</v>
      </c>
      <c r="C366" s="31" t="n">
        <v>2026</v>
      </c>
      <c r="D366" s="31" t="inlineStr">
        <is>
          <t>K4</t>
        </is>
      </c>
      <c r="E366" s="31" t="n">
        <v>12</v>
      </c>
      <c r="F366" s="31" t="inlineStr">
        <is>
          <t>2026-12</t>
        </is>
      </c>
      <c r="G366" s="33" t="n">
        <v>46357</v>
      </c>
    </row>
    <row r="367">
      <c r="A367" s="33" t="n">
        <v>46388</v>
      </c>
      <c r="B367" s="31" t="n">
        <v>20270101</v>
      </c>
      <c r="C367" s="31" t="n">
        <v>2027</v>
      </c>
      <c r="D367" s="31" t="inlineStr">
        <is>
          <t>K1</t>
        </is>
      </c>
      <c r="E367" s="31" t="n">
        <v>1</v>
      </c>
      <c r="F367" s="31" t="inlineStr">
        <is>
          <t>2027-01</t>
        </is>
      </c>
      <c r="G367" s="33" t="n">
        <v>46388</v>
      </c>
    </row>
    <row r="368">
      <c r="A368" s="33" t="n">
        <v>46389</v>
      </c>
      <c r="B368" s="31" t="n">
        <v>20270102</v>
      </c>
      <c r="C368" s="31" t="n">
        <v>2027</v>
      </c>
      <c r="D368" s="31" t="inlineStr">
        <is>
          <t>K1</t>
        </is>
      </c>
      <c r="E368" s="31" t="n">
        <v>1</v>
      </c>
      <c r="F368" s="31" t="inlineStr">
        <is>
          <t>2027-01</t>
        </is>
      </c>
      <c r="G368" s="33" t="n">
        <v>46388</v>
      </c>
    </row>
    <row r="369">
      <c r="A369" s="33" t="n">
        <v>46390</v>
      </c>
      <c r="B369" s="31" t="n">
        <v>20270103</v>
      </c>
      <c r="C369" s="31" t="n">
        <v>2027</v>
      </c>
      <c r="D369" s="31" t="inlineStr">
        <is>
          <t>K1</t>
        </is>
      </c>
      <c r="E369" s="31" t="n">
        <v>1</v>
      </c>
      <c r="F369" s="31" t="inlineStr">
        <is>
          <t>2027-01</t>
        </is>
      </c>
      <c r="G369" s="33" t="n">
        <v>46388</v>
      </c>
    </row>
    <row r="370">
      <c r="A370" s="33" t="n">
        <v>46391</v>
      </c>
      <c r="B370" s="31" t="n">
        <v>20270104</v>
      </c>
      <c r="C370" s="31" t="n">
        <v>2027</v>
      </c>
      <c r="D370" s="31" t="inlineStr">
        <is>
          <t>K1</t>
        </is>
      </c>
      <c r="E370" s="31" t="n">
        <v>1</v>
      </c>
      <c r="F370" s="31" t="inlineStr">
        <is>
          <t>2027-01</t>
        </is>
      </c>
      <c r="G370" s="33" t="n">
        <v>46388</v>
      </c>
    </row>
    <row r="371">
      <c r="A371" s="33" t="n">
        <v>46392</v>
      </c>
      <c r="B371" s="31" t="n">
        <v>20270105</v>
      </c>
      <c r="C371" s="31" t="n">
        <v>2027</v>
      </c>
      <c r="D371" s="31" t="inlineStr">
        <is>
          <t>K1</t>
        </is>
      </c>
      <c r="E371" s="31" t="n">
        <v>1</v>
      </c>
      <c r="F371" s="31" t="inlineStr">
        <is>
          <t>2027-01</t>
        </is>
      </c>
      <c r="G371" s="33" t="n">
        <v>46388</v>
      </c>
    </row>
    <row r="372">
      <c r="A372" s="33" t="n">
        <v>46393</v>
      </c>
      <c r="B372" s="31" t="n">
        <v>20270106</v>
      </c>
      <c r="C372" s="31" t="n">
        <v>2027</v>
      </c>
      <c r="D372" s="31" t="inlineStr">
        <is>
          <t>K1</t>
        </is>
      </c>
      <c r="E372" s="31" t="n">
        <v>1</v>
      </c>
      <c r="F372" s="31" t="inlineStr">
        <is>
          <t>2027-01</t>
        </is>
      </c>
      <c r="G372" s="33" t="n">
        <v>46388</v>
      </c>
    </row>
    <row r="373">
      <c r="A373" s="33" t="n">
        <v>46394</v>
      </c>
      <c r="B373" s="31" t="n">
        <v>20270107</v>
      </c>
      <c r="C373" s="31" t="n">
        <v>2027</v>
      </c>
      <c r="D373" s="31" t="inlineStr">
        <is>
          <t>K1</t>
        </is>
      </c>
      <c r="E373" s="31" t="n">
        <v>1</v>
      </c>
      <c r="F373" s="31" t="inlineStr">
        <is>
          <t>2027-01</t>
        </is>
      </c>
      <c r="G373" s="33" t="n">
        <v>46388</v>
      </c>
    </row>
    <row r="374">
      <c r="A374" s="33" t="n">
        <v>46395</v>
      </c>
      <c r="B374" s="31" t="n">
        <v>20270108</v>
      </c>
      <c r="C374" s="31" t="n">
        <v>2027</v>
      </c>
      <c r="D374" s="31" t="inlineStr">
        <is>
          <t>K1</t>
        </is>
      </c>
      <c r="E374" s="31" t="n">
        <v>1</v>
      </c>
      <c r="F374" s="31" t="inlineStr">
        <is>
          <t>2027-01</t>
        </is>
      </c>
      <c r="G374" s="33" t="n">
        <v>46388</v>
      </c>
    </row>
    <row r="375">
      <c r="A375" s="33" t="n">
        <v>46396</v>
      </c>
      <c r="B375" s="31" t="n">
        <v>20270109</v>
      </c>
      <c r="C375" s="31" t="n">
        <v>2027</v>
      </c>
      <c r="D375" s="31" t="inlineStr">
        <is>
          <t>K1</t>
        </is>
      </c>
      <c r="E375" s="31" t="n">
        <v>1</v>
      </c>
      <c r="F375" s="31" t="inlineStr">
        <is>
          <t>2027-01</t>
        </is>
      </c>
      <c r="G375" s="33" t="n">
        <v>46388</v>
      </c>
    </row>
    <row r="376">
      <c r="A376" s="33" t="n">
        <v>46397</v>
      </c>
      <c r="B376" s="31" t="n">
        <v>20270110</v>
      </c>
      <c r="C376" s="31" t="n">
        <v>2027</v>
      </c>
      <c r="D376" s="31" t="inlineStr">
        <is>
          <t>K1</t>
        </is>
      </c>
      <c r="E376" s="31" t="n">
        <v>1</v>
      </c>
      <c r="F376" s="31" t="inlineStr">
        <is>
          <t>2027-01</t>
        </is>
      </c>
      <c r="G376" s="33" t="n">
        <v>46388</v>
      </c>
    </row>
    <row r="377">
      <c r="A377" s="33" t="n">
        <v>46398</v>
      </c>
      <c r="B377" s="31" t="n">
        <v>20270111</v>
      </c>
      <c r="C377" s="31" t="n">
        <v>2027</v>
      </c>
      <c r="D377" s="31" t="inlineStr">
        <is>
          <t>K1</t>
        </is>
      </c>
      <c r="E377" s="31" t="n">
        <v>1</v>
      </c>
      <c r="F377" s="31" t="inlineStr">
        <is>
          <t>2027-01</t>
        </is>
      </c>
      <c r="G377" s="33" t="n">
        <v>46388</v>
      </c>
    </row>
    <row r="378">
      <c r="A378" s="33" t="n">
        <v>46399</v>
      </c>
      <c r="B378" s="31" t="n">
        <v>20270112</v>
      </c>
      <c r="C378" s="31" t="n">
        <v>2027</v>
      </c>
      <c r="D378" s="31" t="inlineStr">
        <is>
          <t>K1</t>
        </is>
      </c>
      <c r="E378" s="31" t="n">
        <v>1</v>
      </c>
      <c r="F378" s="31" t="inlineStr">
        <is>
          <t>2027-01</t>
        </is>
      </c>
      <c r="G378" s="33" t="n">
        <v>46388</v>
      </c>
    </row>
    <row r="379">
      <c r="A379" s="33" t="n">
        <v>46400</v>
      </c>
      <c r="B379" s="31" t="n">
        <v>20270113</v>
      </c>
      <c r="C379" s="31" t="n">
        <v>2027</v>
      </c>
      <c r="D379" s="31" t="inlineStr">
        <is>
          <t>K1</t>
        </is>
      </c>
      <c r="E379" s="31" t="n">
        <v>1</v>
      </c>
      <c r="F379" s="31" t="inlineStr">
        <is>
          <t>2027-01</t>
        </is>
      </c>
      <c r="G379" s="33" t="n">
        <v>46388</v>
      </c>
    </row>
    <row r="380">
      <c r="A380" s="33" t="n">
        <v>46401</v>
      </c>
      <c r="B380" s="31" t="n">
        <v>20270114</v>
      </c>
      <c r="C380" s="31" t="n">
        <v>2027</v>
      </c>
      <c r="D380" s="31" t="inlineStr">
        <is>
          <t>K1</t>
        </is>
      </c>
      <c r="E380" s="31" t="n">
        <v>1</v>
      </c>
      <c r="F380" s="31" t="inlineStr">
        <is>
          <t>2027-01</t>
        </is>
      </c>
      <c r="G380" s="33" t="n">
        <v>46388</v>
      </c>
    </row>
    <row r="381">
      <c r="A381" s="33" t="n">
        <v>46402</v>
      </c>
      <c r="B381" s="31" t="n">
        <v>20270115</v>
      </c>
      <c r="C381" s="31" t="n">
        <v>2027</v>
      </c>
      <c r="D381" s="31" t="inlineStr">
        <is>
          <t>K1</t>
        </is>
      </c>
      <c r="E381" s="31" t="n">
        <v>1</v>
      </c>
      <c r="F381" s="31" t="inlineStr">
        <is>
          <t>2027-01</t>
        </is>
      </c>
      <c r="G381" s="33" t="n">
        <v>46388</v>
      </c>
    </row>
    <row r="382">
      <c r="A382" s="33" t="n">
        <v>46403</v>
      </c>
      <c r="B382" s="31" t="n">
        <v>20270116</v>
      </c>
      <c r="C382" s="31" t="n">
        <v>2027</v>
      </c>
      <c r="D382" s="31" t="inlineStr">
        <is>
          <t>K1</t>
        </is>
      </c>
      <c r="E382" s="31" t="n">
        <v>1</v>
      </c>
      <c r="F382" s="31" t="inlineStr">
        <is>
          <t>2027-01</t>
        </is>
      </c>
      <c r="G382" s="33" t="n">
        <v>46388</v>
      </c>
    </row>
    <row r="383">
      <c r="A383" s="33" t="n">
        <v>46404</v>
      </c>
      <c r="B383" s="31" t="n">
        <v>20270117</v>
      </c>
      <c r="C383" s="31" t="n">
        <v>2027</v>
      </c>
      <c r="D383" s="31" t="inlineStr">
        <is>
          <t>K1</t>
        </is>
      </c>
      <c r="E383" s="31" t="n">
        <v>1</v>
      </c>
      <c r="F383" s="31" t="inlineStr">
        <is>
          <t>2027-01</t>
        </is>
      </c>
      <c r="G383" s="33" t="n">
        <v>46388</v>
      </c>
    </row>
    <row r="384">
      <c r="A384" s="33" t="n">
        <v>46405</v>
      </c>
      <c r="B384" s="31" t="n">
        <v>20270118</v>
      </c>
      <c r="C384" s="31" t="n">
        <v>2027</v>
      </c>
      <c r="D384" s="31" t="inlineStr">
        <is>
          <t>K1</t>
        </is>
      </c>
      <c r="E384" s="31" t="n">
        <v>1</v>
      </c>
      <c r="F384" s="31" t="inlineStr">
        <is>
          <t>2027-01</t>
        </is>
      </c>
      <c r="G384" s="33" t="n">
        <v>46388</v>
      </c>
    </row>
    <row r="385">
      <c r="A385" s="33" t="n">
        <v>46406</v>
      </c>
      <c r="B385" s="31" t="n">
        <v>20270119</v>
      </c>
      <c r="C385" s="31" t="n">
        <v>2027</v>
      </c>
      <c r="D385" s="31" t="inlineStr">
        <is>
          <t>K1</t>
        </is>
      </c>
      <c r="E385" s="31" t="n">
        <v>1</v>
      </c>
      <c r="F385" s="31" t="inlineStr">
        <is>
          <t>2027-01</t>
        </is>
      </c>
      <c r="G385" s="33" t="n">
        <v>46388</v>
      </c>
    </row>
    <row r="386">
      <c r="A386" s="33" t="n">
        <v>46407</v>
      </c>
      <c r="B386" s="31" t="n">
        <v>20270120</v>
      </c>
      <c r="C386" s="31" t="n">
        <v>2027</v>
      </c>
      <c r="D386" s="31" t="inlineStr">
        <is>
          <t>K1</t>
        </is>
      </c>
      <c r="E386" s="31" t="n">
        <v>1</v>
      </c>
      <c r="F386" s="31" t="inlineStr">
        <is>
          <t>2027-01</t>
        </is>
      </c>
      <c r="G386" s="33" t="n">
        <v>46388</v>
      </c>
    </row>
    <row r="387">
      <c r="A387" s="33" t="n">
        <v>46408</v>
      </c>
      <c r="B387" s="31" t="n">
        <v>20270121</v>
      </c>
      <c r="C387" s="31" t="n">
        <v>2027</v>
      </c>
      <c r="D387" s="31" t="inlineStr">
        <is>
          <t>K1</t>
        </is>
      </c>
      <c r="E387" s="31" t="n">
        <v>1</v>
      </c>
      <c r="F387" s="31" t="inlineStr">
        <is>
          <t>2027-01</t>
        </is>
      </c>
      <c r="G387" s="33" t="n">
        <v>46388</v>
      </c>
    </row>
    <row r="388">
      <c r="A388" s="33" t="n">
        <v>46409</v>
      </c>
      <c r="B388" s="31" t="n">
        <v>20270122</v>
      </c>
      <c r="C388" s="31" t="n">
        <v>2027</v>
      </c>
      <c r="D388" s="31" t="inlineStr">
        <is>
          <t>K1</t>
        </is>
      </c>
      <c r="E388" s="31" t="n">
        <v>1</v>
      </c>
      <c r="F388" s="31" t="inlineStr">
        <is>
          <t>2027-01</t>
        </is>
      </c>
      <c r="G388" s="33" t="n">
        <v>46388</v>
      </c>
    </row>
    <row r="389">
      <c r="A389" s="33" t="n">
        <v>46410</v>
      </c>
      <c r="B389" s="31" t="n">
        <v>20270123</v>
      </c>
      <c r="C389" s="31" t="n">
        <v>2027</v>
      </c>
      <c r="D389" s="31" t="inlineStr">
        <is>
          <t>K1</t>
        </is>
      </c>
      <c r="E389" s="31" t="n">
        <v>1</v>
      </c>
      <c r="F389" s="31" t="inlineStr">
        <is>
          <t>2027-01</t>
        </is>
      </c>
      <c r="G389" s="33" t="n">
        <v>46388</v>
      </c>
    </row>
    <row r="390">
      <c r="A390" s="33" t="n">
        <v>46411</v>
      </c>
      <c r="B390" s="31" t="n">
        <v>20270124</v>
      </c>
      <c r="C390" s="31" t="n">
        <v>2027</v>
      </c>
      <c r="D390" s="31" t="inlineStr">
        <is>
          <t>K1</t>
        </is>
      </c>
      <c r="E390" s="31" t="n">
        <v>1</v>
      </c>
      <c r="F390" s="31" t="inlineStr">
        <is>
          <t>2027-01</t>
        </is>
      </c>
      <c r="G390" s="33" t="n">
        <v>46388</v>
      </c>
    </row>
    <row r="391">
      <c r="A391" s="33" t="n">
        <v>46412</v>
      </c>
      <c r="B391" s="31" t="n">
        <v>20270125</v>
      </c>
      <c r="C391" s="31" t="n">
        <v>2027</v>
      </c>
      <c r="D391" s="31" t="inlineStr">
        <is>
          <t>K1</t>
        </is>
      </c>
      <c r="E391" s="31" t="n">
        <v>1</v>
      </c>
      <c r="F391" s="31" t="inlineStr">
        <is>
          <t>2027-01</t>
        </is>
      </c>
      <c r="G391" s="33" t="n">
        <v>46388</v>
      </c>
    </row>
    <row r="392">
      <c r="A392" s="33" t="n">
        <v>46413</v>
      </c>
      <c r="B392" s="31" t="n">
        <v>20270126</v>
      </c>
      <c r="C392" s="31" t="n">
        <v>2027</v>
      </c>
      <c r="D392" s="31" t="inlineStr">
        <is>
          <t>K1</t>
        </is>
      </c>
      <c r="E392" s="31" t="n">
        <v>1</v>
      </c>
      <c r="F392" s="31" t="inlineStr">
        <is>
          <t>2027-01</t>
        </is>
      </c>
      <c r="G392" s="33" t="n">
        <v>46388</v>
      </c>
    </row>
    <row r="393">
      <c r="A393" s="33" t="n">
        <v>46414</v>
      </c>
      <c r="B393" s="31" t="n">
        <v>20270127</v>
      </c>
      <c r="C393" s="31" t="n">
        <v>2027</v>
      </c>
      <c r="D393" s="31" t="inlineStr">
        <is>
          <t>K1</t>
        </is>
      </c>
      <c r="E393" s="31" t="n">
        <v>1</v>
      </c>
      <c r="F393" s="31" t="inlineStr">
        <is>
          <t>2027-01</t>
        </is>
      </c>
      <c r="G393" s="33" t="n">
        <v>46388</v>
      </c>
    </row>
    <row r="394">
      <c r="A394" s="33" t="n">
        <v>46415</v>
      </c>
      <c r="B394" s="31" t="n">
        <v>20270128</v>
      </c>
      <c r="C394" s="31" t="n">
        <v>2027</v>
      </c>
      <c r="D394" s="31" t="inlineStr">
        <is>
          <t>K1</t>
        </is>
      </c>
      <c r="E394" s="31" t="n">
        <v>1</v>
      </c>
      <c r="F394" s="31" t="inlineStr">
        <is>
          <t>2027-01</t>
        </is>
      </c>
      <c r="G394" s="33" t="n">
        <v>46388</v>
      </c>
    </row>
    <row r="395">
      <c r="A395" s="33" t="n">
        <v>46416</v>
      </c>
      <c r="B395" s="31" t="n">
        <v>20270129</v>
      </c>
      <c r="C395" s="31" t="n">
        <v>2027</v>
      </c>
      <c r="D395" s="31" t="inlineStr">
        <is>
          <t>K1</t>
        </is>
      </c>
      <c r="E395" s="31" t="n">
        <v>1</v>
      </c>
      <c r="F395" s="31" t="inlineStr">
        <is>
          <t>2027-01</t>
        </is>
      </c>
      <c r="G395" s="33" t="n">
        <v>46388</v>
      </c>
    </row>
    <row r="396">
      <c r="A396" s="33" t="n">
        <v>46417</v>
      </c>
      <c r="B396" s="31" t="n">
        <v>20270130</v>
      </c>
      <c r="C396" s="31" t="n">
        <v>2027</v>
      </c>
      <c r="D396" s="31" t="inlineStr">
        <is>
          <t>K1</t>
        </is>
      </c>
      <c r="E396" s="31" t="n">
        <v>1</v>
      </c>
      <c r="F396" s="31" t="inlineStr">
        <is>
          <t>2027-01</t>
        </is>
      </c>
      <c r="G396" s="33" t="n">
        <v>46388</v>
      </c>
    </row>
    <row r="397">
      <c r="A397" s="33" t="n">
        <v>46418</v>
      </c>
      <c r="B397" s="31" t="n">
        <v>20270131</v>
      </c>
      <c r="C397" s="31" t="n">
        <v>2027</v>
      </c>
      <c r="D397" s="31" t="inlineStr">
        <is>
          <t>K1</t>
        </is>
      </c>
      <c r="E397" s="31" t="n">
        <v>1</v>
      </c>
      <c r="F397" s="31" t="inlineStr">
        <is>
          <t>2027-01</t>
        </is>
      </c>
      <c r="G397" s="33" t="n">
        <v>46388</v>
      </c>
    </row>
    <row r="398">
      <c r="A398" s="33" t="n">
        <v>46419</v>
      </c>
      <c r="B398" s="31" t="n">
        <v>20270201</v>
      </c>
      <c r="C398" s="31" t="n">
        <v>2027</v>
      </c>
      <c r="D398" s="31" t="inlineStr">
        <is>
          <t>K1</t>
        </is>
      </c>
      <c r="E398" s="31" t="n">
        <v>2</v>
      </c>
      <c r="F398" s="31" t="inlineStr">
        <is>
          <t>2027-02</t>
        </is>
      </c>
      <c r="G398" s="33" t="n">
        <v>46419</v>
      </c>
    </row>
    <row r="399">
      <c r="A399" s="33" t="n">
        <v>46420</v>
      </c>
      <c r="B399" s="31" t="n">
        <v>20270202</v>
      </c>
      <c r="C399" s="31" t="n">
        <v>2027</v>
      </c>
      <c r="D399" s="31" t="inlineStr">
        <is>
          <t>K1</t>
        </is>
      </c>
      <c r="E399" s="31" t="n">
        <v>2</v>
      </c>
      <c r="F399" s="31" t="inlineStr">
        <is>
          <t>2027-02</t>
        </is>
      </c>
      <c r="G399" s="33" t="n">
        <v>46419</v>
      </c>
    </row>
    <row r="400">
      <c r="A400" s="33" t="n">
        <v>46421</v>
      </c>
      <c r="B400" s="31" t="n">
        <v>20270203</v>
      </c>
      <c r="C400" s="31" t="n">
        <v>2027</v>
      </c>
      <c r="D400" s="31" t="inlineStr">
        <is>
          <t>K1</t>
        </is>
      </c>
      <c r="E400" s="31" t="n">
        <v>2</v>
      </c>
      <c r="F400" s="31" t="inlineStr">
        <is>
          <t>2027-02</t>
        </is>
      </c>
      <c r="G400" s="33" t="n">
        <v>46419</v>
      </c>
    </row>
    <row r="401">
      <c r="A401" s="33" t="n">
        <v>46422</v>
      </c>
      <c r="B401" s="31" t="n">
        <v>20270204</v>
      </c>
      <c r="C401" s="31" t="n">
        <v>2027</v>
      </c>
      <c r="D401" s="31" t="inlineStr">
        <is>
          <t>K1</t>
        </is>
      </c>
      <c r="E401" s="31" t="n">
        <v>2</v>
      </c>
      <c r="F401" s="31" t="inlineStr">
        <is>
          <t>2027-02</t>
        </is>
      </c>
      <c r="G401" s="33" t="n">
        <v>46419</v>
      </c>
    </row>
    <row r="402">
      <c r="A402" s="33" t="n">
        <v>46423</v>
      </c>
      <c r="B402" s="31" t="n">
        <v>20270205</v>
      </c>
      <c r="C402" s="31" t="n">
        <v>2027</v>
      </c>
      <c r="D402" s="31" t="inlineStr">
        <is>
          <t>K1</t>
        </is>
      </c>
      <c r="E402" s="31" t="n">
        <v>2</v>
      </c>
      <c r="F402" s="31" t="inlineStr">
        <is>
          <t>2027-02</t>
        </is>
      </c>
      <c r="G402" s="33" t="n">
        <v>46419</v>
      </c>
    </row>
    <row r="403">
      <c r="A403" s="33" t="n">
        <v>46424</v>
      </c>
      <c r="B403" s="31" t="n">
        <v>20270206</v>
      </c>
      <c r="C403" s="31" t="n">
        <v>2027</v>
      </c>
      <c r="D403" s="31" t="inlineStr">
        <is>
          <t>K1</t>
        </is>
      </c>
      <c r="E403" s="31" t="n">
        <v>2</v>
      </c>
      <c r="F403" s="31" t="inlineStr">
        <is>
          <t>2027-02</t>
        </is>
      </c>
      <c r="G403" s="33" t="n">
        <v>46419</v>
      </c>
    </row>
    <row r="404">
      <c r="A404" s="33" t="n">
        <v>46425</v>
      </c>
      <c r="B404" s="31" t="n">
        <v>20270207</v>
      </c>
      <c r="C404" s="31" t="n">
        <v>2027</v>
      </c>
      <c r="D404" s="31" t="inlineStr">
        <is>
          <t>K1</t>
        </is>
      </c>
      <c r="E404" s="31" t="n">
        <v>2</v>
      </c>
      <c r="F404" s="31" t="inlineStr">
        <is>
          <t>2027-02</t>
        </is>
      </c>
      <c r="G404" s="33" t="n">
        <v>46419</v>
      </c>
    </row>
    <row r="405">
      <c r="A405" s="33" t="n">
        <v>46426</v>
      </c>
      <c r="B405" s="31" t="n">
        <v>20270208</v>
      </c>
      <c r="C405" s="31" t="n">
        <v>2027</v>
      </c>
      <c r="D405" s="31" t="inlineStr">
        <is>
          <t>K1</t>
        </is>
      </c>
      <c r="E405" s="31" t="n">
        <v>2</v>
      </c>
      <c r="F405" s="31" t="inlineStr">
        <is>
          <t>2027-02</t>
        </is>
      </c>
      <c r="G405" s="33" t="n">
        <v>46419</v>
      </c>
    </row>
    <row r="406">
      <c r="A406" s="33" t="n">
        <v>46427</v>
      </c>
      <c r="B406" s="31" t="n">
        <v>20270209</v>
      </c>
      <c r="C406" s="31" t="n">
        <v>2027</v>
      </c>
      <c r="D406" s="31" t="inlineStr">
        <is>
          <t>K1</t>
        </is>
      </c>
      <c r="E406" s="31" t="n">
        <v>2</v>
      </c>
      <c r="F406" s="31" t="inlineStr">
        <is>
          <t>2027-02</t>
        </is>
      </c>
      <c r="G406" s="33" t="n">
        <v>46419</v>
      </c>
    </row>
    <row r="407">
      <c r="A407" s="33" t="n">
        <v>46428</v>
      </c>
      <c r="B407" s="31" t="n">
        <v>20270210</v>
      </c>
      <c r="C407" s="31" t="n">
        <v>2027</v>
      </c>
      <c r="D407" s="31" t="inlineStr">
        <is>
          <t>K1</t>
        </is>
      </c>
      <c r="E407" s="31" t="n">
        <v>2</v>
      </c>
      <c r="F407" s="31" t="inlineStr">
        <is>
          <t>2027-02</t>
        </is>
      </c>
      <c r="G407" s="33" t="n">
        <v>46419</v>
      </c>
    </row>
    <row r="408">
      <c r="A408" s="33" t="n">
        <v>46429</v>
      </c>
      <c r="B408" s="31" t="n">
        <v>20270211</v>
      </c>
      <c r="C408" s="31" t="n">
        <v>2027</v>
      </c>
      <c r="D408" s="31" t="inlineStr">
        <is>
          <t>K1</t>
        </is>
      </c>
      <c r="E408" s="31" t="n">
        <v>2</v>
      </c>
      <c r="F408" s="31" t="inlineStr">
        <is>
          <t>2027-02</t>
        </is>
      </c>
      <c r="G408" s="33" t="n">
        <v>46419</v>
      </c>
    </row>
    <row r="409">
      <c r="A409" s="33" t="n">
        <v>46430</v>
      </c>
      <c r="B409" s="31" t="n">
        <v>20270212</v>
      </c>
      <c r="C409" s="31" t="n">
        <v>2027</v>
      </c>
      <c r="D409" s="31" t="inlineStr">
        <is>
          <t>K1</t>
        </is>
      </c>
      <c r="E409" s="31" t="n">
        <v>2</v>
      </c>
      <c r="F409" s="31" t="inlineStr">
        <is>
          <t>2027-02</t>
        </is>
      </c>
      <c r="G409" s="33" t="n">
        <v>46419</v>
      </c>
    </row>
    <row r="410">
      <c r="A410" s="33" t="n">
        <v>46431</v>
      </c>
      <c r="B410" s="31" t="n">
        <v>20270213</v>
      </c>
      <c r="C410" s="31" t="n">
        <v>2027</v>
      </c>
      <c r="D410" s="31" t="inlineStr">
        <is>
          <t>K1</t>
        </is>
      </c>
      <c r="E410" s="31" t="n">
        <v>2</v>
      </c>
      <c r="F410" s="31" t="inlineStr">
        <is>
          <t>2027-02</t>
        </is>
      </c>
      <c r="G410" s="33" t="n">
        <v>46419</v>
      </c>
    </row>
    <row r="411">
      <c r="A411" s="33" t="n">
        <v>46432</v>
      </c>
      <c r="B411" s="31" t="n">
        <v>20270214</v>
      </c>
      <c r="C411" s="31" t="n">
        <v>2027</v>
      </c>
      <c r="D411" s="31" t="inlineStr">
        <is>
          <t>K1</t>
        </is>
      </c>
      <c r="E411" s="31" t="n">
        <v>2</v>
      </c>
      <c r="F411" s="31" t="inlineStr">
        <is>
          <t>2027-02</t>
        </is>
      </c>
      <c r="G411" s="33" t="n">
        <v>46419</v>
      </c>
    </row>
    <row r="412">
      <c r="A412" s="33" t="n">
        <v>46433</v>
      </c>
      <c r="B412" s="31" t="n">
        <v>20270215</v>
      </c>
      <c r="C412" s="31" t="n">
        <v>2027</v>
      </c>
      <c r="D412" s="31" t="inlineStr">
        <is>
          <t>K1</t>
        </is>
      </c>
      <c r="E412" s="31" t="n">
        <v>2</v>
      </c>
      <c r="F412" s="31" t="inlineStr">
        <is>
          <t>2027-02</t>
        </is>
      </c>
      <c r="G412" s="33" t="n">
        <v>46419</v>
      </c>
    </row>
    <row r="413">
      <c r="A413" s="33" t="n">
        <v>46434</v>
      </c>
      <c r="B413" s="31" t="n">
        <v>20270216</v>
      </c>
      <c r="C413" s="31" t="n">
        <v>2027</v>
      </c>
      <c r="D413" s="31" t="inlineStr">
        <is>
          <t>K1</t>
        </is>
      </c>
      <c r="E413" s="31" t="n">
        <v>2</v>
      </c>
      <c r="F413" s="31" t="inlineStr">
        <is>
          <t>2027-02</t>
        </is>
      </c>
      <c r="G413" s="33" t="n">
        <v>46419</v>
      </c>
    </row>
    <row r="414">
      <c r="A414" s="33" t="n">
        <v>46435</v>
      </c>
      <c r="B414" s="31" t="n">
        <v>20270217</v>
      </c>
      <c r="C414" s="31" t="n">
        <v>2027</v>
      </c>
      <c r="D414" s="31" t="inlineStr">
        <is>
          <t>K1</t>
        </is>
      </c>
      <c r="E414" s="31" t="n">
        <v>2</v>
      </c>
      <c r="F414" s="31" t="inlineStr">
        <is>
          <t>2027-02</t>
        </is>
      </c>
      <c r="G414" s="33" t="n">
        <v>46419</v>
      </c>
    </row>
    <row r="415">
      <c r="A415" s="33" t="n">
        <v>46436</v>
      </c>
      <c r="B415" s="31" t="n">
        <v>20270218</v>
      </c>
      <c r="C415" s="31" t="n">
        <v>2027</v>
      </c>
      <c r="D415" s="31" t="inlineStr">
        <is>
          <t>K1</t>
        </is>
      </c>
      <c r="E415" s="31" t="n">
        <v>2</v>
      </c>
      <c r="F415" s="31" t="inlineStr">
        <is>
          <t>2027-02</t>
        </is>
      </c>
      <c r="G415" s="33" t="n">
        <v>46419</v>
      </c>
    </row>
    <row r="416">
      <c r="A416" s="33" t="n">
        <v>46437</v>
      </c>
      <c r="B416" s="31" t="n">
        <v>20270219</v>
      </c>
      <c r="C416" s="31" t="n">
        <v>2027</v>
      </c>
      <c r="D416" s="31" t="inlineStr">
        <is>
          <t>K1</t>
        </is>
      </c>
      <c r="E416" s="31" t="n">
        <v>2</v>
      </c>
      <c r="F416" s="31" t="inlineStr">
        <is>
          <t>2027-02</t>
        </is>
      </c>
      <c r="G416" s="33" t="n">
        <v>46419</v>
      </c>
    </row>
    <row r="417">
      <c r="A417" s="33" t="n">
        <v>46438</v>
      </c>
      <c r="B417" s="31" t="n">
        <v>20270220</v>
      </c>
      <c r="C417" s="31" t="n">
        <v>2027</v>
      </c>
      <c r="D417" s="31" t="inlineStr">
        <is>
          <t>K1</t>
        </is>
      </c>
      <c r="E417" s="31" t="n">
        <v>2</v>
      </c>
      <c r="F417" s="31" t="inlineStr">
        <is>
          <t>2027-02</t>
        </is>
      </c>
      <c r="G417" s="33" t="n">
        <v>46419</v>
      </c>
    </row>
    <row r="418">
      <c r="A418" s="33" t="n">
        <v>46439</v>
      </c>
      <c r="B418" s="31" t="n">
        <v>20270221</v>
      </c>
      <c r="C418" s="31" t="n">
        <v>2027</v>
      </c>
      <c r="D418" s="31" t="inlineStr">
        <is>
          <t>K1</t>
        </is>
      </c>
      <c r="E418" s="31" t="n">
        <v>2</v>
      </c>
      <c r="F418" s="31" t="inlineStr">
        <is>
          <t>2027-02</t>
        </is>
      </c>
      <c r="G418" s="33" t="n">
        <v>46419</v>
      </c>
    </row>
    <row r="419">
      <c r="A419" s="33" t="n">
        <v>46440</v>
      </c>
      <c r="B419" s="31" t="n">
        <v>20270222</v>
      </c>
      <c r="C419" s="31" t="n">
        <v>2027</v>
      </c>
      <c r="D419" s="31" t="inlineStr">
        <is>
          <t>K1</t>
        </is>
      </c>
      <c r="E419" s="31" t="n">
        <v>2</v>
      </c>
      <c r="F419" s="31" t="inlineStr">
        <is>
          <t>2027-02</t>
        </is>
      </c>
      <c r="G419" s="33" t="n">
        <v>46419</v>
      </c>
    </row>
    <row r="420">
      <c r="A420" s="33" t="n">
        <v>46441</v>
      </c>
      <c r="B420" s="31" t="n">
        <v>20270223</v>
      </c>
      <c r="C420" s="31" t="n">
        <v>2027</v>
      </c>
      <c r="D420" s="31" t="inlineStr">
        <is>
          <t>K1</t>
        </is>
      </c>
      <c r="E420" s="31" t="n">
        <v>2</v>
      </c>
      <c r="F420" s="31" t="inlineStr">
        <is>
          <t>2027-02</t>
        </is>
      </c>
      <c r="G420" s="33" t="n">
        <v>46419</v>
      </c>
    </row>
    <row r="421">
      <c r="A421" s="33" t="n">
        <v>46442</v>
      </c>
      <c r="B421" s="31" t="n">
        <v>20270224</v>
      </c>
      <c r="C421" s="31" t="n">
        <v>2027</v>
      </c>
      <c r="D421" s="31" t="inlineStr">
        <is>
          <t>K1</t>
        </is>
      </c>
      <c r="E421" s="31" t="n">
        <v>2</v>
      </c>
      <c r="F421" s="31" t="inlineStr">
        <is>
          <t>2027-02</t>
        </is>
      </c>
      <c r="G421" s="33" t="n">
        <v>46419</v>
      </c>
    </row>
    <row r="422">
      <c r="A422" s="33" t="n">
        <v>46443</v>
      </c>
      <c r="B422" s="31" t="n">
        <v>20270225</v>
      </c>
      <c r="C422" s="31" t="n">
        <v>2027</v>
      </c>
      <c r="D422" s="31" t="inlineStr">
        <is>
          <t>K1</t>
        </is>
      </c>
      <c r="E422" s="31" t="n">
        <v>2</v>
      </c>
      <c r="F422" s="31" t="inlineStr">
        <is>
          <t>2027-02</t>
        </is>
      </c>
      <c r="G422" s="33" t="n">
        <v>46419</v>
      </c>
    </row>
    <row r="423">
      <c r="A423" s="33" t="n">
        <v>46444</v>
      </c>
      <c r="B423" s="31" t="n">
        <v>20270226</v>
      </c>
      <c r="C423" s="31" t="n">
        <v>2027</v>
      </c>
      <c r="D423" s="31" t="inlineStr">
        <is>
          <t>K1</t>
        </is>
      </c>
      <c r="E423" s="31" t="n">
        <v>2</v>
      </c>
      <c r="F423" s="31" t="inlineStr">
        <is>
          <t>2027-02</t>
        </is>
      </c>
      <c r="G423" s="33" t="n">
        <v>46419</v>
      </c>
    </row>
    <row r="424">
      <c r="A424" s="33" t="n">
        <v>46445</v>
      </c>
      <c r="B424" s="31" t="n">
        <v>20270227</v>
      </c>
      <c r="C424" s="31" t="n">
        <v>2027</v>
      </c>
      <c r="D424" s="31" t="inlineStr">
        <is>
          <t>K1</t>
        </is>
      </c>
      <c r="E424" s="31" t="n">
        <v>2</v>
      </c>
      <c r="F424" s="31" t="inlineStr">
        <is>
          <t>2027-02</t>
        </is>
      </c>
      <c r="G424" s="33" t="n">
        <v>46419</v>
      </c>
    </row>
    <row r="425">
      <c r="A425" s="33" t="n">
        <v>46446</v>
      </c>
      <c r="B425" s="31" t="n">
        <v>20270228</v>
      </c>
      <c r="C425" s="31" t="n">
        <v>2027</v>
      </c>
      <c r="D425" s="31" t="inlineStr">
        <is>
          <t>K1</t>
        </is>
      </c>
      <c r="E425" s="31" t="n">
        <v>2</v>
      </c>
      <c r="F425" s="31" t="inlineStr">
        <is>
          <t>2027-02</t>
        </is>
      </c>
      <c r="G425" s="33" t="n">
        <v>46419</v>
      </c>
    </row>
    <row r="426">
      <c r="A426" s="33" t="n">
        <v>46447</v>
      </c>
      <c r="B426" s="31" t="n">
        <v>20270301</v>
      </c>
      <c r="C426" s="31" t="n">
        <v>2027</v>
      </c>
      <c r="D426" s="31" t="inlineStr">
        <is>
          <t>K1</t>
        </is>
      </c>
      <c r="E426" s="31" t="n">
        <v>3</v>
      </c>
      <c r="F426" s="31" t="inlineStr">
        <is>
          <t>2027-03</t>
        </is>
      </c>
      <c r="G426" s="33" t="n">
        <v>46447</v>
      </c>
    </row>
    <row r="427">
      <c r="A427" s="33" t="n">
        <v>46448</v>
      </c>
      <c r="B427" s="31" t="n">
        <v>20270302</v>
      </c>
      <c r="C427" s="31" t="n">
        <v>2027</v>
      </c>
      <c r="D427" s="31" t="inlineStr">
        <is>
          <t>K1</t>
        </is>
      </c>
      <c r="E427" s="31" t="n">
        <v>3</v>
      </c>
      <c r="F427" s="31" t="inlineStr">
        <is>
          <t>2027-03</t>
        </is>
      </c>
      <c r="G427" s="33" t="n">
        <v>46447</v>
      </c>
    </row>
    <row r="428">
      <c r="A428" s="33" t="n">
        <v>46449</v>
      </c>
      <c r="B428" s="31" t="n">
        <v>20270303</v>
      </c>
      <c r="C428" s="31" t="n">
        <v>2027</v>
      </c>
      <c r="D428" s="31" t="inlineStr">
        <is>
          <t>K1</t>
        </is>
      </c>
      <c r="E428" s="31" t="n">
        <v>3</v>
      </c>
      <c r="F428" s="31" t="inlineStr">
        <is>
          <t>2027-03</t>
        </is>
      </c>
      <c r="G428" s="33" t="n">
        <v>46447</v>
      </c>
    </row>
    <row r="429">
      <c r="A429" s="33" t="n">
        <v>46450</v>
      </c>
      <c r="B429" s="31" t="n">
        <v>20270304</v>
      </c>
      <c r="C429" s="31" t="n">
        <v>2027</v>
      </c>
      <c r="D429" s="31" t="inlineStr">
        <is>
          <t>K1</t>
        </is>
      </c>
      <c r="E429" s="31" t="n">
        <v>3</v>
      </c>
      <c r="F429" s="31" t="inlineStr">
        <is>
          <t>2027-03</t>
        </is>
      </c>
      <c r="G429" s="33" t="n">
        <v>46447</v>
      </c>
    </row>
    <row r="430">
      <c r="A430" s="33" t="n">
        <v>46451</v>
      </c>
      <c r="B430" s="31" t="n">
        <v>20270305</v>
      </c>
      <c r="C430" s="31" t="n">
        <v>2027</v>
      </c>
      <c r="D430" s="31" t="inlineStr">
        <is>
          <t>K1</t>
        </is>
      </c>
      <c r="E430" s="31" t="n">
        <v>3</v>
      </c>
      <c r="F430" s="31" t="inlineStr">
        <is>
          <t>2027-03</t>
        </is>
      </c>
      <c r="G430" s="33" t="n">
        <v>46447</v>
      </c>
    </row>
    <row r="431">
      <c r="A431" s="33" t="n">
        <v>46452</v>
      </c>
      <c r="B431" s="31" t="n">
        <v>20270306</v>
      </c>
      <c r="C431" s="31" t="n">
        <v>2027</v>
      </c>
      <c r="D431" s="31" t="inlineStr">
        <is>
          <t>K1</t>
        </is>
      </c>
      <c r="E431" s="31" t="n">
        <v>3</v>
      </c>
      <c r="F431" s="31" t="inlineStr">
        <is>
          <t>2027-03</t>
        </is>
      </c>
      <c r="G431" s="33" t="n">
        <v>46447</v>
      </c>
    </row>
    <row r="432">
      <c r="A432" s="33" t="n">
        <v>46453</v>
      </c>
      <c r="B432" s="31" t="n">
        <v>20270307</v>
      </c>
      <c r="C432" s="31" t="n">
        <v>2027</v>
      </c>
      <c r="D432" s="31" t="inlineStr">
        <is>
          <t>K1</t>
        </is>
      </c>
      <c r="E432" s="31" t="n">
        <v>3</v>
      </c>
      <c r="F432" s="31" t="inlineStr">
        <is>
          <t>2027-03</t>
        </is>
      </c>
      <c r="G432" s="33" t="n">
        <v>46447</v>
      </c>
    </row>
    <row r="433">
      <c r="A433" s="33" t="n">
        <v>46454</v>
      </c>
      <c r="B433" s="31" t="n">
        <v>20270308</v>
      </c>
      <c r="C433" s="31" t="n">
        <v>2027</v>
      </c>
      <c r="D433" s="31" t="inlineStr">
        <is>
          <t>K1</t>
        </is>
      </c>
      <c r="E433" s="31" t="n">
        <v>3</v>
      </c>
      <c r="F433" s="31" t="inlineStr">
        <is>
          <t>2027-03</t>
        </is>
      </c>
      <c r="G433" s="33" t="n">
        <v>46447</v>
      </c>
    </row>
    <row r="434">
      <c r="A434" s="33" t="n">
        <v>46455</v>
      </c>
      <c r="B434" s="31" t="n">
        <v>20270309</v>
      </c>
      <c r="C434" s="31" t="n">
        <v>2027</v>
      </c>
      <c r="D434" s="31" t="inlineStr">
        <is>
          <t>K1</t>
        </is>
      </c>
      <c r="E434" s="31" t="n">
        <v>3</v>
      </c>
      <c r="F434" s="31" t="inlineStr">
        <is>
          <t>2027-03</t>
        </is>
      </c>
      <c r="G434" s="33" t="n">
        <v>46447</v>
      </c>
    </row>
    <row r="435">
      <c r="A435" s="33" t="n">
        <v>46456</v>
      </c>
      <c r="B435" s="31" t="n">
        <v>20270310</v>
      </c>
      <c r="C435" s="31" t="n">
        <v>2027</v>
      </c>
      <c r="D435" s="31" t="inlineStr">
        <is>
          <t>K1</t>
        </is>
      </c>
      <c r="E435" s="31" t="n">
        <v>3</v>
      </c>
      <c r="F435" s="31" t="inlineStr">
        <is>
          <t>2027-03</t>
        </is>
      </c>
      <c r="G435" s="33" t="n">
        <v>46447</v>
      </c>
    </row>
    <row r="436">
      <c r="A436" s="33" t="n">
        <v>46457</v>
      </c>
      <c r="B436" s="31" t="n">
        <v>20270311</v>
      </c>
      <c r="C436" s="31" t="n">
        <v>2027</v>
      </c>
      <c r="D436" s="31" t="inlineStr">
        <is>
          <t>K1</t>
        </is>
      </c>
      <c r="E436" s="31" t="n">
        <v>3</v>
      </c>
      <c r="F436" s="31" t="inlineStr">
        <is>
          <t>2027-03</t>
        </is>
      </c>
      <c r="G436" s="33" t="n">
        <v>46447</v>
      </c>
    </row>
    <row r="437">
      <c r="A437" s="33" t="n">
        <v>46458</v>
      </c>
      <c r="B437" s="31" t="n">
        <v>20270312</v>
      </c>
      <c r="C437" s="31" t="n">
        <v>2027</v>
      </c>
      <c r="D437" s="31" t="inlineStr">
        <is>
          <t>K1</t>
        </is>
      </c>
      <c r="E437" s="31" t="n">
        <v>3</v>
      </c>
      <c r="F437" s="31" t="inlineStr">
        <is>
          <t>2027-03</t>
        </is>
      </c>
      <c r="G437" s="33" t="n">
        <v>46447</v>
      </c>
    </row>
    <row r="438">
      <c r="A438" s="33" t="n">
        <v>46459</v>
      </c>
      <c r="B438" s="31" t="n">
        <v>20270313</v>
      </c>
      <c r="C438" s="31" t="n">
        <v>2027</v>
      </c>
      <c r="D438" s="31" t="inlineStr">
        <is>
          <t>K1</t>
        </is>
      </c>
      <c r="E438" s="31" t="n">
        <v>3</v>
      </c>
      <c r="F438" s="31" t="inlineStr">
        <is>
          <t>2027-03</t>
        </is>
      </c>
      <c r="G438" s="33" t="n">
        <v>46447</v>
      </c>
    </row>
    <row r="439">
      <c r="A439" s="33" t="n">
        <v>46460</v>
      </c>
      <c r="B439" s="31" t="n">
        <v>20270314</v>
      </c>
      <c r="C439" s="31" t="n">
        <v>2027</v>
      </c>
      <c r="D439" s="31" t="inlineStr">
        <is>
          <t>K1</t>
        </is>
      </c>
      <c r="E439" s="31" t="n">
        <v>3</v>
      </c>
      <c r="F439" s="31" t="inlineStr">
        <is>
          <t>2027-03</t>
        </is>
      </c>
      <c r="G439" s="33" t="n">
        <v>46447</v>
      </c>
    </row>
    <row r="440">
      <c r="A440" s="33" t="n">
        <v>46461</v>
      </c>
      <c r="B440" s="31" t="n">
        <v>20270315</v>
      </c>
      <c r="C440" s="31" t="n">
        <v>2027</v>
      </c>
      <c r="D440" s="31" t="inlineStr">
        <is>
          <t>K1</t>
        </is>
      </c>
      <c r="E440" s="31" t="n">
        <v>3</v>
      </c>
      <c r="F440" s="31" t="inlineStr">
        <is>
          <t>2027-03</t>
        </is>
      </c>
      <c r="G440" s="33" t="n">
        <v>46447</v>
      </c>
    </row>
    <row r="441">
      <c r="A441" s="33" t="n">
        <v>46462</v>
      </c>
      <c r="B441" s="31" t="n">
        <v>20270316</v>
      </c>
      <c r="C441" s="31" t="n">
        <v>2027</v>
      </c>
      <c r="D441" s="31" t="inlineStr">
        <is>
          <t>K1</t>
        </is>
      </c>
      <c r="E441" s="31" t="n">
        <v>3</v>
      </c>
      <c r="F441" s="31" t="inlineStr">
        <is>
          <t>2027-03</t>
        </is>
      </c>
      <c r="G441" s="33" t="n">
        <v>46447</v>
      </c>
    </row>
    <row r="442">
      <c r="A442" s="33" t="n">
        <v>46463</v>
      </c>
      <c r="B442" s="31" t="n">
        <v>20270317</v>
      </c>
      <c r="C442" s="31" t="n">
        <v>2027</v>
      </c>
      <c r="D442" s="31" t="inlineStr">
        <is>
          <t>K1</t>
        </is>
      </c>
      <c r="E442" s="31" t="n">
        <v>3</v>
      </c>
      <c r="F442" s="31" t="inlineStr">
        <is>
          <t>2027-03</t>
        </is>
      </c>
      <c r="G442" s="33" t="n">
        <v>46447</v>
      </c>
    </row>
    <row r="443">
      <c r="A443" s="33" t="n">
        <v>46464</v>
      </c>
      <c r="B443" s="31" t="n">
        <v>20270318</v>
      </c>
      <c r="C443" s="31" t="n">
        <v>2027</v>
      </c>
      <c r="D443" s="31" t="inlineStr">
        <is>
          <t>K1</t>
        </is>
      </c>
      <c r="E443" s="31" t="n">
        <v>3</v>
      </c>
      <c r="F443" s="31" t="inlineStr">
        <is>
          <t>2027-03</t>
        </is>
      </c>
      <c r="G443" s="33" t="n">
        <v>46447</v>
      </c>
    </row>
    <row r="444">
      <c r="A444" s="33" t="n">
        <v>46465</v>
      </c>
      <c r="B444" s="31" t="n">
        <v>20270319</v>
      </c>
      <c r="C444" s="31" t="n">
        <v>2027</v>
      </c>
      <c r="D444" s="31" t="inlineStr">
        <is>
          <t>K1</t>
        </is>
      </c>
      <c r="E444" s="31" t="n">
        <v>3</v>
      </c>
      <c r="F444" s="31" t="inlineStr">
        <is>
          <t>2027-03</t>
        </is>
      </c>
      <c r="G444" s="33" t="n">
        <v>46447</v>
      </c>
    </row>
    <row r="445">
      <c r="A445" s="33" t="n">
        <v>46466</v>
      </c>
      <c r="B445" s="31" t="n">
        <v>20270320</v>
      </c>
      <c r="C445" s="31" t="n">
        <v>2027</v>
      </c>
      <c r="D445" s="31" t="inlineStr">
        <is>
          <t>K1</t>
        </is>
      </c>
      <c r="E445" s="31" t="n">
        <v>3</v>
      </c>
      <c r="F445" s="31" t="inlineStr">
        <is>
          <t>2027-03</t>
        </is>
      </c>
      <c r="G445" s="33" t="n">
        <v>46447</v>
      </c>
    </row>
    <row r="446">
      <c r="A446" s="33" t="n">
        <v>46467</v>
      </c>
      <c r="B446" s="31" t="n">
        <v>20270321</v>
      </c>
      <c r="C446" s="31" t="n">
        <v>2027</v>
      </c>
      <c r="D446" s="31" t="inlineStr">
        <is>
          <t>K1</t>
        </is>
      </c>
      <c r="E446" s="31" t="n">
        <v>3</v>
      </c>
      <c r="F446" s="31" t="inlineStr">
        <is>
          <t>2027-03</t>
        </is>
      </c>
      <c r="G446" s="33" t="n">
        <v>46447</v>
      </c>
    </row>
    <row r="447">
      <c r="A447" s="33" t="n">
        <v>46468</v>
      </c>
      <c r="B447" s="31" t="n">
        <v>20270322</v>
      </c>
      <c r="C447" s="31" t="n">
        <v>2027</v>
      </c>
      <c r="D447" s="31" t="inlineStr">
        <is>
          <t>K1</t>
        </is>
      </c>
      <c r="E447" s="31" t="n">
        <v>3</v>
      </c>
      <c r="F447" s="31" t="inlineStr">
        <is>
          <t>2027-03</t>
        </is>
      </c>
      <c r="G447" s="33" t="n">
        <v>46447</v>
      </c>
    </row>
    <row r="448">
      <c r="A448" s="33" t="n">
        <v>46469</v>
      </c>
      <c r="B448" s="31" t="n">
        <v>20270323</v>
      </c>
      <c r="C448" s="31" t="n">
        <v>2027</v>
      </c>
      <c r="D448" s="31" t="inlineStr">
        <is>
          <t>K1</t>
        </is>
      </c>
      <c r="E448" s="31" t="n">
        <v>3</v>
      </c>
      <c r="F448" s="31" t="inlineStr">
        <is>
          <t>2027-03</t>
        </is>
      </c>
      <c r="G448" s="33" t="n">
        <v>46447</v>
      </c>
    </row>
    <row r="449">
      <c r="A449" s="33" t="n">
        <v>46470</v>
      </c>
      <c r="B449" s="31" t="n">
        <v>20270324</v>
      </c>
      <c r="C449" s="31" t="n">
        <v>2027</v>
      </c>
      <c r="D449" s="31" t="inlineStr">
        <is>
          <t>K1</t>
        </is>
      </c>
      <c r="E449" s="31" t="n">
        <v>3</v>
      </c>
      <c r="F449" s="31" t="inlineStr">
        <is>
          <t>2027-03</t>
        </is>
      </c>
      <c r="G449" s="33" t="n">
        <v>46447</v>
      </c>
    </row>
    <row r="450">
      <c r="A450" s="33" t="n">
        <v>46471</v>
      </c>
      <c r="B450" s="31" t="n">
        <v>20270325</v>
      </c>
      <c r="C450" s="31" t="n">
        <v>2027</v>
      </c>
      <c r="D450" s="31" t="inlineStr">
        <is>
          <t>K1</t>
        </is>
      </c>
      <c r="E450" s="31" t="n">
        <v>3</v>
      </c>
      <c r="F450" s="31" t="inlineStr">
        <is>
          <t>2027-03</t>
        </is>
      </c>
      <c r="G450" s="33" t="n">
        <v>46447</v>
      </c>
    </row>
    <row r="451">
      <c r="A451" s="33" t="n">
        <v>46472</v>
      </c>
      <c r="B451" s="31" t="n">
        <v>20270326</v>
      </c>
      <c r="C451" s="31" t="n">
        <v>2027</v>
      </c>
      <c r="D451" s="31" t="inlineStr">
        <is>
          <t>K1</t>
        </is>
      </c>
      <c r="E451" s="31" t="n">
        <v>3</v>
      </c>
      <c r="F451" s="31" t="inlineStr">
        <is>
          <t>2027-03</t>
        </is>
      </c>
      <c r="G451" s="33" t="n">
        <v>46447</v>
      </c>
    </row>
    <row r="452">
      <c r="A452" s="33" t="n">
        <v>46473</v>
      </c>
      <c r="B452" s="31" t="n">
        <v>20270327</v>
      </c>
      <c r="C452" s="31" t="n">
        <v>2027</v>
      </c>
      <c r="D452" s="31" t="inlineStr">
        <is>
          <t>K1</t>
        </is>
      </c>
      <c r="E452" s="31" t="n">
        <v>3</v>
      </c>
      <c r="F452" s="31" t="inlineStr">
        <is>
          <t>2027-03</t>
        </is>
      </c>
      <c r="G452" s="33" t="n">
        <v>46447</v>
      </c>
    </row>
    <row r="453">
      <c r="A453" s="33" t="n">
        <v>46474</v>
      </c>
      <c r="B453" s="31" t="n">
        <v>20270328</v>
      </c>
      <c r="C453" s="31" t="n">
        <v>2027</v>
      </c>
      <c r="D453" s="31" t="inlineStr">
        <is>
          <t>K1</t>
        </is>
      </c>
      <c r="E453" s="31" t="n">
        <v>3</v>
      </c>
      <c r="F453" s="31" t="inlineStr">
        <is>
          <t>2027-03</t>
        </is>
      </c>
      <c r="G453" s="33" t="n">
        <v>46447</v>
      </c>
    </row>
    <row r="454">
      <c r="A454" s="33" t="n">
        <v>46475</v>
      </c>
      <c r="B454" s="31" t="n">
        <v>20270329</v>
      </c>
      <c r="C454" s="31" t="n">
        <v>2027</v>
      </c>
      <c r="D454" s="31" t="inlineStr">
        <is>
          <t>K1</t>
        </is>
      </c>
      <c r="E454" s="31" t="n">
        <v>3</v>
      </c>
      <c r="F454" s="31" t="inlineStr">
        <is>
          <t>2027-03</t>
        </is>
      </c>
      <c r="G454" s="33" t="n">
        <v>46447</v>
      </c>
    </row>
    <row r="455">
      <c r="A455" s="33" t="n">
        <v>46476</v>
      </c>
      <c r="B455" s="31" t="n">
        <v>20270330</v>
      </c>
      <c r="C455" s="31" t="n">
        <v>2027</v>
      </c>
      <c r="D455" s="31" t="inlineStr">
        <is>
          <t>K1</t>
        </is>
      </c>
      <c r="E455" s="31" t="n">
        <v>3</v>
      </c>
      <c r="F455" s="31" t="inlineStr">
        <is>
          <t>2027-03</t>
        </is>
      </c>
      <c r="G455" s="33" t="n">
        <v>46447</v>
      </c>
    </row>
    <row r="456">
      <c r="A456" s="33" t="n">
        <v>46477</v>
      </c>
      <c r="B456" s="31" t="n">
        <v>20270331</v>
      </c>
      <c r="C456" s="31" t="n">
        <v>2027</v>
      </c>
      <c r="D456" s="31" t="inlineStr">
        <is>
          <t>K1</t>
        </is>
      </c>
      <c r="E456" s="31" t="n">
        <v>3</v>
      </c>
      <c r="F456" s="31" t="inlineStr">
        <is>
          <t>2027-03</t>
        </is>
      </c>
      <c r="G456" s="33" t="n">
        <v>46447</v>
      </c>
    </row>
    <row r="457">
      <c r="A457" s="33" t="n">
        <v>46478</v>
      </c>
      <c r="B457" s="31" t="n">
        <v>20270401</v>
      </c>
      <c r="C457" s="31" t="n">
        <v>2027</v>
      </c>
      <c r="D457" s="31" t="inlineStr">
        <is>
          <t>K2</t>
        </is>
      </c>
      <c r="E457" s="31" t="n">
        <v>4</v>
      </c>
      <c r="F457" s="31" t="inlineStr">
        <is>
          <t>2027-04</t>
        </is>
      </c>
      <c r="G457" s="33" t="n">
        <v>46478</v>
      </c>
    </row>
    <row r="458">
      <c r="A458" s="33" t="n">
        <v>46479</v>
      </c>
      <c r="B458" s="31" t="n">
        <v>20270402</v>
      </c>
      <c r="C458" s="31" t="n">
        <v>2027</v>
      </c>
      <c r="D458" s="31" t="inlineStr">
        <is>
          <t>K2</t>
        </is>
      </c>
      <c r="E458" s="31" t="n">
        <v>4</v>
      </c>
      <c r="F458" s="31" t="inlineStr">
        <is>
          <t>2027-04</t>
        </is>
      </c>
      <c r="G458" s="33" t="n">
        <v>46478</v>
      </c>
    </row>
    <row r="459">
      <c r="A459" s="33" t="n">
        <v>46480</v>
      </c>
      <c r="B459" s="31" t="n">
        <v>20270403</v>
      </c>
      <c r="C459" s="31" t="n">
        <v>2027</v>
      </c>
      <c r="D459" s="31" t="inlineStr">
        <is>
          <t>K2</t>
        </is>
      </c>
      <c r="E459" s="31" t="n">
        <v>4</v>
      </c>
      <c r="F459" s="31" t="inlineStr">
        <is>
          <t>2027-04</t>
        </is>
      </c>
      <c r="G459" s="33" t="n">
        <v>46478</v>
      </c>
    </row>
    <row r="460">
      <c r="A460" s="33" t="n">
        <v>46481</v>
      </c>
      <c r="B460" s="31" t="n">
        <v>20270404</v>
      </c>
      <c r="C460" s="31" t="n">
        <v>2027</v>
      </c>
      <c r="D460" s="31" t="inlineStr">
        <is>
          <t>K2</t>
        </is>
      </c>
      <c r="E460" s="31" t="n">
        <v>4</v>
      </c>
      <c r="F460" s="31" t="inlineStr">
        <is>
          <t>2027-04</t>
        </is>
      </c>
      <c r="G460" s="33" t="n">
        <v>46478</v>
      </c>
    </row>
    <row r="461">
      <c r="A461" s="33" t="n">
        <v>46482</v>
      </c>
      <c r="B461" s="31" t="n">
        <v>20270405</v>
      </c>
      <c r="C461" s="31" t="n">
        <v>2027</v>
      </c>
      <c r="D461" s="31" t="inlineStr">
        <is>
          <t>K2</t>
        </is>
      </c>
      <c r="E461" s="31" t="n">
        <v>4</v>
      </c>
      <c r="F461" s="31" t="inlineStr">
        <is>
          <t>2027-04</t>
        </is>
      </c>
      <c r="G461" s="33" t="n">
        <v>46478</v>
      </c>
    </row>
    <row r="462">
      <c r="A462" s="33" t="n">
        <v>46483</v>
      </c>
      <c r="B462" s="31" t="n">
        <v>20270406</v>
      </c>
      <c r="C462" s="31" t="n">
        <v>2027</v>
      </c>
      <c r="D462" s="31" t="inlineStr">
        <is>
          <t>K2</t>
        </is>
      </c>
      <c r="E462" s="31" t="n">
        <v>4</v>
      </c>
      <c r="F462" s="31" t="inlineStr">
        <is>
          <t>2027-04</t>
        </is>
      </c>
      <c r="G462" s="33" t="n">
        <v>46478</v>
      </c>
    </row>
    <row r="463">
      <c r="A463" s="33" t="n">
        <v>46484</v>
      </c>
      <c r="B463" s="31" t="n">
        <v>20270407</v>
      </c>
      <c r="C463" s="31" t="n">
        <v>2027</v>
      </c>
      <c r="D463" s="31" t="inlineStr">
        <is>
          <t>K2</t>
        </is>
      </c>
      <c r="E463" s="31" t="n">
        <v>4</v>
      </c>
      <c r="F463" s="31" t="inlineStr">
        <is>
          <t>2027-04</t>
        </is>
      </c>
      <c r="G463" s="33" t="n">
        <v>46478</v>
      </c>
    </row>
    <row r="464">
      <c r="A464" s="33" t="n">
        <v>46485</v>
      </c>
      <c r="B464" s="31" t="n">
        <v>20270408</v>
      </c>
      <c r="C464" s="31" t="n">
        <v>2027</v>
      </c>
      <c r="D464" s="31" t="inlineStr">
        <is>
          <t>K2</t>
        </is>
      </c>
      <c r="E464" s="31" t="n">
        <v>4</v>
      </c>
      <c r="F464" s="31" t="inlineStr">
        <is>
          <t>2027-04</t>
        </is>
      </c>
      <c r="G464" s="33" t="n">
        <v>46478</v>
      </c>
    </row>
    <row r="465">
      <c r="A465" s="33" t="n">
        <v>46486</v>
      </c>
      <c r="B465" s="31" t="n">
        <v>20270409</v>
      </c>
      <c r="C465" s="31" t="n">
        <v>2027</v>
      </c>
      <c r="D465" s="31" t="inlineStr">
        <is>
          <t>K2</t>
        </is>
      </c>
      <c r="E465" s="31" t="n">
        <v>4</v>
      </c>
      <c r="F465" s="31" t="inlineStr">
        <is>
          <t>2027-04</t>
        </is>
      </c>
      <c r="G465" s="33" t="n">
        <v>46478</v>
      </c>
    </row>
    <row r="466">
      <c r="A466" s="33" t="n">
        <v>46487</v>
      </c>
      <c r="B466" s="31" t="n">
        <v>20270410</v>
      </c>
      <c r="C466" s="31" t="n">
        <v>2027</v>
      </c>
      <c r="D466" s="31" t="inlineStr">
        <is>
          <t>K2</t>
        </is>
      </c>
      <c r="E466" s="31" t="n">
        <v>4</v>
      </c>
      <c r="F466" s="31" t="inlineStr">
        <is>
          <t>2027-04</t>
        </is>
      </c>
      <c r="G466" s="33" t="n">
        <v>46478</v>
      </c>
    </row>
    <row r="467">
      <c r="A467" s="33" t="n">
        <v>46488</v>
      </c>
      <c r="B467" s="31" t="n">
        <v>20270411</v>
      </c>
      <c r="C467" s="31" t="n">
        <v>2027</v>
      </c>
      <c r="D467" s="31" t="inlineStr">
        <is>
          <t>K2</t>
        </is>
      </c>
      <c r="E467" s="31" t="n">
        <v>4</v>
      </c>
      <c r="F467" s="31" t="inlineStr">
        <is>
          <t>2027-04</t>
        </is>
      </c>
      <c r="G467" s="33" t="n">
        <v>46478</v>
      </c>
    </row>
    <row r="468">
      <c r="A468" s="33" t="n">
        <v>46489</v>
      </c>
      <c r="B468" s="31" t="n">
        <v>20270412</v>
      </c>
      <c r="C468" s="31" t="n">
        <v>2027</v>
      </c>
      <c r="D468" s="31" t="inlineStr">
        <is>
          <t>K2</t>
        </is>
      </c>
      <c r="E468" s="31" t="n">
        <v>4</v>
      </c>
      <c r="F468" s="31" t="inlineStr">
        <is>
          <t>2027-04</t>
        </is>
      </c>
      <c r="G468" s="33" t="n">
        <v>46478</v>
      </c>
    </row>
    <row r="469">
      <c r="A469" s="33" t="n">
        <v>46490</v>
      </c>
      <c r="B469" s="31" t="n">
        <v>20270413</v>
      </c>
      <c r="C469" s="31" t="n">
        <v>2027</v>
      </c>
      <c r="D469" s="31" t="inlineStr">
        <is>
          <t>K2</t>
        </is>
      </c>
      <c r="E469" s="31" t="n">
        <v>4</v>
      </c>
      <c r="F469" s="31" t="inlineStr">
        <is>
          <t>2027-04</t>
        </is>
      </c>
      <c r="G469" s="33" t="n">
        <v>46478</v>
      </c>
    </row>
    <row r="470">
      <c r="A470" s="33" t="n">
        <v>46491</v>
      </c>
      <c r="B470" s="31" t="n">
        <v>20270414</v>
      </c>
      <c r="C470" s="31" t="n">
        <v>2027</v>
      </c>
      <c r="D470" s="31" t="inlineStr">
        <is>
          <t>K2</t>
        </is>
      </c>
      <c r="E470" s="31" t="n">
        <v>4</v>
      </c>
      <c r="F470" s="31" t="inlineStr">
        <is>
          <t>2027-04</t>
        </is>
      </c>
      <c r="G470" s="33" t="n">
        <v>46478</v>
      </c>
    </row>
    <row r="471">
      <c r="A471" s="33" t="n">
        <v>46492</v>
      </c>
      <c r="B471" s="31" t="n">
        <v>20270415</v>
      </c>
      <c r="C471" s="31" t="n">
        <v>2027</v>
      </c>
      <c r="D471" s="31" t="inlineStr">
        <is>
          <t>K2</t>
        </is>
      </c>
      <c r="E471" s="31" t="n">
        <v>4</v>
      </c>
      <c r="F471" s="31" t="inlineStr">
        <is>
          <t>2027-04</t>
        </is>
      </c>
      <c r="G471" s="33" t="n">
        <v>46478</v>
      </c>
    </row>
    <row r="472">
      <c r="A472" s="33" t="n">
        <v>46493</v>
      </c>
      <c r="B472" s="31" t="n">
        <v>20270416</v>
      </c>
      <c r="C472" s="31" t="n">
        <v>2027</v>
      </c>
      <c r="D472" s="31" t="inlineStr">
        <is>
          <t>K2</t>
        </is>
      </c>
      <c r="E472" s="31" t="n">
        <v>4</v>
      </c>
      <c r="F472" s="31" t="inlineStr">
        <is>
          <t>2027-04</t>
        </is>
      </c>
      <c r="G472" s="33" t="n">
        <v>46478</v>
      </c>
    </row>
    <row r="473">
      <c r="A473" s="33" t="n">
        <v>46494</v>
      </c>
      <c r="B473" s="31" t="n">
        <v>20270417</v>
      </c>
      <c r="C473" s="31" t="n">
        <v>2027</v>
      </c>
      <c r="D473" s="31" t="inlineStr">
        <is>
          <t>K2</t>
        </is>
      </c>
      <c r="E473" s="31" t="n">
        <v>4</v>
      </c>
      <c r="F473" s="31" t="inlineStr">
        <is>
          <t>2027-04</t>
        </is>
      </c>
      <c r="G473" s="33" t="n">
        <v>46478</v>
      </c>
    </row>
    <row r="474">
      <c r="A474" s="33" t="n">
        <v>46495</v>
      </c>
      <c r="B474" s="31" t="n">
        <v>20270418</v>
      </c>
      <c r="C474" s="31" t="n">
        <v>2027</v>
      </c>
      <c r="D474" s="31" t="inlineStr">
        <is>
          <t>K2</t>
        </is>
      </c>
      <c r="E474" s="31" t="n">
        <v>4</v>
      </c>
      <c r="F474" s="31" t="inlineStr">
        <is>
          <t>2027-04</t>
        </is>
      </c>
      <c r="G474" s="33" t="n">
        <v>46478</v>
      </c>
    </row>
    <row r="475">
      <c r="A475" s="33" t="n">
        <v>46496</v>
      </c>
      <c r="B475" s="31" t="n">
        <v>20270419</v>
      </c>
      <c r="C475" s="31" t="n">
        <v>2027</v>
      </c>
      <c r="D475" s="31" t="inlineStr">
        <is>
          <t>K2</t>
        </is>
      </c>
      <c r="E475" s="31" t="n">
        <v>4</v>
      </c>
      <c r="F475" s="31" t="inlineStr">
        <is>
          <t>2027-04</t>
        </is>
      </c>
      <c r="G475" s="33" t="n">
        <v>46478</v>
      </c>
    </row>
    <row r="476">
      <c r="A476" s="33" t="n">
        <v>46497</v>
      </c>
      <c r="B476" s="31" t="n">
        <v>20270420</v>
      </c>
      <c r="C476" s="31" t="n">
        <v>2027</v>
      </c>
      <c r="D476" s="31" t="inlineStr">
        <is>
          <t>K2</t>
        </is>
      </c>
      <c r="E476" s="31" t="n">
        <v>4</v>
      </c>
      <c r="F476" s="31" t="inlineStr">
        <is>
          <t>2027-04</t>
        </is>
      </c>
      <c r="G476" s="33" t="n">
        <v>46478</v>
      </c>
    </row>
    <row r="477">
      <c r="A477" s="33" t="n">
        <v>46498</v>
      </c>
      <c r="B477" s="31" t="n">
        <v>20270421</v>
      </c>
      <c r="C477" s="31" t="n">
        <v>2027</v>
      </c>
      <c r="D477" s="31" t="inlineStr">
        <is>
          <t>K2</t>
        </is>
      </c>
      <c r="E477" s="31" t="n">
        <v>4</v>
      </c>
      <c r="F477" s="31" t="inlineStr">
        <is>
          <t>2027-04</t>
        </is>
      </c>
      <c r="G477" s="33" t="n">
        <v>46478</v>
      </c>
    </row>
    <row r="478">
      <c r="A478" s="33" t="n">
        <v>46499</v>
      </c>
      <c r="B478" s="31" t="n">
        <v>20270422</v>
      </c>
      <c r="C478" s="31" t="n">
        <v>2027</v>
      </c>
      <c r="D478" s="31" t="inlineStr">
        <is>
          <t>K2</t>
        </is>
      </c>
      <c r="E478" s="31" t="n">
        <v>4</v>
      </c>
      <c r="F478" s="31" t="inlineStr">
        <is>
          <t>2027-04</t>
        </is>
      </c>
      <c r="G478" s="33" t="n">
        <v>46478</v>
      </c>
    </row>
    <row r="479">
      <c r="A479" s="33" t="n">
        <v>46500</v>
      </c>
      <c r="B479" s="31" t="n">
        <v>20270423</v>
      </c>
      <c r="C479" s="31" t="n">
        <v>2027</v>
      </c>
      <c r="D479" s="31" t="inlineStr">
        <is>
          <t>K2</t>
        </is>
      </c>
      <c r="E479" s="31" t="n">
        <v>4</v>
      </c>
      <c r="F479" s="31" t="inlineStr">
        <is>
          <t>2027-04</t>
        </is>
      </c>
      <c r="G479" s="33" t="n">
        <v>46478</v>
      </c>
    </row>
    <row r="480">
      <c r="A480" s="33" t="n">
        <v>46501</v>
      </c>
      <c r="B480" s="31" t="n">
        <v>20270424</v>
      </c>
      <c r="C480" s="31" t="n">
        <v>2027</v>
      </c>
      <c r="D480" s="31" t="inlineStr">
        <is>
          <t>K2</t>
        </is>
      </c>
      <c r="E480" s="31" t="n">
        <v>4</v>
      </c>
      <c r="F480" s="31" t="inlineStr">
        <is>
          <t>2027-04</t>
        </is>
      </c>
      <c r="G480" s="33" t="n">
        <v>46478</v>
      </c>
    </row>
    <row r="481">
      <c r="A481" s="33" t="n">
        <v>46502</v>
      </c>
      <c r="B481" s="31" t="n">
        <v>20270425</v>
      </c>
      <c r="C481" s="31" t="n">
        <v>2027</v>
      </c>
      <c r="D481" s="31" t="inlineStr">
        <is>
          <t>K2</t>
        </is>
      </c>
      <c r="E481" s="31" t="n">
        <v>4</v>
      </c>
      <c r="F481" s="31" t="inlineStr">
        <is>
          <t>2027-04</t>
        </is>
      </c>
      <c r="G481" s="33" t="n">
        <v>46478</v>
      </c>
    </row>
    <row r="482">
      <c r="A482" s="33" t="n">
        <v>46503</v>
      </c>
      <c r="B482" s="31" t="n">
        <v>20270426</v>
      </c>
      <c r="C482" s="31" t="n">
        <v>2027</v>
      </c>
      <c r="D482" s="31" t="inlineStr">
        <is>
          <t>K2</t>
        </is>
      </c>
      <c r="E482" s="31" t="n">
        <v>4</v>
      </c>
      <c r="F482" s="31" t="inlineStr">
        <is>
          <t>2027-04</t>
        </is>
      </c>
      <c r="G482" s="33" t="n">
        <v>46478</v>
      </c>
    </row>
    <row r="483">
      <c r="A483" s="33" t="n">
        <v>46504</v>
      </c>
      <c r="B483" s="31" t="n">
        <v>20270427</v>
      </c>
      <c r="C483" s="31" t="n">
        <v>2027</v>
      </c>
      <c r="D483" s="31" t="inlineStr">
        <is>
          <t>K2</t>
        </is>
      </c>
      <c r="E483" s="31" t="n">
        <v>4</v>
      </c>
      <c r="F483" s="31" t="inlineStr">
        <is>
          <t>2027-04</t>
        </is>
      </c>
      <c r="G483" s="33" t="n">
        <v>46478</v>
      </c>
    </row>
    <row r="484">
      <c r="A484" s="33" t="n">
        <v>46505</v>
      </c>
      <c r="B484" s="31" t="n">
        <v>20270428</v>
      </c>
      <c r="C484" s="31" t="n">
        <v>2027</v>
      </c>
      <c r="D484" s="31" t="inlineStr">
        <is>
          <t>K2</t>
        </is>
      </c>
      <c r="E484" s="31" t="n">
        <v>4</v>
      </c>
      <c r="F484" s="31" t="inlineStr">
        <is>
          <t>2027-04</t>
        </is>
      </c>
      <c r="G484" s="33" t="n">
        <v>46478</v>
      </c>
    </row>
    <row r="485">
      <c r="A485" s="33" t="n">
        <v>46506</v>
      </c>
      <c r="B485" s="31" t="n">
        <v>20270429</v>
      </c>
      <c r="C485" s="31" t="n">
        <v>2027</v>
      </c>
      <c r="D485" s="31" t="inlineStr">
        <is>
          <t>K2</t>
        </is>
      </c>
      <c r="E485" s="31" t="n">
        <v>4</v>
      </c>
      <c r="F485" s="31" t="inlineStr">
        <is>
          <t>2027-04</t>
        </is>
      </c>
      <c r="G485" s="33" t="n">
        <v>46478</v>
      </c>
    </row>
    <row r="486">
      <c r="A486" s="33" t="n">
        <v>46507</v>
      </c>
      <c r="B486" s="31" t="n">
        <v>20270430</v>
      </c>
      <c r="C486" s="31" t="n">
        <v>2027</v>
      </c>
      <c r="D486" s="31" t="inlineStr">
        <is>
          <t>K2</t>
        </is>
      </c>
      <c r="E486" s="31" t="n">
        <v>4</v>
      </c>
      <c r="F486" s="31" t="inlineStr">
        <is>
          <t>2027-04</t>
        </is>
      </c>
      <c r="G486" s="33" t="n">
        <v>46478</v>
      </c>
    </row>
    <row r="487">
      <c r="A487" s="33" t="n">
        <v>46508</v>
      </c>
      <c r="B487" s="31" t="n">
        <v>20270501</v>
      </c>
      <c r="C487" s="31" t="n">
        <v>2027</v>
      </c>
      <c r="D487" s="31" t="inlineStr">
        <is>
          <t>K2</t>
        </is>
      </c>
      <c r="E487" s="31" t="n">
        <v>5</v>
      </c>
      <c r="F487" s="31" t="inlineStr">
        <is>
          <t>2027-05</t>
        </is>
      </c>
      <c r="G487" s="33" t="n">
        <v>46508</v>
      </c>
    </row>
    <row r="488">
      <c r="A488" s="33" t="n">
        <v>46509</v>
      </c>
      <c r="B488" s="31" t="n">
        <v>20270502</v>
      </c>
      <c r="C488" s="31" t="n">
        <v>2027</v>
      </c>
      <c r="D488" s="31" t="inlineStr">
        <is>
          <t>K2</t>
        </is>
      </c>
      <c r="E488" s="31" t="n">
        <v>5</v>
      </c>
      <c r="F488" s="31" t="inlineStr">
        <is>
          <t>2027-05</t>
        </is>
      </c>
      <c r="G488" s="33" t="n">
        <v>46508</v>
      </c>
    </row>
    <row r="489">
      <c r="A489" s="33" t="n">
        <v>46510</v>
      </c>
      <c r="B489" s="31" t="n">
        <v>20270503</v>
      </c>
      <c r="C489" s="31" t="n">
        <v>2027</v>
      </c>
      <c r="D489" s="31" t="inlineStr">
        <is>
          <t>K2</t>
        </is>
      </c>
      <c r="E489" s="31" t="n">
        <v>5</v>
      </c>
      <c r="F489" s="31" t="inlineStr">
        <is>
          <t>2027-05</t>
        </is>
      </c>
      <c r="G489" s="33" t="n">
        <v>46508</v>
      </c>
    </row>
    <row r="490">
      <c r="A490" s="33" t="n">
        <v>46511</v>
      </c>
      <c r="B490" s="31" t="n">
        <v>20270504</v>
      </c>
      <c r="C490" s="31" t="n">
        <v>2027</v>
      </c>
      <c r="D490" s="31" t="inlineStr">
        <is>
          <t>K2</t>
        </is>
      </c>
      <c r="E490" s="31" t="n">
        <v>5</v>
      </c>
      <c r="F490" s="31" t="inlineStr">
        <is>
          <t>2027-05</t>
        </is>
      </c>
      <c r="G490" s="33" t="n">
        <v>46508</v>
      </c>
    </row>
    <row r="491">
      <c r="A491" s="33" t="n">
        <v>46512</v>
      </c>
      <c r="B491" s="31" t="n">
        <v>20270505</v>
      </c>
      <c r="C491" s="31" t="n">
        <v>2027</v>
      </c>
      <c r="D491" s="31" t="inlineStr">
        <is>
          <t>K2</t>
        </is>
      </c>
      <c r="E491" s="31" t="n">
        <v>5</v>
      </c>
      <c r="F491" s="31" t="inlineStr">
        <is>
          <t>2027-05</t>
        </is>
      </c>
      <c r="G491" s="33" t="n">
        <v>46508</v>
      </c>
    </row>
    <row r="492">
      <c r="A492" s="33" t="n">
        <v>46513</v>
      </c>
      <c r="B492" s="31" t="n">
        <v>20270506</v>
      </c>
      <c r="C492" s="31" t="n">
        <v>2027</v>
      </c>
      <c r="D492" s="31" t="inlineStr">
        <is>
          <t>K2</t>
        </is>
      </c>
      <c r="E492" s="31" t="n">
        <v>5</v>
      </c>
      <c r="F492" s="31" t="inlineStr">
        <is>
          <t>2027-05</t>
        </is>
      </c>
      <c r="G492" s="33" t="n">
        <v>46508</v>
      </c>
    </row>
    <row r="493">
      <c r="A493" s="33" t="n">
        <v>46514</v>
      </c>
      <c r="B493" s="31" t="n">
        <v>20270507</v>
      </c>
      <c r="C493" s="31" t="n">
        <v>2027</v>
      </c>
      <c r="D493" s="31" t="inlineStr">
        <is>
          <t>K2</t>
        </is>
      </c>
      <c r="E493" s="31" t="n">
        <v>5</v>
      </c>
      <c r="F493" s="31" t="inlineStr">
        <is>
          <t>2027-05</t>
        </is>
      </c>
      <c r="G493" s="33" t="n">
        <v>46508</v>
      </c>
    </row>
    <row r="494">
      <c r="A494" s="33" t="n">
        <v>46515</v>
      </c>
      <c r="B494" s="31" t="n">
        <v>20270508</v>
      </c>
      <c r="C494" s="31" t="n">
        <v>2027</v>
      </c>
      <c r="D494" s="31" t="inlineStr">
        <is>
          <t>K2</t>
        </is>
      </c>
      <c r="E494" s="31" t="n">
        <v>5</v>
      </c>
      <c r="F494" s="31" t="inlineStr">
        <is>
          <t>2027-05</t>
        </is>
      </c>
      <c r="G494" s="33" t="n">
        <v>46508</v>
      </c>
    </row>
    <row r="495">
      <c r="A495" s="33" t="n">
        <v>46516</v>
      </c>
      <c r="B495" s="31" t="n">
        <v>20270509</v>
      </c>
      <c r="C495" s="31" t="n">
        <v>2027</v>
      </c>
      <c r="D495" s="31" t="inlineStr">
        <is>
          <t>K2</t>
        </is>
      </c>
      <c r="E495" s="31" t="n">
        <v>5</v>
      </c>
      <c r="F495" s="31" t="inlineStr">
        <is>
          <t>2027-05</t>
        </is>
      </c>
      <c r="G495" s="33" t="n">
        <v>46508</v>
      </c>
    </row>
    <row r="496">
      <c r="A496" s="33" t="n">
        <v>46517</v>
      </c>
      <c r="B496" s="31" t="n">
        <v>20270510</v>
      </c>
      <c r="C496" s="31" t="n">
        <v>2027</v>
      </c>
      <c r="D496" s="31" t="inlineStr">
        <is>
          <t>K2</t>
        </is>
      </c>
      <c r="E496" s="31" t="n">
        <v>5</v>
      </c>
      <c r="F496" s="31" t="inlineStr">
        <is>
          <t>2027-05</t>
        </is>
      </c>
      <c r="G496" s="33" t="n">
        <v>46508</v>
      </c>
    </row>
    <row r="497">
      <c r="A497" s="33" t="n">
        <v>46518</v>
      </c>
      <c r="B497" s="31" t="n">
        <v>20270511</v>
      </c>
      <c r="C497" s="31" t="n">
        <v>2027</v>
      </c>
      <c r="D497" s="31" t="inlineStr">
        <is>
          <t>K2</t>
        </is>
      </c>
      <c r="E497" s="31" t="n">
        <v>5</v>
      </c>
      <c r="F497" s="31" t="inlineStr">
        <is>
          <t>2027-05</t>
        </is>
      </c>
      <c r="G497" s="33" t="n">
        <v>46508</v>
      </c>
    </row>
    <row r="498">
      <c r="A498" s="33" t="n">
        <v>46519</v>
      </c>
      <c r="B498" s="31" t="n">
        <v>20270512</v>
      </c>
      <c r="C498" s="31" t="n">
        <v>2027</v>
      </c>
      <c r="D498" s="31" t="inlineStr">
        <is>
          <t>K2</t>
        </is>
      </c>
      <c r="E498" s="31" t="n">
        <v>5</v>
      </c>
      <c r="F498" s="31" t="inlineStr">
        <is>
          <t>2027-05</t>
        </is>
      </c>
      <c r="G498" s="33" t="n">
        <v>46508</v>
      </c>
    </row>
    <row r="499">
      <c r="A499" s="33" t="n">
        <v>46520</v>
      </c>
      <c r="B499" s="31" t="n">
        <v>20270513</v>
      </c>
      <c r="C499" s="31" t="n">
        <v>2027</v>
      </c>
      <c r="D499" s="31" t="inlineStr">
        <is>
          <t>K2</t>
        </is>
      </c>
      <c r="E499" s="31" t="n">
        <v>5</v>
      </c>
      <c r="F499" s="31" t="inlineStr">
        <is>
          <t>2027-05</t>
        </is>
      </c>
      <c r="G499" s="33" t="n">
        <v>46508</v>
      </c>
    </row>
    <row r="500">
      <c r="A500" s="33" t="n">
        <v>46521</v>
      </c>
      <c r="B500" s="31" t="n">
        <v>20270514</v>
      </c>
      <c r="C500" s="31" t="n">
        <v>2027</v>
      </c>
      <c r="D500" s="31" t="inlineStr">
        <is>
          <t>K2</t>
        </is>
      </c>
      <c r="E500" s="31" t="n">
        <v>5</v>
      </c>
      <c r="F500" s="31" t="inlineStr">
        <is>
          <t>2027-05</t>
        </is>
      </c>
      <c r="G500" s="33" t="n">
        <v>46508</v>
      </c>
    </row>
    <row r="501">
      <c r="A501" s="33" t="n">
        <v>46522</v>
      </c>
      <c r="B501" s="31" t="n">
        <v>20270515</v>
      </c>
      <c r="C501" s="31" t="n">
        <v>2027</v>
      </c>
      <c r="D501" s="31" t="inlineStr">
        <is>
          <t>K2</t>
        </is>
      </c>
      <c r="E501" s="31" t="n">
        <v>5</v>
      </c>
      <c r="F501" s="31" t="inlineStr">
        <is>
          <t>2027-05</t>
        </is>
      </c>
      <c r="G501" s="33" t="n">
        <v>46508</v>
      </c>
    </row>
    <row r="502">
      <c r="A502" s="33" t="n">
        <v>46523</v>
      </c>
      <c r="B502" s="31" t="n">
        <v>20270516</v>
      </c>
      <c r="C502" s="31" t="n">
        <v>2027</v>
      </c>
      <c r="D502" s="31" t="inlineStr">
        <is>
          <t>K2</t>
        </is>
      </c>
      <c r="E502" s="31" t="n">
        <v>5</v>
      </c>
      <c r="F502" s="31" t="inlineStr">
        <is>
          <t>2027-05</t>
        </is>
      </c>
      <c r="G502" s="33" t="n">
        <v>46508</v>
      </c>
    </row>
    <row r="503">
      <c r="A503" s="33" t="n">
        <v>46524</v>
      </c>
      <c r="B503" s="31" t="n">
        <v>20270517</v>
      </c>
      <c r="C503" s="31" t="n">
        <v>2027</v>
      </c>
      <c r="D503" s="31" t="inlineStr">
        <is>
          <t>K2</t>
        </is>
      </c>
      <c r="E503" s="31" t="n">
        <v>5</v>
      </c>
      <c r="F503" s="31" t="inlineStr">
        <is>
          <t>2027-05</t>
        </is>
      </c>
      <c r="G503" s="33" t="n">
        <v>46508</v>
      </c>
    </row>
    <row r="504">
      <c r="A504" s="33" t="n">
        <v>46525</v>
      </c>
      <c r="B504" s="31" t="n">
        <v>20270518</v>
      </c>
      <c r="C504" s="31" t="n">
        <v>2027</v>
      </c>
      <c r="D504" s="31" t="inlineStr">
        <is>
          <t>K2</t>
        </is>
      </c>
      <c r="E504" s="31" t="n">
        <v>5</v>
      </c>
      <c r="F504" s="31" t="inlineStr">
        <is>
          <t>2027-05</t>
        </is>
      </c>
      <c r="G504" s="33" t="n">
        <v>46508</v>
      </c>
    </row>
    <row r="505">
      <c r="A505" s="33" t="n">
        <v>46526</v>
      </c>
      <c r="B505" s="31" t="n">
        <v>20270519</v>
      </c>
      <c r="C505" s="31" t="n">
        <v>2027</v>
      </c>
      <c r="D505" s="31" t="inlineStr">
        <is>
          <t>K2</t>
        </is>
      </c>
      <c r="E505" s="31" t="n">
        <v>5</v>
      </c>
      <c r="F505" s="31" t="inlineStr">
        <is>
          <t>2027-05</t>
        </is>
      </c>
      <c r="G505" s="33" t="n">
        <v>46508</v>
      </c>
    </row>
    <row r="506">
      <c r="A506" s="33" t="n">
        <v>46527</v>
      </c>
      <c r="B506" s="31" t="n">
        <v>20270520</v>
      </c>
      <c r="C506" s="31" t="n">
        <v>2027</v>
      </c>
      <c r="D506" s="31" t="inlineStr">
        <is>
          <t>K2</t>
        </is>
      </c>
      <c r="E506" s="31" t="n">
        <v>5</v>
      </c>
      <c r="F506" s="31" t="inlineStr">
        <is>
          <t>2027-05</t>
        </is>
      </c>
      <c r="G506" s="33" t="n">
        <v>46508</v>
      </c>
    </row>
    <row r="507">
      <c r="A507" s="33" t="n">
        <v>46528</v>
      </c>
      <c r="B507" s="31" t="n">
        <v>20270521</v>
      </c>
      <c r="C507" s="31" t="n">
        <v>2027</v>
      </c>
      <c r="D507" s="31" t="inlineStr">
        <is>
          <t>K2</t>
        </is>
      </c>
      <c r="E507" s="31" t="n">
        <v>5</v>
      </c>
      <c r="F507" s="31" t="inlineStr">
        <is>
          <t>2027-05</t>
        </is>
      </c>
      <c r="G507" s="33" t="n">
        <v>46508</v>
      </c>
    </row>
    <row r="508">
      <c r="A508" s="33" t="n">
        <v>46529</v>
      </c>
      <c r="B508" s="31" t="n">
        <v>20270522</v>
      </c>
      <c r="C508" s="31" t="n">
        <v>2027</v>
      </c>
      <c r="D508" s="31" t="inlineStr">
        <is>
          <t>K2</t>
        </is>
      </c>
      <c r="E508" s="31" t="n">
        <v>5</v>
      </c>
      <c r="F508" s="31" t="inlineStr">
        <is>
          <t>2027-05</t>
        </is>
      </c>
      <c r="G508" s="33" t="n">
        <v>46508</v>
      </c>
    </row>
    <row r="509">
      <c r="A509" s="33" t="n">
        <v>46530</v>
      </c>
      <c r="B509" s="31" t="n">
        <v>20270523</v>
      </c>
      <c r="C509" s="31" t="n">
        <v>2027</v>
      </c>
      <c r="D509" s="31" t="inlineStr">
        <is>
          <t>K2</t>
        </is>
      </c>
      <c r="E509" s="31" t="n">
        <v>5</v>
      </c>
      <c r="F509" s="31" t="inlineStr">
        <is>
          <t>2027-05</t>
        </is>
      </c>
      <c r="G509" s="33" t="n">
        <v>46508</v>
      </c>
    </row>
    <row r="510">
      <c r="A510" s="33" t="n">
        <v>46531</v>
      </c>
      <c r="B510" s="31" t="n">
        <v>20270524</v>
      </c>
      <c r="C510" s="31" t="n">
        <v>2027</v>
      </c>
      <c r="D510" s="31" t="inlineStr">
        <is>
          <t>K2</t>
        </is>
      </c>
      <c r="E510" s="31" t="n">
        <v>5</v>
      </c>
      <c r="F510" s="31" t="inlineStr">
        <is>
          <t>2027-05</t>
        </is>
      </c>
      <c r="G510" s="33" t="n">
        <v>46508</v>
      </c>
    </row>
    <row r="511">
      <c r="A511" s="33" t="n">
        <v>46532</v>
      </c>
      <c r="B511" s="31" t="n">
        <v>20270525</v>
      </c>
      <c r="C511" s="31" t="n">
        <v>2027</v>
      </c>
      <c r="D511" s="31" t="inlineStr">
        <is>
          <t>K2</t>
        </is>
      </c>
      <c r="E511" s="31" t="n">
        <v>5</v>
      </c>
      <c r="F511" s="31" t="inlineStr">
        <is>
          <t>2027-05</t>
        </is>
      </c>
      <c r="G511" s="33" t="n">
        <v>46508</v>
      </c>
    </row>
    <row r="512">
      <c r="A512" s="33" t="n">
        <v>46533</v>
      </c>
      <c r="B512" s="31" t="n">
        <v>20270526</v>
      </c>
      <c r="C512" s="31" t="n">
        <v>2027</v>
      </c>
      <c r="D512" s="31" t="inlineStr">
        <is>
          <t>K2</t>
        </is>
      </c>
      <c r="E512" s="31" t="n">
        <v>5</v>
      </c>
      <c r="F512" s="31" t="inlineStr">
        <is>
          <t>2027-05</t>
        </is>
      </c>
      <c r="G512" s="33" t="n">
        <v>46508</v>
      </c>
    </row>
    <row r="513">
      <c r="A513" s="33" t="n">
        <v>46534</v>
      </c>
      <c r="B513" s="31" t="n">
        <v>20270527</v>
      </c>
      <c r="C513" s="31" t="n">
        <v>2027</v>
      </c>
      <c r="D513" s="31" t="inlineStr">
        <is>
          <t>K2</t>
        </is>
      </c>
      <c r="E513" s="31" t="n">
        <v>5</v>
      </c>
      <c r="F513" s="31" t="inlineStr">
        <is>
          <t>2027-05</t>
        </is>
      </c>
      <c r="G513" s="33" t="n">
        <v>46508</v>
      </c>
    </row>
    <row r="514">
      <c r="A514" s="33" t="n">
        <v>46535</v>
      </c>
      <c r="B514" s="31" t="n">
        <v>20270528</v>
      </c>
      <c r="C514" s="31" t="n">
        <v>2027</v>
      </c>
      <c r="D514" s="31" t="inlineStr">
        <is>
          <t>K2</t>
        </is>
      </c>
      <c r="E514" s="31" t="n">
        <v>5</v>
      </c>
      <c r="F514" s="31" t="inlineStr">
        <is>
          <t>2027-05</t>
        </is>
      </c>
      <c r="G514" s="33" t="n">
        <v>46508</v>
      </c>
    </row>
    <row r="515">
      <c r="A515" s="33" t="n">
        <v>46536</v>
      </c>
      <c r="B515" s="31" t="n">
        <v>20270529</v>
      </c>
      <c r="C515" s="31" t="n">
        <v>2027</v>
      </c>
      <c r="D515" s="31" t="inlineStr">
        <is>
          <t>K2</t>
        </is>
      </c>
      <c r="E515" s="31" t="n">
        <v>5</v>
      </c>
      <c r="F515" s="31" t="inlineStr">
        <is>
          <t>2027-05</t>
        </is>
      </c>
      <c r="G515" s="33" t="n">
        <v>46508</v>
      </c>
    </row>
    <row r="516">
      <c r="A516" s="33" t="n">
        <v>46537</v>
      </c>
      <c r="B516" s="31" t="n">
        <v>20270530</v>
      </c>
      <c r="C516" s="31" t="n">
        <v>2027</v>
      </c>
      <c r="D516" s="31" t="inlineStr">
        <is>
          <t>K2</t>
        </is>
      </c>
      <c r="E516" s="31" t="n">
        <v>5</v>
      </c>
      <c r="F516" s="31" t="inlineStr">
        <is>
          <t>2027-05</t>
        </is>
      </c>
      <c r="G516" s="33" t="n">
        <v>46508</v>
      </c>
    </row>
    <row r="517">
      <c r="A517" s="33" t="n">
        <v>46538</v>
      </c>
      <c r="B517" s="31" t="n">
        <v>20270531</v>
      </c>
      <c r="C517" s="31" t="n">
        <v>2027</v>
      </c>
      <c r="D517" s="31" t="inlineStr">
        <is>
          <t>K2</t>
        </is>
      </c>
      <c r="E517" s="31" t="n">
        <v>5</v>
      </c>
      <c r="F517" s="31" t="inlineStr">
        <is>
          <t>2027-05</t>
        </is>
      </c>
      <c r="G517" s="33" t="n">
        <v>46508</v>
      </c>
    </row>
    <row r="518">
      <c r="A518" s="33" t="n">
        <v>46539</v>
      </c>
      <c r="B518" s="31" t="n">
        <v>20270601</v>
      </c>
      <c r="C518" s="31" t="n">
        <v>2027</v>
      </c>
      <c r="D518" s="31" t="inlineStr">
        <is>
          <t>K2</t>
        </is>
      </c>
      <c r="E518" s="31" t="n">
        <v>6</v>
      </c>
      <c r="F518" s="31" t="inlineStr">
        <is>
          <t>2027-06</t>
        </is>
      </c>
      <c r="G518" s="33" t="n">
        <v>46539</v>
      </c>
    </row>
    <row r="519">
      <c r="A519" s="33" t="n">
        <v>46540</v>
      </c>
      <c r="B519" s="31" t="n">
        <v>20270602</v>
      </c>
      <c r="C519" s="31" t="n">
        <v>2027</v>
      </c>
      <c r="D519" s="31" t="inlineStr">
        <is>
          <t>K2</t>
        </is>
      </c>
      <c r="E519" s="31" t="n">
        <v>6</v>
      </c>
      <c r="F519" s="31" t="inlineStr">
        <is>
          <t>2027-06</t>
        </is>
      </c>
      <c r="G519" s="33" t="n">
        <v>46539</v>
      </c>
    </row>
    <row r="520">
      <c r="A520" s="33" t="n">
        <v>46541</v>
      </c>
      <c r="B520" s="31" t="n">
        <v>20270603</v>
      </c>
      <c r="C520" s="31" t="n">
        <v>2027</v>
      </c>
      <c r="D520" s="31" t="inlineStr">
        <is>
          <t>K2</t>
        </is>
      </c>
      <c r="E520" s="31" t="n">
        <v>6</v>
      </c>
      <c r="F520" s="31" t="inlineStr">
        <is>
          <t>2027-06</t>
        </is>
      </c>
      <c r="G520" s="33" t="n">
        <v>46539</v>
      </c>
    </row>
    <row r="521">
      <c r="A521" s="33" t="n">
        <v>46542</v>
      </c>
      <c r="B521" s="31" t="n">
        <v>20270604</v>
      </c>
      <c r="C521" s="31" t="n">
        <v>2027</v>
      </c>
      <c r="D521" s="31" t="inlineStr">
        <is>
          <t>K2</t>
        </is>
      </c>
      <c r="E521" s="31" t="n">
        <v>6</v>
      </c>
      <c r="F521" s="31" t="inlineStr">
        <is>
          <t>2027-06</t>
        </is>
      </c>
      <c r="G521" s="33" t="n">
        <v>46539</v>
      </c>
    </row>
    <row r="522">
      <c r="A522" s="33" t="n">
        <v>46543</v>
      </c>
      <c r="B522" s="31" t="n">
        <v>20270605</v>
      </c>
      <c r="C522" s="31" t="n">
        <v>2027</v>
      </c>
      <c r="D522" s="31" t="inlineStr">
        <is>
          <t>K2</t>
        </is>
      </c>
      <c r="E522" s="31" t="n">
        <v>6</v>
      </c>
      <c r="F522" s="31" t="inlineStr">
        <is>
          <t>2027-06</t>
        </is>
      </c>
      <c r="G522" s="33" t="n">
        <v>46539</v>
      </c>
    </row>
    <row r="523">
      <c r="A523" s="33" t="n">
        <v>46544</v>
      </c>
      <c r="B523" s="31" t="n">
        <v>20270606</v>
      </c>
      <c r="C523" s="31" t="n">
        <v>2027</v>
      </c>
      <c r="D523" s="31" t="inlineStr">
        <is>
          <t>K2</t>
        </is>
      </c>
      <c r="E523" s="31" t="n">
        <v>6</v>
      </c>
      <c r="F523" s="31" t="inlineStr">
        <is>
          <t>2027-06</t>
        </is>
      </c>
      <c r="G523" s="33" t="n">
        <v>46539</v>
      </c>
    </row>
    <row r="524">
      <c r="A524" s="33" t="n">
        <v>46545</v>
      </c>
      <c r="B524" s="31" t="n">
        <v>20270607</v>
      </c>
      <c r="C524" s="31" t="n">
        <v>2027</v>
      </c>
      <c r="D524" s="31" t="inlineStr">
        <is>
          <t>K2</t>
        </is>
      </c>
      <c r="E524" s="31" t="n">
        <v>6</v>
      </c>
      <c r="F524" s="31" t="inlineStr">
        <is>
          <t>2027-06</t>
        </is>
      </c>
      <c r="G524" s="33" t="n">
        <v>46539</v>
      </c>
    </row>
    <row r="525">
      <c r="A525" s="33" t="n">
        <v>46546</v>
      </c>
      <c r="B525" s="31" t="n">
        <v>20270608</v>
      </c>
      <c r="C525" s="31" t="n">
        <v>2027</v>
      </c>
      <c r="D525" s="31" t="inlineStr">
        <is>
          <t>K2</t>
        </is>
      </c>
      <c r="E525" s="31" t="n">
        <v>6</v>
      </c>
      <c r="F525" s="31" t="inlineStr">
        <is>
          <t>2027-06</t>
        </is>
      </c>
      <c r="G525" s="33" t="n">
        <v>46539</v>
      </c>
    </row>
    <row r="526">
      <c r="A526" s="33" t="n">
        <v>46547</v>
      </c>
      <c r="B526" s="31" t="n">
        <v>20270609</v>
      </c>
      <c r="C526" s="31" t="n">
        <v>2027</v>
      </c>
      <c r="D526" s="31" t="inlineStr">
        <is>
          <t>K2</t>
        </is>
      </c>
      <c r="E526" s="31" t="n">
        <v>6</v>
      </c>
      <c r="F526" s="31" t="inlineStr">
        <is>
          <t>2027-06</t>
        </is>
      </c>
      <c r="G526" s="33" t="n">
        <v>46539</v>
      </c>
    </row>
    <row r="527">
      <c r="A527" s="33" t="n">
        <v>46548</v>
      </c>
      <c r="B527" s="31" t="n">
        <v>20270610</v>
      </c>
      <c r="C527" s="31" t="n">
        <v>2027</v>
      </c>
      <c r="D527" s="31" t="inlineStr">
        <is>
          <t>K2</t>
        </is>
      </c>
      <c r="E527" s="31" t="n">
        <v>6</v>
      </c>
      <c r="F527" s="31" t="inlineStr">
        <is>
          <t>2027-06</t>
        </is>
      </c>
      <c r="G527" s="33" t="n">
        <v>46539</v>
      </c>
    </row>
    <row r="528">
      <c r="A528" s="33" t="n">
        <v>46549</v>
      </c>
      <c r="B528" s="31" t="n">
        <v>20270611</v>
      </c>
      <c r="C528" s="31" t="n">
        <v>2027</v>
      </c>
      <c r="D528" s="31" t="inlineStr">
        <is>
          <t>K2</t>
        </is>
      </c>
      <c r="E528" s="31" t="n">
        <v>6</v>
      </c>
      <c r="F528" s="31" t="inlineStr">
        <is>
          <t>2027-06</t>
        </is>
      </c>
      <c r="G528" s="33" t="n">
        <v>46539</v>
      </c>
    </row>
    <row r="529">
      <c r="A529" s="33" t="n">
        <v>46550</v>
      </c>
      <c r="B529" s="31" t="n">
        <v>20270612</v>
      </c>
      <c r="C529" s="31" t="n">
        <v>2027</v>
      </c>
      <c r="D529" s="31" t="inlineStr">
        <is>
          <t>K2</t>
        </is>
      </c>
      <c r="E529" s="31" t="n">
        <v>6</v>
      </c>
      <c r="F529" s="31" t="inlineStr">
        <is>
          <t>2027-06</t>
        </is>
      </c>
      <c r="G529" s="33" t="n">
        <v>46539</v>
      </c>
    </row>
    <row r="530">
      <c r="A530" s="33" t="n">
        <v>46551</v>
      </c>
      <c r="B530" s="31" t="n">
        <v>20270613</v>
      </c>
      <c r="C530" s="31" t="n">
        <v>2027</v>
      </c>
      <c r="D530" s="31" t="inlineStr">
        <is>
          <t>K2</t>
        </is>
      </c>
      <c r="E530" s="31" t="n">
        <v>6</v>
      </c>
      <c r="F530" s="31" t="inlineStr">
        <is>
          <t>2027-06</t>
        </is>
      </c>
      <c r="G530" s="33" t="n">
        <v>46539</v>
      </c>
    </row>
    <row r="531">
      <c r="A531" s="33" t="n">
        <v>46552</v>
      </c>
      <c r="B531" s="31" t="n">
        <v>20270614</v>
      </c>
      <c r="C531" s="31" t="n">
        <v>2027</v>
      </c>
      <c r="D531" s="31" t="inlineStr">
        <is>
          <t>K2</t>
        </is>
      </c>
      <c r="E531" s="31" t="n">
        <v>6</v>
      </c>
      <c r="F531" s="31" t="inlineStr">
        <is>
          <t>2027-06</t>
        </is>
      </c>
      <c r="G531" s="33" t="n">
        <v>46539</v>
      </c>
    </row>
    <row r="532">
      <c r="A532" s="33" t="n">
        <v>46553</v>
      </c>
      <c r="B532" s="31" t="n">
        <v>20270615</v>
      </c>
      <c r="C532" s="31" t="n">
        <v>2027</v>
      </c>
      <c r="D532" s="31" t="inlineStr">
        <is>
          <t>K2</t>
        </is>
      </c>
      <c r="E532" s="31" t="n">
        <v>6</v>
      </c>
      <c r="F532" s="31" t="inlineStr">
        <is>
          <t>2027-06</t>
        </is>
      </c>
      <c r="G532" s="33" t="n">
        <v>46539</v>
      </c>
    </row>
    <row r="533">
      <c r="A533" s="33" t="n">
        <v>46554</v>
      </c>
      <c r="B533" s="31" t="n">
        <v>20270616</v>
      </c>
      <c r="C533" s="31" t="n">
        <v>2027</v>
      </c>
      <c r="D533" s="31" t="inlineStr">
        <is>
          <t>K2</t>
        </is>
      </c>
      <c r="E533" s="31" t="n">
        <v>6</v>
      </c>
      <c r="F533" s="31" t="inlineStr">
        <is>
          <t>2027-06</t>
        </is>
      </c>
      <c r="G533" s="33" t="n">
        <v>46539</v>
      </c>
    </row>
    <row r="534">
      <c r="A534" s="33" t="n">
        <v>46555</v>
      </c>
      <c r="B534" s="31" t="n">
        <v>20270617</v>
      </c>
      <c r="C534" s="31" t="n">
        <v>2027</v>
      </c>
      <c r="D534" s="31" t="inlineStr">
        <is>
          <t>K2</t>
        </is>
      </c>
      <c r="E534" s="31" t="n">
        <v>6</v>
      </c>
      <c r="F534" s="31" t="inlineStr">
        <is>
          <t>2027-06</t>
        </is>
      </c>
      <c r="G534" s="33" t="n">
        <v>46539</v>
      </c>
    </row>
    <row r="535">
      <c r="A535" s="33" t="n">
        <v>46556</v>
      </c>
      <c r="B535" s="31" t="n">
        <v>20270618</v>
      </c>
      <c r="C535" s="31" t="n">
        <v>2027</v>
      </c>
      <c r="D535" s="31" t="inlineStr">
        <is>
          <t>K2</t>
        </is>
      </c>
      <c r="E535" s="31" t="n">
        <v>6</v>
      </c>
      <c r="F535" s="31" t="inlineStr">
        <is>
          <t>2027-06</t>
        </is>
      </c>
      <c r="G535" s="33" t="n">
        <v>46539</v>
      </c>
    </row>
    <row r="536">
      <c r="A536" s="33" t="n">
        <v>46557</v>
      </c>
      <c r="B536" s="31" t="n">
        <v>20270619</v>
      </c>
      <c r="C536" s="31" t="n">
        <v>2027</v>
      </c>
      <c r="D536" s="31" t="inlineStr">
        <is>
          <t>K2</t>
        </is>
      </c>
      <c r="E536" s="31" t="n">
        <v>6</v>
      </c>
      <c r="F536" s="31" t="inlineStr">
        <is>
          <t>2027-06</t>
        </is>
      </c>
      <c r="G536" s="33" t="n">
        <v>46539</v>
      </c>
    </row>
    <row r="537">
      <c r="A537" s="33" t="n">
        <v>46558</v>
      </c>
      <c r="B537" s="31" t="n">
        <v>20270620</v>
      </c>
      <c r="C537" s="31" t="n">
        <v>2027</v>
      </c>
      <c r="D537" s="31" t="inlineStr">
        <is>
          <t>K2</t>
        </is>
      </c>
      <c r="E537" s="31" t="n">
        <v>6</v>
      </c>
      <c r="F537" s="31" t="inlineStr">
        <is>
          <t>2027-06</t>
        </is>
      </c>
      <c r="G537" s="33" t="n">
        <v>46539</v>
      </c>
    </row>
    <row r="538">
      <c r="A538" s="33" t="n">
        <v>46559</v>
      </c>
      <c r="B538" s="31" t="n">
        <v>20270621</v>
      </c>
      <c r="C538" s="31" t="n">
        <v>2027</v>
      </c>
      <c r="D538" s="31" t="inlineStr">
        <is>
          <t>K2</t>
        </is>
      </c>
      <c r="E538" s="31" t="n">
        <v>6</v>
      </c>
      <c r="F538" s="31" t="inlineStr">
        <is>
          <t>2027-06</t>
        </is>
      </c>
      <c r="G538" s="33" t="n">
        <v>46539</v>
      </c>
    </row>
    <row r="539">
      <c r="A539" s="33" t="n">
        <v>46560</v>
      </c>
      <c r="B539" s="31" t="n">
        <v>20270622</v>
      </c>
      <c r="C539" s="31" t="n">
        <v>2027</v>
      </c>
      <c r="D539" s="31" t="inlineStr">
        <is>
          <t>K2</t>
        </is>
      </c>
      <c r="E539" s="31" t="n">
        <v>6</v>
      </c>
      <c r="F539" s="31" t="inlineStr">
        <is>
          <t>2027-06</t>
        </is>
      </c>
      <c r="G539" s="33" t="n">
        <v>46539</v>
      </c>
    </row>
    <row r="540">
      <c r="A540" s="33" t="n">
        <v>46561</v>
      </c>
      <c r="B540" s="31" t="n">
        <v>20270623</v>
      </c>
      <c r="C540" s="31" t="n">
        <v>2027</v>
      </c>
      <c r="D540" s="31" t="inlineStr">
        <is>
          <t>K2</t>
        </is>
      </c>
      <c r="E540" s="31" t="n">
        <v>6</v>
      </c>
      <c r="F540" s="31" t="inlineStr">
        <is>
          <t>2027-06</t>
        </is>
      </c>
      <c r="G540" s="33" t="n">
        <v>46539</v>
      </c>
    </row>
    <row r="541">
      <c r="A541" s="33" t="n">
        <v>46562</v>
      </c>
      <c r="B541" s="31" t="n">
        <v>20270624</v>
      </c>
      <c r="C541" s="31" t="n">
        <v>2027</v>
      </c>
      <c r="D541" s="31" t="inlineStr">
        <is>
          <t>K2</t>
        </is>
      </c>
      <c r="E541" s="31" t="n">
        <v>6</v>
      </c>
      <c r="F541" s="31" t="inlineStr">
        <is>
          <t>2027-06</t>
        </is>
      </c>
      <c r="G541" s="33" t="n">
        <v>46539</v>
      </c>
    </row>
    <row r="542">
      <c r="A542" s="33" t="n">
        <v>46563</v>
      </c>
      <c r="B542" s="31" t="n">
        <v>20270625</v>
      </c>
      <c r="C542" s="31" t="n">
        <v>2027</v>
      </c>
      <c r="D542" s="31" t="inlineStr">
        <is>
          <t>K2</t>
        </is>
      </c>
      <c r="E542" s="31" t="n">
        <v>6</v>
      </c>
      <c r="F542" s="31" t="inlineStr">
        <is>
          <t>2027-06</t>
        </is>
      </c>
      <c r="G542" s="33" t="n">
        <v>46539</v>
      </c>
    </row>
    <row r="543">
      <c r="A543" s="33" t="n">
        <v>46564</v>
      </c>
      <c r="B543" s="31" t="n">
        <v>20270626</v>
      </c>
      <c r="C543" s="31" t="n">
        <v>2027</v>
      </c>
      <c r="D543" s="31" t="inlineStr">
        <is>
          <t>K2</t>
        </is>
      </c>
      <c r="E543" s="31" t="n">
        <v>6</v>
      </c>
      <c r="F543" s="31" t="inlineStr">
        <is>
          <t>2027-06</t>
        </is>
      </c>
      <c r="G543" s="33" t="n">
        <v>46539</v>
      </c>
    </row>
    <row r="544">
      <c r="A544" s="33" t="n">
        <v>46565</v>
      </c>
      <c r="B544" s="31" t="n">
        <v>20270627</v>
      </c>
      <c r="C544" s="31" t="n">
        <v>2027</v>
      </c>
      <c r="D544" s="31" t="inlineStr">
        <is>
          <t>K2</t>
        </is>
      </c>
      <c r="E544" s="31" t="n">
        <v>6</v>
      </c>
      <c r="F544" s="31" t="inlineStr">
        <is>
          <t>2027-06</t>
        </is>
      </c>
      <c r="G544" s="33" t="n">
        <v>46539</v>
      </c>
    </row>
    <row r="545">
      <c r="A545" s="33" t="n">
        <v>46566</v>
      </c>
      <c r="B545" s="31" t="n">
        <v>20270628</v>
      </c>
      <c r="C545" s="31" t="n">
        <v>2027</v>
      </c>
      <c r="D545" s="31" t="inlineStr">
        <is>
          <t>K2</t>
        </is>
      </c>
      <c r="E545" s="31" t="n">
        <v>6</v>
      </c>
      <c r="F545" s="31" t="inlineStr">
        <is>
          <t>2027-06</t>
        </is>
      </c>
      <c r="G545" s="33" t="n">
        <v>46539</v>
      </c>
    </row>
    <row r="546">
      <c r="A546" s="33" t="n">
        <v>46567</v>
      </c>
      <c r="B546" s="31" t="n">
        <v>20270629</v>
      </c>
      <c r="C546" s="31" t="n">
        <v>2027</v>
      </c>
      <c r="D546" s="31" t="inlineStr">
        <is>
          <t>K2</t>
        </is>
      </c>
      <c r="E546" s="31" t="n">
        <v>6</v>
      </c>
      <c r="F546" s="31" t="inlineStr">
        <is>
          <t>2027-06</t>
        </is>
      </c>
      <c r="G546" s="33" t="n">
        <v>46539</v>
      </c>
    </row>
    <row r="547">
      <c r="A547" s="33" t="n">
        <v>46568</v>
      </c>
      <c r="B547" s="31" t="n">
        <v>20270630</v>
      </c>
      <c r="C547" s="31" t="n">
        <v>2027</v>
      </c>
      <c r="D547" s="31" t="inlineStr">
        <is>
          <t>K2</t>
        </is>
      </c>
      <c r="E547" s="31" t="n">
        <v>6</v>
      </c>
      <c r="F547" s="31" t="inlineStr">
        <is>
          <t>2027-06</t>
        </is>
      </c>
      <c r="G547" s="33" t="n">
        <v>46539</v>
      </c>
    </row>
    <row r="548">
      <c r="A548" s="33" t="n">
        <v>46569</v>
      </c>
      <c r="B548" s="31" t="n">
        <v>20270701</v>
      </c>
      <c r="C548" s="31" t="n">
        <v>2027</v>
      </c>
      <c r="D548" s="31" t="inlineStr">
        <is>
          <t>K3</t>
        </is>
      </c>
      <c r="E548" s="31" t="n">
        <v>7</v>
      </c>
      <c r="F548" s="31" t="inlineStr">
        <is>
          <t>2027-07</t>
        </is>
      </c>
      <c r="G548" s="33" t="n">
        <v>46569</v>
      </c>
    </row>
    <row r="549">
      <c r="A549" s="33" t="n">
        <v>46570</v>
      </c>
      <c r="B549" s="31" t="n">
        <v>20270702</v>
      </c>
      <c r="C549" s="31" t="n">
        <v>2027</v>
      </c>
      <c r="D549" s="31" t="inlineStr">
        <is>
          <t>K3</t>
        </is>
      </c>
      <c r="E549" s="31" t="n">
        <v>7</v>
      </c>
      <c r="F549" s="31" t="inlineStr">
        <is>
          <t>2027-07</t>
        </is>
      </c>
      <c r="G549" s="33" t="n">
        <v>46569</v>
      </c>
    </row>
    <row r="550">
      <c r="A550" s="33" t="n">
        <v>46571</v>
      </c>
      <c r="B550" s="31" t="n">
        <v>20270703</v>
      </c>
      <c r="C550" s="31" t="n">
        <v>2027</v>
      </c>
      <c r="D550" s="31" t="inlineStr">
        <is>
          <t>K3</t>
        </is>
      </c>
      <c r="E550" s="31" t="n">
        <v>7</v>
      </c>
      <c r="F550" s="31" t="inlineStr">
        <is>
          <t>2027-07</t>
        </is>
      </c>
      <c r="G550" s="33" t="n">
        <v>46569</v>
      </c>
    </row>
    <row r="551">
      <c r="A551" s="33" t="n">
        <v>46572</v>
      </c>
      <c r="B551" s="31" t="n">
        <v>20270704</v>
      </c>
      <c r="C551" s="31" t="n">
        <v>2027</v>
      </c>
      <c r="D551" s="31" t="inlineStr">
        <is>
          <t>K3</t>
        </is>
      </c>
      <c r="E551" s="31" t="n">
        <v>7</v>
      </c>
      <c r="F551" s="31" t="inlineStr">
        <is>
          <t>2027-07</t>
        </is>
      </c>
      <c r="G551" s="33" t="n">
        <v>46569</v>
      </c>
    </row>
    <row r="552">
      <c r="A552" s="33" t="n">
        <v>46573</v>
      </c>
      <c r="B552" s="31" t="n">
        <v>20270705</v>
      </c>
      <c r="C552" s="31" t="n">
        <v>2027</v>
      </c>
      <c r="D552" s="31" t="inlineStr">
        <is>
          <t>K3</t>
        </is>
      </c>
      <c r="E552" s="31" t="n">
        <v>7</v>
      </c>
      <c r="F552" s="31" t="inlineStr">
        <is>
          <t>2027-07</t>
        </is>
      </c>
      <c r="G552" s="33" t="n">
        <v>46569</v>
      </c>
    </row>
    <row r="553">
      <c r="A553" s="33" t="n">
        <v>46574</v>
      </c>
      <c r="B553" s="31" t="n">
        <v>20270706</v>
      </c>
      <c r="C553" s="31" t="n">
        <v>2027</v>
      </c>
      <c r="D553" s="31" t="inlineStr">
        <is>
          <t>K3</t>
        </is>
      </c>
      <c r="E553" s="31" t="n">
        <v>7</v>
      </c>
      <c r="F553" s="31" t="inlineStr">
        <is>
          <t>2027-07</t>
        </is>
      </c>
      <c r="G553" s="33" t="n">
        <v>46569</v>
      </c>
    </row>
    <row r="554">
      <c r="A554" s="33" t="n">
        <v>46575</v>
      </c>
      <c r="B554" s="31" t="n">
        <v>20270707</v>
      </c>
      <c r="C554" s="31" t="n">
        <v>2027</v>
      </c>
      <c r="D554" s="31" t="inlineStr">
        <is>
          <t>K3</t>
        </is>
      </c>
      <c r="E554" s="31" t="n">
        <v>7</v>
      </c>
      <c r="F554" s="31" t="inlineStr">
        <is>
          <t>2027-07</t>
        </is>
      </c>
      <c r="G554" s="33" t="n">
        <v>46569</v>
      </c>
    </row>
    <row r="555">
      <c r="A555" s="33" t="n">
        <v>46576</v>
      </c>
      <c r="B555" s="31" t="n">
        <v>20270708</v>
      </c>
      <c r="C555" s="31" t="n">
        <v>2027</v>
      </c>
      <c r="D555" s="31" t="inlineStr">
        <is>
          <t>K3</t>
        </is>
      </c>
      <c r="E555" s="31" t="n">
        <v>7</v>
      </c>
      <c r="F555" s="31" t="inlineStr">
        <is>
          <t>2027-07</t>
        </is>
      </c>
      <c r="G555" s="33" t="n">
        <v>46569</v>
      </c>
    </row>
    <row r="556">
      <c r="A556" s="33" t="n">
        <v>46577</v>
      </c>
      <c r="B556" s="31" t="n">
        <v>20270709</v>
      </c>
      <c r="C556" s="31" t="n">
        <v>2027</v>
      </c>
      <c r="D556" s="31" t="inlineStr">
        <is>
          <t>K3</t>
        </is>
      </c>
      <c r="E556" s="31" t="n">
        <v>7</v>
      </c>
      <c r="F556" s="31" t="inlineStr">
        <is>
          <t>2027-07</t>
        </is>
      </c>
      <c r="G556" s="33" t="n">
        <v>46569</v>
      </c>
    </row>
    <row r="557">
      <c r="A557" s="33" t="n">
        <v>46578</v>
      </c>
      <c r="B557" s="31" t="n">
        <v>20270710</v>
      </c>
      <c r="C557" s="31" t="n">
        <v>2027</v>
      </c>
      <c r="D557" s="31" t="inlineStr">
        <is>
          <t>K3</t>
        </is>
      </c>
      <c r="E557" s="31" t="n">
        <v>7</v>
      </c>
      <c r="F557" s="31" t="inlineStr">
        <is>
          <t>2027-07</t>
        </is>
      </c>
      <c r="G557" s="33" t="n">
        <v>46569</v>
      </c>
    </row>
    <row r="558">
      <c r="A558" s="33" t="n">
        <v>46579</v>
      </c>
      <c r="B558" s="31" t="n">
        <v>20270711</v>
      </c>
      <c r="C558" s="31" t="n">
        <v>2027</v>
      </c>
      <c r="D558" s="31" t="inlineStr">
        <is>
          <t>K3</t>
        </is>
      </c>
      <c r="E558" s="31" t="n">
        <v>7</v>
      </c>
      <c r="F558" s="31" t="inlineStr">
        <is>
          <t>2027-07</t>
        </is>
      </c>
      <c r="G558" s="33" t="n">
        <v>46569</v>
      </c>
    </row>
    <row r="559">
      <c r="A559" s="33" t="n">
        <v>46580</v>
      </c>
      <c r="B559" s="31" t="n">
        <v>20270712</v>
      </c>
      <c r="C559" s="31" t="n">
        <v>2027</v>
      </c>
      <c r="D559" s="31" t="inlineStr">
        <is>
          <t>K3</t>
        </is>
      </c>
      <c r="E559" s="31" t="n">
        <v>7</v>
      </c>
      <c r="F559" s="31" t="inlineStr">
        <is>
          <t>2027-07</t>
        </is>
      </c>
      <c r="G559" s="33" t="n">
        <v>46569</v>
      </c>
    </row>
    <row r="560">
      <c r="A560" s="33" t="n">
        <v>46581</v>
      </c>
      <c r="B560" s="31" t="n">
        <v>20270713</v>
      </c>
      <c r="C560" s="31" t="n">
        <v>2027</v>
      </c>
      <c r="D560" s="31" t="inlineStr">
        <is>
          <t>K3</t>
        </is>
      </c>
      <c r="E560" s="31" t="n">
        <v>7</v>
      </c>
      <c r="F560" s="31" t="inlineStr">
        <is>
          <t>2027-07</t>
        </is>
      </c>
      <c r="G560" s="33" t="n">
        <v>46569</v>
      </c>
    </row>
    <row r="561">
      <c r="A561" s="33" t="n">
        <v>46582</v>
      </c>
      <c r="B561" s="31" t="n">
        <v>20270714</v>
      </c>
      <c r="C561" s="31" t="n">
        <v>2027</v>
      </c>
      <c r="D561" s="31" t="inlineStr">
        <is>
          <t>K3</t>
        </is>
      </c>
      <c r="E561" s="31" t="n">
        <v>7</v>
      </c>
      <c r="F561" s="31" t="inlineStr">
        <is>
          <t>2027-07</t>
        </is>
      </c>
      <c r="G561" s="33" t="n">
        <v>46569</v>
      </c>
    </row>
    <row r="562">
      <c r="A562" s="33" t="n">
        <v>46583</v>
      </c>
      <c r="B562" s="31" t="n">
        <v>20270715</v>
      </c>
      <c r="C562" s="31" t="n">
        <v>2027</v>
      </c>
      <c r="D562" s="31" t="inlineStr">
        <is>
          <t>K3</t>
        </is>
      </c>
      <c r="E562" s="31" t="n">
        <v>7</v>
      </c>
      <c r="F562" s="31" t="inlineStr">
        <is>
          <t>2027-07</t>
        </is>
      </c>
      <c r="G562" s="33" t="n">
        <v>46569</v>
      </c>
    </row>
    <row r="563">
      <c r="A563" s="33" t="n">
        <v>46584</v>
      </c>
      <c r="B563" s="31" t="n">
        <v>20270716</v>
      </c>
      <c r="C563" s="31" t="n">
        <v>2027</v>
      </c>
      <c r="D563" s="31" t="inlineStr">
        <is>
          <t>K3</t>
        </is>
      </c>
      <c r="E563" s="31" t="n">
        <v>7</v>
      </c>
      <c r="F563" s="31" t="inlineStr">
        <is>
          <t>2027-07</t>
        </is>
      </c>
      <c r="G563" s="33" t="n">
        <v>46569</v>
      </c>
    </row>
    <row r="564">
      <c r="A564" s="33" t="n">
        <v>46585</v>
      </c>
      <c r="B564" s="31" t="n">
        <v>20270717</v>
      </c>
      <c r="C564" s="31" t="n">
        <v>2027</v>
      </c>
      <c r="D564" s="31" t="inlineStr">
        <is>
          <t>K3</t>
        </is>
      </c>
      <c r="E564" s="31" t="n">
        <v>7</v>
      </c>
      <c r="F564" s="31" t="inlineStr">
        <is>
          <t>2027-07</t>
        </is>
      </c>
      <c r="G564" s="33" t="n">
        <v>46569</v>
      </c>
    </row>
    <row r="565">
      <c r="A565" s="33" t="n">
        <v>46586</v>
      </c>
      <c r="B565" s="31" t="n">
        <v>20270718</v>
      </c>
      <c r="C565" s="31" t="n">
        <v>2027</v>
      </c>
      <c r="D565" s="31" t="inlineStr">
        <is>
          <t>K3</t>
        </is>
      </c>
      <c r="E565" s="31" t="n">
        <v>7</v>
      </c>
      <c r="F565" s="31" t="inlineStr">
        <is>
          <t>2027-07</t>
        </is>
      </c>
      <c r="G565" s="33" t="n">
        <v>46569</v>
      </c>
    </row>
    <row r="566">
      <c r="A566" s="33" t="n">
        <v>46587</v>
      </c>
      <c r="B566" s="31" t="n">
        <v>20270719</v>
      </c>
      <c r="C566" s="31" t="n">
        <v>2027</v>
      </c>
      <c r="D566" s="31" t="inlineStr">
        <is>
          <t>K3</t>
        </is>
      </c>
      <c r="E566" s="31" t="n">
        <v>7</v>
      </c>
      <c r="F566" s="31" t="inlineStr">
        <is>
          <t>2027-07</t>
        </is>
      </c>
      <c r="G566" s="33" t="n">
        <v>46569</v>
      </c>
    </row>
    <row r="567">
      <c r="A567" s="33" t="n">
        <v>46588</v>
      </c>
      <c r="B567" s="31" t="n">
        <v>20270720</v>
      </c>
      <c r="C567" s="31" t="n">
        <v>2027</v>
      </c>
      <c r="D567" s="31" t="inlineStr">
        <is>
          <t>K3</t>
        </is>
      </c>
      <c r="E567" s="31" t="n">
        <v>7</v>
      </c>
      <c r="F567" s="31" t="inlineStr">
        <is>
          <t>2027-07</t>
        </is>
      </c>
      <c r="G567" s="33" t="n">
        <v>46569</v>
      </c>
    </row>
    <row r="568">
      <c r="A568" s="33" t="n">
        <v>46589</v>
      </c>
      <c r="B568" s="31" t="n">
        <v>20270721</v>
      </c>
      <c r="C568" s="31" t="n">
        <v>2027</v>
      </c>
      <c r="D568" s="31" t="inlineStr">
        <is>
          <t>K3</t>
        </is>
      </c>
      <c r="E568" s="31" t="n">
        <v>7</v>
      </c>
      <c r="F568" s="31" t="inlineStr">
        <is>
          <t>2027-07</t>
        </is>
      </c>
      <c r="G568" s="33" t="n">
        <v>46569</v>
      </c>
    </row>
    <row r="569">
      <c r="A569" s="33" t="n">
        <v>46590</v>
      </c>
      <c r="B569" s="31" t="n">
        <v>20270722</v>
      </c>
      <c r="C569" s="31" t="n">
        <v>2027</v>
      </c>
      <c r="D569" s="31" t="inlineStr">
        <is>
          <t>K3</t>
        </is>
      </c>
      <c r="E569" s="31" t="n">
        <v>7</v>
      </c>
      <c r="F569" s="31" t="inlineStr">
        <is>
          <t>2027-07</t>
        </is>
      </c>
      <c r="G569" s="33" t="n">
        <v>46569</v>
      </c>
    </row>
    <row r="570">
      <c r="A570" s="33" t="n">
        <v>46591</v>
      </c>
      <c r="B570" s="31" t="n">
        <v>20270723</v>
      </c>
      <c r="C570" s="31" t="n">
        <v>2027</v>
      </c>
      <c r="D570" s="31" t="inlineStr">
        <is>
          <t>K3</t>
        </is>
      </c>
      <c r="E570" s="31" t="n">
        <v>7</v>
      </c>
      <c r="F570" s="31" t="inlineStr">
        <is>
          <t>2027-07</t>
        </is>
      </c>
      <c r="G570" s="33" t="n">
        <v>46569</v>
      </c>
    </row>
    <row r="571">
      <c r="A571" s="33" t="n">
        <v>46592</v>
      </c>
      <c r="B571" s="31" t="n">
        <v>20270724</v>
      </c>
      <c r="C571" s="31" t="n">
        <v>2027</v>
      </c>
      <c r="D571" s="31" t="inlineStr">
        <is>
          <t>K3</t>
        </is>
      </c>
      <c r="E571" s="31" t="n">
        <v>7</v>
      </c>
      <c r="F571" s="31" t="inlineStr">
        <is>
          <t>2027-07</t>
        </is>
      </c>
      <c r="G571" s="33" t="n">
        <v>46569</v>
      </c>
    </row>
    <row r="572">
      <c r="A572" s="33" t="n">
        <v>46593</v>
      </c>
      <c r="B572" s="31" t="n">
        <v>20270725</v>
      </c>
      <c r="C572" s="31" t="n">
        <v>2027</v>
      </c>
      <c r="D572" s="31" t="inlineStr">
        <is>
          <t>K3</t>
        </is>
      </c>
      <c r="E572" s="31" t="n">
        <v>7</v>
      </c>
      <c r="F572" s="31" t="inlineStr">
        <is>
          <t>2027-07</t>
        </is>
      </c>
      <c r="G572" s="33" t="n">
        <v>46569</v>
      </c>
    </row>
    <row r="573">
      <c r="A573" s="33" t="n">
        <v>46594</v>
      </c>
      <c r="B573" s="31" t="n">
        <v>20270726</v>
      </c>
      <c r="C573" s="31" t="n">
        <v>2027</v>
      </c>
      <c r="D573" s="31" t="inlineStr">
        <is>
          <t>K3</t>
        </is>
      </c>
      <c r="E573" s="31" t="n">
        <v>7</v>
      </c>
      <c r="F573" s="31" t="inlineStr">
        <is>
          <t>2027-07</t>
        </is>
      </c>
      <c r="G573" s="33" t="n">
        <v>46569</v>
      </c>
    </row>
    <row r="574">
      <c r="A574" s="33" t="n">
        <v>46595</v>
      </c>
      <c r="B574" s="31" t="n">
        <v>20270727</v>
      </c>
      <c r="C574" s="31" t="n">
        <v>2027</v>
      </c>
      <c r="D574" s="31" t="inlineStr">
        <is>
          <t>K3</t>
        </is>
      </c>
      <c r="E574" s="31" t="n">
        <v>7</v>
      </c>
      <c r="F574" s="31" t="inlineStr">
        <is>
          <t>2027-07</t>
        </is>
      </c>
      <c r="G574" s="33" t="n">
        <v>46569</v>
      </c>
    </row>
    <row r="575">
      <c r="A575" s="33" t="n">
        <v>46596</v>
      </c>
      <c r="B575" s="31" t="n">
        <v>20270728</v>
      </c>
      <c r="C575" s="31" t="n">
        <v>2027</v>
      </c>
      <c r="D575" s="31" t="inlineStr">
        <is>
          <t>K3</t>
        </is>
      </c>
      <c r="E575" s="31" t="n">
        <v>7</v>
      </c>
      <c r="F575" s="31" t="inlineStr">
        <is>
          <t>2027-07</t>
        </is>
      </c>
      <c r="G575" s="33" t="n">
        <v>46569</v>
      </c>
    </row>
    <row r="576">
      <c r="A576" s="33" t="n">
        <v>46597</v>
      </c>
      <c r="B576" s="31" t="n">
        <v>20270729</v>
      </c>
      <c r="C576" s="31" t="n">
        <v>2027</v>
      </c>
      <c r="D576" s="31" t="inlineStr">
        <is>
          <t>K3</t>
        </is>
      </c>
      <c r="E576" s="31" t="n">
        <v>7</v>
      </c>
      <c r="F576" s="31" t="inlineStr">
        <is>
          <t>2027-07</t>
        </is>
      </c>
      <c r="G576" s="33" t="n">
        <v>46569</v>
      </c>
    </row>
    <row r="577">
      <c r="A577" s="33" t="n">
        <v>46598</v>
      </c>
      <c r="B577" s="31" t="n">
        <v>20270730</v>
      </c>
      <c r="C577" s="31" t="n">
        <v>2027</v>
      </c>
      <c r="D577" s="31" t="inlineStr">
        <is>
          <t>K3</t>
        </is>
      </c>
      <c r="E577" s="31" t="n">
        <v>7</v>
      </c>
      <c r="F577" s="31" t="inlineStr">
        <is>
          <t>2027-07</t>
        </is>
      </c>
      <c r="G577" s="33" t="n">
        <v>46569</v>
      </c>
    </row>
    <row r="578">
      <c r="A578" s="33" t="n">
        <v>46599</v>
      </c>
      <c r="B578" s="31" t="n">
        <v>20270731</v>
      </c>
      <c r="C578" s="31" t="n">
        <v>2027</v>
      </c>
      <c r="D578" s="31" t="inlineStr">
        <is>
          <t>K3</t>
        </is>
      </c>
      <c r="E578" s="31" t="n">
        <v>7</v>
      </c>
      <c r="F578" s="31" t="inlineStr">
        <is>
          <t>2027-07</t>
        </is>
      </c>
      <c r="G578" s="33" t="n">
        <v>46569</v>
      </c>
    </row>
    <row r="579">
      <c r="A579" s="33" t="n">
        <v>46600</v>
      </c>
      <c r="B579" s="31" t="n">
        <v>20270801</v>
      </c>
      <c r="C579" s="31" t="n">
        <v>2027</v>
      </c>
      <c r="D579" s="31" t="inlineStr">
        <is>
          <t>K3</t>
        </is>
      </c>
      <c r="E579" s="31" t="n">
        <v>8</v>
      </c>
      <c r="F579" s="31" t="inlineStr">
        <is>
          <t>2027-08</t>
        </is>
      </c>
      <c r="G579" s="33" t="n">
        <v>46600</v>
      </c>
    </row>
    <row r="580">
      <c r="A580" s="33" t="n">
        <v>46601</v>
      </c>
      <c r="B580" s="31" t="n">
        <v>20270802</v>
      </c>
      <c r="C580" s="31" t="n">
        <v>2027</v>
      </c>
      <c r="D580" s="31" t="inlineStr">
        <is>
          <t>K3</t>
        </is>
      </c>
      <c r="E580" s="31" t="n">
        <v>8</v>
      </c>
      <c r="F580" s="31" t="inlineStr">
        <is>
          <t>2027-08</t>
        </is>
      </c>
      <c r="G580" s="33" t="n">
        <v>46600</v>
      </c>
    </row>
    <row r="581">
      <c r="A581" s="33" t="n">
        <v>46602</v>
      </c>
      <c r="B581" s="31" t="n">
        <v>20270803</v>
      </c>
      <c r="C581" s="31" t="n">
        <v>2027</v>
      </c>
      <c r="D581" s="31" t="inlineStr">
        <is>
          <t>K3</t>
        </is>
      </c>
      <c r="E581" s="31" t="n">
        <v>8</v>
      </c>
      <c r="F581" s="31" t="inlineStr">
        <is>
          <t>2027-08</t>
        </is>
      </c>
      <c r="G581" s="33" t="n">
        <v>46600</v>
      </c>
    </row>
    <row r="582">
      <c r="A582" s="33" t="n">
        <v>46603</v>
      </c>
      <c r="B582" s="31" t="n">
        <v>20270804</v>
      </c>
      <c r="C582" s="31" t="n">
        <v>2027</v>
      </c>
      <c r="D582" s="31" t="inlineStr">
        <is>
          <t>K3</t>
        </is>
      </c>
      <c r="E582" s="31" t="n">
        <v>8</v>
      </c>
      <c r="F582" s="31" t="inlineStr">
        <is>
          <t>2027-08</t>
        </is>
      </c>
      <c r="G582" s="33" t="n">
        <v>46600</v>
      </c>
    </row>
    <row r="583">
      <c r="A583" s="33" t="n">
        <v>46604</v>
      </c>
      <c r="B583" s="31" t="n">
        <v>20270805</v>
      </c>
      <c r="C583" s="31" t="n">
        <v>2027</v>
      </c>
      <c r="D583" s="31" t="inlineStr">
        <is>
          <t>K3</t>
        </is>
      </c>
      <c r="E583" s="31" t="n">
        <v>8</v>
      </c>
      <c r="F583" s="31" t="inlineStr">
        <is>
          <t>2027-08</t>
        </is>
      </c>
      <c r="G583" s="33" t="n">
        <v>46600</v>
      </c>
    </row>
    <row r="584">
      <c r="A584" s="33" t="n">
        <v>46605</v>
      </c>
      <c r="B584" s="31" t="n">
        <v>20270806</v>
      </c>
      <c r="C584" s="31" t="n">
        <v>2027</v>
      </c>
      <c r="D584" s="31" t="inlineStr">
        <is>
          <t>K3</t>
        </is>
      </c>
      <c r="E584" s="31" t="n">
        <v>8</v>
      </c>
      <c r="F584" s="31" t="inlineStr">
        <is>
          <t>2027-08</t>
        </is>
      </c>
      <c r="G584" s="33" t="n">
        <v>46600</v>
      </c>
    </row>
    <row r="585">
      <c r="A585" s="33" t="n">
        <v>46606</v>
      </c>
      <c r="B585" s="31" t="n">
        <v>20270807</v>
      </c>
      <c r="C585" s="31" t="n">
        <v>2027</v>
      </c>
      <c r="D585" s="31" t="inlineStr">
        <is>
          <t>K3</t>
        </is>
      </c>
      <c r="E585" s="31" t="n">
        <v>8</v>
      </c>
      <c r="F585" s="31" t="inlineStr">
        <is>
          <t>2027-08</t>
        </is>
      </c>
      <c r="G585" s="33" t="n">
        <v>46600</v>
      </c>
    </row>
    <row r="586">
      <c r="A586" s="33" t="n">
        <v>46607</v>
      </c>
      <c r="B586" s="31" t="n">
        <v>20270808</v>
      </c>
      <c r="C586" s="31" t="n">
        <v>2027</v>
      </c>
      <c r="D586" s="31" t="inlineStr">
        <is>
          <t>K3</t>
        </is>
      </c>
      <c r="E586" s="31" t="n">
        <v>8</v>
      </c>
      <c r="F586" s="31" t="inlineStr">
        <is>
          <t>2027-08</t>
        </is>
      </c>
      <c r="G586" s="33" t="n">
        <v>46600</v>
      </c>
    </row>
    <row r="587">
      <c r="A587" s="33" t="n">
        <v>46608</v>
      </c>
      <c r="B587" s="31" t="n">
        <v>20270809</v>
      </c>
      <c r="C587" s="31" t="n">
        <v>2027</v>
      </c>
      <c r="D587" s="31" t="inlineStr">
        <is>
          <t>K3</t>
        </is>
      </c>
      <c r="E587" s="31" t="n">
        <v>8</v>
      </c>
      <c r="F587" s="31" t="inlineStr">
        <is>
          <t>2027-08</t>
        </is>
      </c>
      <c r="G587" s="33" t="n">
        <v>46600</v>
      </c>
    </row>
    <row r="588">
      <c r="A588" s="33" t="n">
        <v>46609</v>
      </c>
      <c r="B588" s="31" t="n">
        <v>20270810</v>
      </c>
      <c r="C588" s="31" t="n">
        <v>2027</v>
      </c>
      <c r="D588" s="31" t="inlineStr">
        <is>
          <t>K3</t>
        </is>
      </c>
      <c r="E588" s="31" t="n">
        <v>8</v>
      </c>
      <c r="F588" s="31" t="inlineStr">
        <is>
          <t>2027-08</t>
        </is>
      </c>
      <c r="G588" s="33" t="n">
        <v>46600</v>
      </c>
    </row>
    <row r="589">
      <c r="A589" s="33" t="n">
        <v>46610</v>
      </c>
      <c r="B589" s="31" t="n">
        <v>20270811</v>
      </c>
      <c r="C589" s="31" t="n">
        <v>2027</v>
      </c>
      <c r="D589" s="31" t="inlineStr">
        <is>
          <t>K3</t>
        </is>
      </c>
      <c r="E589" s="31" t="n">
        <v>8</v>
      </c>
      <c r="F589" s="31" t="inlineStr">
        <is>
          <t>2027-08</t>
        </is>
      </c>
      <c r="G589" s="33" t="n">
        <v>46600</v>
      </c>
    </row>
    <row r="590">
      <c r="A590" s="33" t="n">
        <v>46611</v>
      </c>
      <c r="B590" s="31" t="n">
        <v>20270812</v>
      </c>
      <c r="C590" s="31" t="n">
        <v>2027</v>
      </c>
      <c r="D590" s="31" t="inlineStr">
        <is>
          <t>K3</t>
        </is>
      </c>
      <c r="E590" s="31" t="n">
        <v>8</v>
      </c>
      <c r="F590" s="31" t="inlineStr">
        <is>
          <t>2027-08</t>
        </is>
      </c>
      <c r="G590" s="33" t="n">
        <v>46600</v>
      </c>
    </row>
    <row r="591">
      <c r="A591" s="33" t="n">
        <v>46612</v>
      </c>
      <c r="B591" s="31" t="n">
        <v>20270813</v>
      </c>
      <c r="C591" s="31" t="n">
        <v>2027</v>
      </c>
      <c r="D591" s="31" t="inlineStr">
        <is>
          <t>K3</t>
        </is>
      </c>
      <c r="E591" s="31" t="n">
        <v>8</v>
      </c>
      <c r="F591" s="31" t="inlineStr">
        <is>
          <t>2027-08</t>
        </is>
      </c>
      <c r="G591" s="33" t="n">
        <v>46600</v>
      </c>
    </row>
    <row r="592">
      <c r="A592" s="33" t="n">
        <v>46613</v>
      </c>
      <c r="B592" s="31" t="n">
        <v>20270814</v>
      </c>
      <c r="C592" s="31" t="n">
        <v>2027</v>
      </c>
      <c r="D592" s="31" t="inlineStr">
        <is>
          <t>K3</t>
        </is>
      </c>
      <c r="E592" s="31" t="n">
        <v>8</v>
      </c>
      <c r="F592" s="31" t="inlineStr">
        <is>
          <t>2027-08</t>
        </is>
      </c>
      <c r="G592" s="33" t="n">
        <v>46600</v>
      </c>
    </row>
    <row r="593">
      <c r="A593" s="33" t="n">
        <v>46614</v>
      </c>
      <c r="B593" s="31" t="n">
        <v>20270815</v>
      </c>
      <c r="C593" s="31" t="n">
        <v>2027</v>
      </c>
      <c r="D593" s="31" t="inlineStr">
        <is>
          <t>K3</t>
        </is>
      </c>
      <c r="E593" s="31" t="n">
        <v>8</v>
      </c>
      <c r="F593" s="31" t="inlineStr">
        <is>
          <t>2027-08</t>
        </is>
      </c>
      <c r="G593" s="33" t="n">
        <v>46600</v>
      </c>
    </row>
    <row r="594">
      <c r="A594" s="33" t="n">
        <v>46615</v>
      </c>
      <c r="B594" s="31" t="n">
        <v>20270816</v>
      </c>
      <c r="C594" s="31" t="n">
        <v>2027</v>
      </c>
      <c r="D594" s="31" t="inlineStr">
        <is>
          <t>K3</t>
        </is>
      </c>
      <c r="E594" s="31" t="n">
        <v>8</v>
      </c>
      <c r="F594" s="31" t="inlineStr">
        <is>
          <t>2027-08</t>
        </is>
      </c>
      <c r="G594" s="33" t="n">
        <v>46600</v>
      </c>
    </row>
    <row r="595">
      <c r="A595" s="33" t="n">
        <v>46616</v>
      </c>
      <c r="B595" s="31" t="n">
        <v>20270817</v>
      </c>
      <c r="C595" s="31" t="n">
        <v>2027</v>
      </c>
      <c r="D595" s="31" t="inlineStr">
        <is>
          <t>K3</t>
        </is>
      </c>
      <c r="E595" s="31" t="n">
        <v>8</v>
      </c>
      <c r="F595" s="31" t="inlineStr">
        <is>
          <t>2027-08</t>
        </is>
      </c>
      <c r="G595" s="33" t="n">
        <v>46600</v>
      </c>
    </row>
    <row r="596">
      <c r="A596" s="33" t="n">
        <v>46617</v>
      </c>
      <c r="B596" s="31" t="n">
        <v>20270818</v>
      </c>
      <c r="C596" s="31" t="n">
        <v>2027</v>
      </c>
      <c r="D596" s="31" t="inlineStr">
        <is>
          <t>K3</t>
        </is>
      </c>
      <c r="E596" s="31" t="n">
        <v>8</v>
      </c>
      <c r="F596" s="31" t="inlineStr">
        <is>
          <t>2027-08</t>
        </is>
      </c>
      <c r="G596" s="33" t="n">
        <v>46600</v>
      </c>
    </row>
    <row r="597">
      <c r="A597" s="33" t="n">
        <v>46618</v>
      </c>
      <c r="B597" s="31" t="n">
        <v>20270819</v>
      </c>
      <c r="C597" s="31" t="n">
        <v>2027</v>
      </c>
      <c r="D597" s="31" t="inlineStr">
        <is>
          <t>K3</t>
        </is>
      </c>
      <c r="E597" s="31" t="n">
        <v>8</v>
      </c>
      <c r="F597" s="31" t="inlineStr">
        <is>
          <t>2027-08</t>
        </is>
      </c>
      <c r="G597" s="33" t="n">
        <v>46600</v>
      </c>
    </row>
    <row r="598">
      <c r="A598" s="33" t="n">
        <v>46619</v>
      </c>
      <c r="B598" s="31" t="n">
        <v>20270820</v>
      </c>
      <c r="C598" s="31" t="n">
        <v>2027</v>
      </c>
      <c r="D598" s="31" t="inlineStr">
        <is>
          <t>K3</t>
        </is>
      </c>
      <c r="E598" s="31" t="n">
        <v>8</v>
      </c>
      <c r="F598" s="31" t="inlineStr">
        <is>
          <t>2027-08</t>
        </is>
      </c>
      <c r="G598" s="33" t="n">
        <v>46600</v>
      </c>
    </row>
    <row r="599">
      <c r="A599" s="33" t="n">
        <v>46620</v>
      </c>
      <c r="B599" s="31" t="n">
        <v>20270821</v>
      </c>
      <c r="C599" s="31" t="n">
        <v>2027</v>
      </c>
      <c r="D599" s="31" t="inlineStr">
        <is>
          <t>K3</t>
        </is>
      </c>
      <c r="E599" s="31" t="n">
        <v>8</v>
      </c>
      <c r="F599" s="31" t="inlineStr">
        <is>
          <t>2027-08</t>
        </is>
      </c>
      <c r="G599" s="33" t="n">
        <v>46600</v>
      </c>
    </row>
    <row r="600">
      <c r="A600" s="33" t="n">
        <v>46621</v>
      </c>
      <c r="B600" s="31" t="n">
        <v>20270822</v>
      </c>
      <c r="C600" s="31" t="n">
        <v>2027</v>
      </c>
      <c r="D600" s="31" t="inlineStr">
        <is>
          <t>K3</t>
        </is>
      </c>
      <c r="E600" s="31" t="n">
        <v>8</v>
      </c>
      <c r="F600" s="31" t="inlineStr">
        <is>
          <t>2027-08</t>
        </is>
      </c>
      <c r="G600" s="33" t="n">
        <v>46600</v>
      </c>
    </row>
    <row r="601">
      <c r="A601" s="33" t="n">
        <v>46622</v>
      </c>
      <c r="B601" s="31" t="n">
        <v>20270823</v>
      </c>
      <c r="C601" s="31" t="n">
        <v>2027</v>
      </c>
      <c r="D601" s="31" t="inlineStr">
        <is>
          <t>K3</t>
        </is>
      </c>
      <c r="E601" s="31" t="n">
        <v>8</v>
      </c>
      <c r="F601" s="31" t="inlineStr">
        <is>
          <t>2027-08</t>
        </is>
      </c>
      <c r="G601" s="33" t="n">
        <v>46600</v>
      </c>
    </row>
    <row r="602">
      <c r="A602" s="33" t="n">
        <v>46623</v>
      </c>
      <c r="B602" s="31" t="n">
        <v>20270824</v>
      </c>
      <c r="C602" s="31" t="n">
        <v>2027</v>
      </c>
      <c r="D602" s="31" t="inlineStr">
        <is>
          <t>K3</t>
        </is>
      </c>
      <c r="E602" s="31" t="n">
        <v>8</v>
      </c>
      <c r="F602" s="31" t="inlineStr">
        <is>
          <t>2027-08</t>
        </is>
      </c>
      <c r="G602" s="33" t="n">
        <v>46600</v>
      </c>
    </row>
    <row r="603">
      <c r="A603" s="33" t="n">
        <v>46624</v>
      </c>
      <c r="B603" s="31" t="n">
        <v>20270825</v>
      </c>
      <c r="C603" s="31" t="n">
        <v>2027</v>
      </c>
      <c r="D603" s="31" t="inlineStr">
        <is>
          <t>K3</t>
        </is>
      </c>
      <c r="E603" s="31" t="n">
        <v>8</v>
      </c>
      <c r="F603" s="31" t="inlineStr">
        <is>
          <t>2027-08</t>
        </is>
      </c>
      <c r="G603" s="33" t="n">
        <v>46600</v>
      </c>
    </row>
    <row r="604">
      <c r="A604" s="33" t="n">
        <v>46625</v>
      </c>
      <c r="B604" s="31" t="n">
        <v>20270826</v>
      </c>
      <c r="C604" s="31" t="n">
        <v>2027</v>
      </c>
      <c r="D604" s="31" t="inlineStr">
        <is>
          <t>K3</t>
        </is>
      </c>
      <c r="E604" s="31" t="n">
        <v>8</v>
      </c>
      <c r="F604" s="31" t="inlineStr">
        <is>
          <t>2027-08</t>
        </is>
      </c>
      <c r="G604" s="33" t="n">
        <v>46600</v>
      </c>
    </row>
    <row r="605">
      <c r="A605" s="33" t="n">
        <v>46626</v>
      </c>
      <c r="B605" s="31" t="n">
        <v>20270827</v>
      </c>
      <c r="C605" s="31" t="n">
        <v>2027</v>
      </c>
      <c r="D605" s="31" t="inlineStr">
        <is>
          <t>K3</t>
        </is>
      </c>
      <c r="E605" s="31" t="n">
        <v>8</v>
      </c>
      <c r="F605" s="31" t="inlineStr">
        <is>
          <t>2027-08</t>
        </is>
      </c>
      <c r="G605" s="33" t="n">
        <v>46600</v>
      </c>
    </row>
    <row r="606">
      <c r="A606" s="33" t="n">
        <v>46627</v>
      </c>
      <c r="B606" s="31" t="n">
        <v>20270828</v>
      </c>
      <c r="C606" s="31" t="n">
        <v>2027</v>
      </c>
      <c r="D606" s="31" t="inlineStr">
        <is>
          <t>K3</t>
        </is>
      </c>
      <c r="E606" s="31" t="n">
        <v>8</v>
      </c>
      <c r="F606" s="31" t="inlineStr">
        <is>
          <t>2027-08</t>
        </is>
      </c>
      <c r="G606" s="33" t="n">
        <v>46600</v>
      </c>
    </row>
    <row r="607">
      <c r="A607" s="33" t="n">
        <v>46628</v>
      </c>
      <c r="B607" s="31" t="n">
        <v>20270829</v>
      </c>
      <c r="C607" s="31" t="n">
        <v>2027</v>
      </c>
      <c r="D607" s="31" t="inlineStr">
        <is>
          <t>K3</t>
        </is>
      </c>
      <c r="E607" s="31" t="n">
        <v>8</v>
      </c>
      <c r="F607" s="31" t="inlineStr">
        <is>
          <t>2027-08</t>
        </is>
      </c>
      <c r="G607" s="33" t="n">
        <v>46600</v>
      </c>
    </row>
    <row r="608">
      <c r="A608" s="33" t="n">
        <v>46629</v>
      </c>
      <c r="B608" s="31" t="n">
        <v>20270830</v>
      </c>
      <c r="C608" s="31" t="n">
        <v>2027</v>
      </c>
      <c r="D608" s="31" t="inlineStr">
        <is>
          <t>K3</t>
        </is>
      </c>
      <c r="E608" s="31" t="n">
        <v>8</v>
      </c>
      <c r="F608" s="31" t="inlineStr">
        <is>
          <t>2027-08</t>
        </is>
      </c>
      <c r="G608" s="33" t="n">
        <v>46600</v>
      </c>
    </row>
    <row r="609">
      <c r="A609" s="33" t="n">
        <v>46630</v>
      </c>
      <c r="B609" s="31" t="n">
        <v>20270831</v>
      </c>
      <c r="C609" s="31" t="n">
        <v>2027</v>
      </c>
      <c r="D609" s="31" t="inlineStr">
        <is>
          <t>K3</t>
        </is>
      </c>
      <c r="E609" s="31" t="n">
        <v>8</v>
      </c>
      <c r="F609" s="31" t="inlineStr">
        <is>
          <t>2027-08</t>
        </is>
      </c>
      <c r="G609" s="33" t="n">
        <v>46600</v>
      </c>
    </row>
    <row r="610">
      <c r="A610" s="33" t="n">
        <v>46631</v>
      </c>
      <c r="B610" s="31" t="n">
        <v>20270901</v>
      </c>
      <c r="C610" s="31" t="n">
        <v>2027</v>
      </c>
      <c r="D610" s="31" t="inlineStr">
        <is>
          <t>K3</t>
        </is>
      </c>
      <c r="E610" s="31" t="n">
        <v>9</v>
      </c>
      <c r="F610" s="31" t="inlineStr">
        <is>
          <t>2027-09</t>
        </is>
      </c>
      <c r="G610" s="33" t="n">
        <v>46631</v>
      </c>
    </row>
    <row r="611">
      <c r="A611" s="33" t="n">
        <v>46632</v>
      </c>
      <c r="B611" s="31" t="n">
        <v>20270902</v>
      </c>
      <c r="C611" s="31" t="n">
        <v>2027</v>
      </c>
      <c r="D611" s="31" t="inlineStr">
        <is>
          <t>K3</t>
        </is>
      </c>
      <c r="E611" s="31" t="n">
        <v>9</v>
      </c>
      <c r="F611" s="31" t="inlineStr">
        <is>
          <t>2027-09</t>
        </is>
      </c>
      <c r="G611" s="33" t="n">
        <v>46631</v>
      </c>
    </row>
    <row r="612">
      <c r="A612" s="33" t="n">
        <v>46633</v>
      </c>
      <c r="B612" s="31" t="n">
        <v>20270903</v>
      </c>
      <c r="C612" s="31" t="n">
        <v>2027</v>
      </c>
      <c r="D612" s="31" t="inlineStr">
        <is>
          <t>K3</t>
        </is>
      </c>
      <c r="E612" s="31" t="n">
        <v>9</v>
      </c>
      <c r="F612" s="31" t="inlineStr">
        <is>
          <t>2027-09</t>
        </is>
      </c>
      <c r="G612" s="33" t="n">
        <v>46631</v>
      </c>
    </row>
    <row r="613">
      <c r="A613" s="33" t="n">
        <v>46634</v>
      </c>
      <c r="B613" s="31" t="n">
        <v>20270904</v>
      </c>
      <c r="C613" s="31" t="n">
        <v>2027</v>
      </c>
      <c r="D613" s="31" t="inlineStr">
        <is>
          <t>K3</t>
        </is>
      </c>
      <c r="E613" s="31" t="n">
        <v>9</v>
      </c>
      <c r="F613" s="31" t="inlineStr">
        <is>
          <t>2027-09</t>
        </is>
      </c>
      <c r="G613" s="33" t="n">
        <v>46631</v>
      </c>
    </row>
    <row r="614">
      <c r="A614" s="33" t="n">
        <v>46635</v>
      </c>
      <c r="B614" s="31" t="n">
        <v>20270905</v>
      </c>
      <c r="C614" s="31" t="n">
        <v>2027</v>
      </c>
      <c r="D614" s="31" t="inlineStr">
        <is>
          <t>K3</t>
        </is>
      </c>
      <c r="E614" s="31" t="n">
        <v>9</v>
      </c>
      <c r="F614" s="31" t="inlineStr">
        <is>
          <t>2027-09</t>
        </is>
      </c>
      <c r="G614" s="33" t="n">
        <v>46631</v>
      </c>
    </row>
    <row r="615">
      <c r="A615" s="33" t="n">
        <v>46636</v>
      </c>
      <c r="B615" s="31" t="n">
        <v>20270906</v>
      </c>
      <c r="C615" s="31" t="n">
        <v>2027</v>
      </c>
      <c r="D615" s="31" t="inlineStr">
        <is>
          <t>K3</t>
        </is>
      </c>
      <c r="E615" s="31" t="n">
        <v>9</v>
      </c>
      <c r="F615" s="31" t="inlineStr">
        <is>
          <t>2027-09</t>
        </is>
      </c>
      <c r="G615" s="33" t="n">
        <v>46631</v>
      </c>
    </row>
    <row r="616">
      <c r="A616" s="33" t="n">
        <v>46637</v>
      </c>
      <c r="B616" s="31" t="n">
        <v>20270907</v>
      </c>
      <c r="C616" s="31" t="n">
        <v>2027</v>
      </c>
      <c r="D616" s="31" t="inlineStr">
        <is>
          <t>K3</t>
        </is>
      </c>
      <c r="E616" s="31" t="n">
        <v>9</v>
      </c>
      <c r="F616" s="31" t="inlineStr">
        <is>
          <t>2027-09</t>
        </is>
      </c>
      <c r="G616" s="33" t="n">
        <v>46631</v>
      </c>
    </row>
    <row r="617">
      <c r="A617" s="33" t="n">
        <v>46638</v>
      </c>
      <c r="B617" s="31" t="n">
        <v>20270908</v>
      </c>
      <c r="C617" s="31" t="n">
        <v>2027</v>
      </c>
      <c r="D617" s="31" t="inlineStr">
        <is>
          <t>K3</t>
        </is>
      </c>
      <c r="E617" s="31" t="n">
        <v>9</v>
      </c>
      <c r="F617" s="31" t="inlineStr">
        <is>
          <t>2027-09</t>
        </is>
      </c>
      <c r="G617" s="33" t="n">
        <v>46631</v>
      </c>
    </row>
    <row r="618">
      <c r="A618" s="33" t="n">
        <v>46639</v>
      </c>
      <c r="B618" s="31" t="n">
        <v>20270909</v>
      </c>
      <c r="C618" s="31" t="n">
        <v>2027</v>
      </c>
      <c r="D618" s="31" t="inlineStr">
        <is>
          <t>K3</t>
        </is>
      </c>
      <c r="E618" s="31" t="n">
        <v>9</v>
      </c>
      <c r="F618" s="31" t="inlineStr">
        <is>
          <t>2027-09</t>
        </is>
      </c>
      <c r="G618" s="33" t="n">
        <v>46631</v>
      </c>
    </row>
    <row r="619">
      <c r="A619" s="33" t="n">
        <v>46640</v>
      </c>
      <c r="B619" s="31" t="n">
        <v>20270910</v>
      </c>
      <c r="C619" s="31" t="n">
        <v>2027</v>
      </c>
      <c r="D619" s="31" t="inlineStr">
        <is>
          <t>K3</t>
        </is>
      </c>
      <c r="E619" s="31" t="n">
        <v>9</v>
      </c>
      <c r="F619" s="31" t="inlineStr">
        <is>
          <t>2027-09</t>
        </is>
      </c>
      <c r="G619" s="33" t="n">
        <v>46631</v>
      </c>
    </row>
    <row r="620">
      <c r="A620" s="33" t="n">
        <v>46641</v>
      </c>
      <c r="B620" s="31" t="n">
        <v>20270911</v>
      </c>
      <c r="C620" s="31" t="n">
        <v>2027</v>
      </c>
      <c r="D620" s="31" t="inlineStr">
        <is>
          <t>K3</t>
        </is>
      </c>
      <c r="E620" s="31" t="n">
        <v>9</v>
      </c>
      <c r="F620" s="31" t="inlineStr">
        <is>
          <t>2027-09</t>
        </is>
      </c>
      <c r="G620" s="33" t="n">
        <v>46631</v>
      </c>
    </row>
    <row r="621">
      <c r="A621" s="33" t="n">
        <v>46642</v>
      </c>
      <c r="B621" s="31" t="n">
        <v>20270912</v>
      </c>
      <c r="C621" s="31" t="n">
        <v>2027</v>
      </c>
      <c r="D621" s="31" t="inlineStr">
        <is>
          <t>K3</t>
        </is>
      </c>
      <c r="E621" s="31" t="n">
        <v>9</v>
      </c>
      <c r="F621" s="31" t="inlineStr">
        <is>
          <t>2027-09</t>
        </is>
      </c>
      <c r="G621" s="33" t="n">
        <v>46631</v>
      </c>
    </row>
    <row r="622">
      <c r="A622" s="33" t="n">
        <v>46643</v>
      </c>
      <c r="B622" s="31" t="n">
        <v>20270913</v>
      </c>
      <c r="C622" s="31" t="n">
        <v>2027</v>
      </c>
      <c r="D622" s="31" t="inlineStr">
        <is>
          <t>K3</t>
        </is>
      </c>
      <c r="E622" s="31" t="n">
        <v>9</v>
      </c>
      <c r="F622" s="31" t="inlineStr">
        <is>
          <t>2027-09</t>
        </is>
      </c>
      <c r="G622" s="33" t="n">
        <v>46631</v>
      </c>
    </row>
    <row r="623">
      <c r="A623" s="33" t="n">
        <v>46644</v>
      </c>
      <c r="B623" s="31" t="n">
        <v>20270914</v>
      </c>
      <c r="C623" s="31" t="n">
        <v>2027</v>
      </c>
      <c r="D623" s="31" t="inlineStr">
        <is>
          <t>K3</t>
        </is>
      </c>
      <c r="E623" s="31" t="n">
        <v>9</v>
      </c>
      <c r="F623" s="31" t="inlineStr">
        <is>
          <t>2027-09</t>
        </is>
      </c>
      <c r="G623" s="33" t="n">
        <v>46631</v>
      </c>
    </row>
    <row r="624">
      <c r="A624" s="33" t="n">
        <v>46645</v>
      </c>
      <c r="B624" s="31" t="n">
        <v>20270915</v>
      </c>
      <c r="C624" s="31" t="n">
        <v>2027</v>
      </c>
      <c r="D624" s="31" t="inlineStr">
        <is>
          <t>K3</t>
        </is>
      </c>
      <c r="E624" s="31" t="n">
        <v>9</v>
      </c>
      <c r="F624" s="31" t="inlineStr">
        <is>
          <t>2027-09</t>
        </is>
      </c>
      <c r="G624" s="33" t="n">
        <v>46631</v>
      </c>
    </row>
    <row r="625">
      <c r="A625" s="33" t="n">
        <v>46646</v>
      </c>
      <c r="B625" s="31" t="n">
        <v>20270916</v>
      </c>
      <c r="C625" s="31" t="n">
        <v>2027</v>
      </c>
      <c r="D625" s="31" t="inlineStr">
        <is>
          <t>K3</t>
        </is>
      </c>
      <c r="E625" s="31" t="n">
        <v>9</v>
      </c>
      <c r="F625" s="31" t="inlineStr">
        <is>
          <t>2027-09</t>
        </is>
      </c>
      <c r="G625" s="33" t="n">
        <v>46631</v>
      </c>
    </row>
    <row r="626">
      <c r="A626" s="33" t="n">
        <v>46647</v>
      </c>
      <c r="B626" s="31" t="n">
        <v>20270917</v>
      </c>
      <c r="C626" s="31" t="n">
        <v>2027</v>
      </c>
      <c r="D626" s="31" t="inlineStr">
        <is>
          <t>K3</t>
        </is>
      </c>
      <c r="E626" s="31" t="n">
        <v>9</v>
      </c>
      <c r="F626" s="31" t="inlineStr">
        <is>
          <t>2027-09</t>
        </is>
      </c>
      <c r="G626" s="33" t="n">
        <v>46631</v>
      </c>
    </row>
    <row r="627">
      <c r="A627" s="33" t="n">
        <v>46648</v>
      </c>
      <c r="B627" s="31" t="n">
        <v>20270918</v>
      </c>
      <c r="C627" s="31" t="n">
        <v>2027</v>
      </c>
      <c r="D627" s="31" t="inlineStr">
        <is>
          <t>K3</t>
        </is>
      </c>
      <c r="E627" s="31" t="n">
        <v>9</v>
      </c>
      <c r="F627" s="31" t="inlineStr">
        <is>
          <t>2027-09</t>
        </is>
      </c>
      <c r="G627" s="33" t="n">
        <v>46631</v>
      </c>
    </row>
    <row r="628">
      <c r="A628" s="33" t="n">
        <v>46649</v>
      </c>
      <c r="B628" s="31" t="n">
        <v>20270919</v>
      </c>
      <c r="C628" s="31" t="n">
        <v>2027</v>
      </c>
      <c r="D628" s="31" t="inlineStr">
        <is>
          <t>K3</t>
        </is>
      </c>
      <c r="E628" s="31" t="n">
        <v>9</v>
      </c>
      <c r="F628" s="31" t="inlineStr">
        <is>
          <t>2027-09</t>
        </is>
      </c>
      <c r="G628" s="33" t="n">
        <v>46631</v>
      </c>
    </row>
    <row r="629">
      <c r="A629" s="33" t="n">
        <v>46650</v>
      </c>
      <c r="B629" s="31" t="n">
        <v>20270920</v>
      </c>
      <c r="C629" s="31" t="n">
        <v>2027</v>
      </c>
      <c r="D629" s="31" t="inlineStr">
        <is>
          <t>K3</t>
        </is>
      </c>
      <c r="E629" s="31" t="n">
        <v>9</v>
      </c>
      <c r="F629" s="31" t="inlineStr">
        <is>
          <t>2027-09</t>
        </is>
      </c>
      <c r="G629" s="33" t="n">
        <v>46631</v>
      </c>
    </row>
    <row r="630">
      <c r="A630" s="33" t="n">
        <v>46651</v>
      </c>
      <c r="B630" s="31" t="n">
        <v>20270921</v>
      </c>
      <c r="C630" s="31" t="n">
        <v>2027</v>
      </c>
      <c r="D630" s="31" t="inlineStr">
        <is>
          <t>K3</t>
        </is>
      </c>
      <c r="E630" s="31" t="n">
        <v>9</v>
      </c>
      <c r="F630" s="31" t="inlineStr">
        <is>
          <t>2027-09</t>
        </is>
      </c>
      <c r="G630" s="33" t="n">
        <v>46631</v>
      </c>
    </row>
    <row r="631">
      <c r="A631" s="33" t="n">
        <v>46652</v>
      </c>
      <c r="B631" s="31" t="n">
        <v>20270922</v>
      </c>
      <c r="C631" s="31" t="n">
        <v>2027</v>
      </c>
      <c r="D631" s="31" t="inlineStr">
        <is>
          <t>K3</t>
        </is>
      </c>
      <c r="E631" s="31" t="n">
        <v>9</v>
      </c>
      <c r="F631" s="31" t="inlineStr">
        <is>
          <t>2027-09</t>
        </is>
      </c>
      <c r="G631" s="33" t="n">
        <v>46631</v>
      </c>
    </row>
    <row r="632">
      <c r="A632" s="33" t="n">
        <v>46653</v>
      </c>
      <c r="B632" s="31" t="n">
        <v>20270923</v>
      </c>
      <c r="C632" s="31" t="n">
        <v>2027</v>
      </c>
      <c r="D632" s="31" t="inlineStr">
        <is>
          <t>K3</t>
        </is>
      </c>
      <c r="E632" s="31" t="n">
        <v>9</v>
      </c>
      <c r="F632" s="31" t="inlineStr">
        <is>
          <t>2027-09</t>
        </is>
      </c>
      <c r="G632" s="33" t="n">
        <v>46631</v>
      </c>
    </row>
    <row r="633">
      <c r="A633" s="33" t="n">
        <v>46654</v>
      </c>
      <c r="B633" s="31" t="n">
        <v>20270924</v>
      </c>
      <c r="C633" s="31" t="n">
        <v>2027</v>
      </c>
      <c r="D633" s="31" t="inlineStr">
        <is>
          <t>K3</t>
        </is>
      </c>
      <c r="E633" s="31" t="n">
        <v>9</v>
      </c>
      <c r="F633" s="31" t="inlineStr">
        <is>
          <t>2027-09</t>
        </is>
      </c>
      <c r="G633" s="33" t="n">
        <v>46631</v>
      </c>
    </row>
    <row r="634">
      <c r="A634" s="33" t="n">
        <v>46655</v>
      </c>
      <c r="B634" s="31" t="n">
        <v>20270925</v>
      </c>
      <c r="C634" s="31" t="n">
        <v>2027</v>
      </c>
      <c r="D634" s="31" t="inlineStr">
        <is>
          <t>K3</t>
        </is>
      </c>
      <c r="E634" s="31" t="n">
        <v>9</v>
      </c>
      <c r="F634" s="31" t="inlineStr">
        <is>
          <t>2027-09</t>
        </is>
      </c>
      <c r="G634" s="33" t="n">
        <v>46631</v>
      </c>
    </row>
    <row r="635">
      <c r="A635" s="33" t="n">
        <v>46656</v>
      </c>
      <c r="B635" s="31" t="n">
        <v>20270926</v>
      </c>
      <c r="C635" s="31" t="n">
        <v>2027</v>
      </c>
      <c r="D635" s="31" t="inlineStr">
        <is>
          <t>K3</t>
        </is>
      </c>
      <c r="E635" s="31" t="n">
        <v>9</v>
      </c>
      <c r="F635" s="31" t="inlineStr">
        <is>
          <t>2027-09</t>
        </is>
      </c>
      <c r="G635" s="33" t="n">
        <v>46631</v>
      </c>
    </row>
    <row r="636">
      <c r="A636" s="33" t="n">
        <v>46657</v>
      </c>
      <c r="B636" s="31" t="n">
        <v>20270927</v>
      </c>
      <c r="C636" s="31" t="n">
        <v>2027</v>
      </c>
      <c r="D636" s="31" t="inlineStr">
        <is>
          <t>K3</t>
        </is>
      </c>
      <c r="E636" s="31" t="n">
        <v>9</v>
      </c>
      <c r="F636" s="31" t="inlineStr">
        <is>
          <t>2027-09</t>
        </is>
      </c>
      <c r="G636" s="33" t="n">
        <v>46631</v>
      </c>
    </row>
    <row r="637">
      <c r="A637" s="33" t="n">
        <v>46658</v>
      </c>
      <c r="B637" s="31" t="n">
        <v>20270928</v>
      </c>
      <c r="C637" s="31" t="n">
        <v>2027</v>
      </c>
      <c r="D637" s="31" t="inlineStr">
        <is>
          <t>K3</t>
        </is>
      </c>
      <c r="E637" s="31" t="n">
        <v>9</v>
      </c>
      <c r="F637" s="31" t="inlineStr">
        <is>
          <t>2027-09</t>
        </is>
      </c>
      <c r="G637" s="33" t="n">
        <v>46631</v>
      </c>
    </row>
    <row r="638">
      <c r="A638" s="33" t="n">
        <v>46659</v>
      </c>
      <c r="B638" s="31" t="n">
        <v>20270929</v>
      </c>
      <c r="C638" s="31" t="n">
        <v>2027</v>
      </c>
      <c r="D638" s="31" t="inlineStr">
        <is>
          <t>K3</t>
        </is>
      </c>
      <c r="E638" s="31" t="n">
        <v>9</v>
      </c>
      <c r="F638" s="31" t="inlineStr">
        <is>
          <t>2027-09</t>
        </is>
      </c>
      <c r="G638" s="33" t="n">
        <v>46631</v>
      </c>
    </row>
    <row r="639">
      <c r="A639" s="33" t="n">
        <v>46660</v>
      </c>
      <c r="B639" s="31" t="n">
        <v>20270930</v>
      </c>
      <c r="C639" s="31" t="n">
        <v>2027</v>
      </c>
      <c r="D639" s="31" t="inlineStr">
        <is>
          <t>K3</t>
        </is>
      </c>
      <c r="E639" s="31" t="n">
        <v>9</v>
      </c>
      <c r="F639" s="31" t="inlineStr">
        <is>
          <t>2027-09</t>
        </is>
      </c>
      <c r="G639" s="33" t="n">
        <v>46631</v>
      </c>
    </row>
    <row r="640">
      <c r="A640" s="33" t="n">
        <v>46661</v>
      </c>
      <c r="B640" s="31" t="n">
        <v>20271001</v>
      </c>
      <c r="C640" s="31" t="n">
        <v>2027</v>
      </c>
      <c r="D640" s="31" t="inlineStr">
        <is>
          <t>K4</t>
        </is>
      </c>
      <c r="E640" s="31" t="n">
        <v>10</v>
      </c>
      <c r="F640" s="31" t="inlineStr">
        <is>
          <t>2027-10</t>
        </is>
      </c>
      <c r="G640" s="33" t="n">
        <v>46661</v>
      </c>
    </row>
    <row r="641">
      <c r="A641" s="33" t="n">
        <v>46662</v>
      </c>
      <c r="B641" s="31" t="n">
        <v>20271002</v>
      </c>
      <c r="C641" s="31" t="n">
        <v>2027</v>
      </c>
      <c r="D641" s="31" t="inlineStr">
        <is>
          <t>K4</t>
        </is>
      </c>
      <c r="E641" s="31" t="n">
        <v>10</v>
      </c>
      <c r="F641" s="31" t="inlineStr">
        <is>
          <t>2027-10</t>
        </is>
      </c>
      <c r="G641" s="33" t="n">
        <v>46661</v>
      </c>
    </row>
    <row r="642">
      <c r="A642" s="33" t="n">
        <v>46663</v>
      </c>
      <c r="B642" s="31" t="n">
        <v>20271003</v>
      </c>
      <c r="C642" s="31" t="n">
        <v>2027</v>
      </c>
      <c r="D642" s="31" t="inlineStr">
        <is>
          <t>K4</t>
        </is>
      </c>
      <c r="E642" s="31" t="n">
        <v>10</v>
      </c>
      <c r="F642" s="31" t="inlineStr">
        <is>
          <t>2027-10</t>
        </is>
      </c>
      <c r="G642" s="33" t="n">
        <v>46661</v>
      </c>
    </row>
    <row r="643">
      <c r="A643" s="33" t="n">
        <v>46664</v>
      </c>
      <c r="B643" s="31" t="n">
        <v>20271004</v>
      </c>
      <c r="C643" s="31" t="n">
        <v>2027</v>
      </c>
      <c r="D643" s="31" t="inlineStr">
        <is>
          <t>K4</t>
        </is>
      </c>
      <c r="E643" s="31" t="n">
        <v>10</v>
      </c>
      <c r="F643" s="31" t="inlineStr">
        <is>
          <t>2027-10</t>
        </is>
      </c>
      <c r="G643" s="33" t="n">
        <v>46661</v>
      </c>
    </row>
    <row r="644">
      <c r="A644" s="33" t="n">
        <v>46665</v>
      </c>
      <c r="B644" s="31" t="n">
        <v>20271005</v>
      </c>
      <c r="C644" s="31" t="n">
        <v>2027</v>
      </c>
      <c r="D644" s="31" t="inlineStr">
        <is>
          <t>K4</t>
        </is>
      </c>
      <c r="E644" s="31" t="n">
        <v>10</v>
      </c>
      <c r="F644" s="31" t="inlineStr">
        <is>
          <t>2027-10</t>
        </is>
      </c>
      <c r="G644" s="33" t="n">
        <v>46661</v>
      </c>
    </row>
    <row r="645">
      <c r="A645" s="33" t="n">
        <v>46666</v>
      </c>
      <c r="B645" s="31" t="n">
        <v>20271006</v>
      </c>
      <c r="C645" s="31" t="n">
        <v>2027</v>
      </c>
      <c r="D645" s="31" t="inlineStr">
        <is>
          <t>K4</t>
        </is>
      </c>
      <c r="E645" s="31" t="n">
        <v>10</v>
      </c>
      <c r="F645" s="31" t="inlineStr">
        <is>
          <t>2027-10</t>
        </is>
      </c>
      <c r="G645" s="33" t="n">
        <v>46661</v>
      </c>
    </row>
    <row r="646">
      <c r="A646" s="33" t="n">
        <v>46667</v>
      </c>
      <c r="B646" s="31" t="n">
        <v>20271007</v>
      </c>
      <c r="C646" s="31" t="n">
        <v>2027</v>
      </c>
      <c r="D646" s="31" t="inlineStr">
        <is>
          <t>K4</t>
        </is>
      </c>
      <c r="E646" s="31" t="n">
        <v>10</v>
      </c>
      <c r="F646" s="31" t="inlineStr">
        <is>
          <t>2027-10</t>
        </is>
      </c>
      <c r="G646" s="33" t="n">
        <v>46661</v>
      </c>
    </row>
    <row r="647">
      <c r="A647" s="33" t="n">
        <v>46668</v>
      </c>
      <c r="B647" s="31" t="n">
        <v>20271008</v>
      </c>
      <c r="C647" s="31" t="n">
        <v>2027</v>
      </c>
      <c r="D647" s="31" t="inlineStr">
        <is>
          <t>K4</t>
        </is>
      </c>
      <c r="E647" s="31" t="n">
        <v>10</v>
      </c>
      <c r="F647" s="31" t="inlineStr">
        <is>
          <t>2027-10</t>
        </is>
      </c>
      <c r="G647" s="33" t="n">
        <v>46661</v>
      </c>
    </row>
    <row r="648">
      <c r="A648" s="33" t="n">
        <v>46669</v>
      </c>
      <c r="B648" s="31" t="n">
        <v>20271009</v>
      </c>
      <c r="C648" s="31" t="n">
        <v>2027</v>
      </c>
      <c r="D648" s="31" t="inlineStr">
        <is>
          <t>K4</t>
        </is>
      </c>
      <c r="E648" s="31" t="n">
        <v>10</v>
      </c>
      <c r="F648" s="31" t="inlineStr">
        <is>
          <t>2027-10</t>
        </is>
      </c>
      <c r="G648" s="33" t="n">
        <v>46661</v>
      </c>
    </row>
    <row r="649">
      <c r="A649" s="33" t="n">
        <v>46670</v>
      </c>
      <c r="B649" s="31" t="n">
        <v>20271010</v>
      </c>
      <c r="C649" s="31" t="n">
        <v>2027</v>
      </c>
      <c r="D649" s="31" t="inlineStr">
        <is>
          <t>K4</t>
        </is>
      </c>
      <c r="E649" s="31" t="n">
        <v>10</v>
      </c>
      <c r="F649" s="31" t="inlineStr">
        <is>
          <t>2027-10</t>
        </is>
      </c>
      <c r="G649" s="33" t="n">
        <v>46661</v>
      </c>
    </row>
    <row r="650">
      <c r="A650" s="33" t="n">
        <v>46671</v>
      </c>
      <c r="B650" s="31" t="n">
        <v>20271011</v>
      </c>
      <c r="C650" s="31" t="n">
        <v>2027</v>
      </c>
      <c r="D650" s="31" t="inlineStr">
        <is>
          <t>K4</t>
        </is>
      </c>
      <c r="E650" s="31" t="n">
        <v>10</v>
      </c>
      <c r="F650" s="31" t="inlineStr">
        <is>
          <t>2027-10</t>
        </is>
      </c>
      <c r="G650" s="33" t="n">
        <v>46661</v>
      </c>
    </row>
    <row r="651">
      <c r="A651" s="33" t="n">
        <v>46672</v>
      </c>
      <c r="B651" s="31" t="n">
        <v>20271012</v>
      </c>
      <c r="C651" s="31" t="n">
        <v>2027</v>
      </c>
      <c r="D651" s="31" t="inlineStr">
        <is>
          <t>K4</t>
        </is>
      </c>
      <c r="E651" s="31" t="n">
        <v>10</v>
      </c>
      <c r="F651" s="31" t="inlineStr">
        <is>
          <t>2027-10</t>
        </is>
      </c>
      <c r="G651" s="33" t="n">
        <v>46661</v>
      </c>
    </row>
    <row r="652">
      <c r="A652" s="33" t="n">
        <v>46673</v>
      </c>
      <c r="B652" s="31" t="n">
        <v>20271013</v>
      </c>
      <c r="C652" s="31" t="n">
        <v>2027</v>
      </c>
      <c r="D652" s="31" t="inlineStr">
        <is>
          <t>K4</t>
        </is>
      </c>
      <c r="E652" s="31" t="n">
        <v>10</v>
      </c>
      <c r="F652" s="31" t="inlineStr">
        <is>
          <t>2027-10</t>
        </is>
      </c>
      <c r="G652" s="33" t="n">
        <v>46661</v>
      </c>
    </row>
    <row r="653">
      <c r="A653" s="33" t="n">
        <v>46674</v>
      </c>
      <c r="B653" s="31" t="n">
        <v>20271014</v>
      </c>
      <c r="C653" s="31" t="n">
        <v>2027</v>
      </c>
      <c r="D653" s="31" t="inlineStr">
        <is>
          <t>K4</t>
        </is>
      </c>
      <c r="E653" s="31" t="n">
        <v>10</v>
      </c>
      <c r="F653" s="31" t="inlineStr">
        <is>
          <t>2027-10</t>
        </is>
      </c>
      <c r="G653" s="33" t="n">
        <v>46661</v>
      </c>
    </row>
    <row r="654">
      <c r="A654" s="33" t="n">
        <v>46675</v>
      </c>
      <c r="B654" s="31" t="n">
        <v>20271015</v>
      </c>
      <c r="C654" s="31" t="n">
        <v>2027</v>
      </c>
      <c r="D654" s="31" t="inlineStr">
        <is>
          <t>K4</t>
        </is>
      </c>
      <c r="E654" s="31" t="n">
        <v>10</v>
      </c>
      <c r="F654" s="31" t="inlineStr">
        <is>
          <t>2027-10</t>
        </is>
      </c>
      <c r="G654" s="33" t="n">
        <v>46661</v>
      </c>
    </row>
    <row r="655">
      <c r="A655" s="33" t="n">
        <v>46676</v>
      </c>
      <c r="B655" s="31" t="n">
        <v>20271016</v>
      </c>
      <c r="C655" s="31" t="n">
        <v>2027</v>
      </c>
      <c r="D655" s="31" t="inlineStr">
        <is>
          <t>K4</t>
        </is>
      </c>
      <c r="E655" s="31" t="n">
        <v>10</v>
      </c>
      <c r="F655" s="31" t="inlineStr">
        <is>
          <t>2027-10</t>
        </is>
      </c>
      <c r="G655" s="33" t="n">
        <v>46661</v>
      </c>
    </row>
    <row r="656">
      <c r="A656" s="33" t="n">
        <v>46677</v>
      </c>
      <c r="B656" s="31" t="n">
        <v>20271017</v>
      </c>
      <c r="C656" s="31" t="n">
        <v>2027</v>
      </c>
      <c r="D656" s="31" t="inlineStr">
        <is>
          <t>K4</t>
        </is>
      </c>
      <c r="E656" s="31" t="n">
        <v>10</v>
      </c>
      <c r="F656" s="31" t="inlineStr">
        <is>
          <t>2027-10</t>
        </is>
      </c>
      <c r="G656" s="33" t="n">
        <v>46661</v>
      </c>
    </row>
    <row r="657">
      <c r="A657" s="33" t="n">
        <v>46678</v>
      </c>
      <c r="B657" s="31" t="n">
        <v>20271018</v>
      </c>
      <c r="C657" s="31" t="n">
        <v>2027</v>
      </c>
      <c r="D657" s="31" t="inlineStr">
        <is>
          <t>K4</t>
        </is>
      </c>
      <c r="E657" s="31" t="n">
        <v>10</v>
      </c>
      <c r="F657" s="31" t="inlineStr">
        <is>
          <t>2027-10</t>
        </is>
      </c>
      <c r="G657" s="33" t="n">
        <v>46661</v>
      </c>
    </row>
    <row r="658">
      <c r="A658" s="33" t="n">
        <v>46679</v>
      </c>
      <c r="B658" s="31" t="n">
        <v>20271019</v>
      </c>
      <c r="C658" s="31" t="n">
        <v>2027</v>
      </c>
      <c r="D658" s="31" t="inlineStr">
        <is>
          <t>K4</t>
        </is>
      </c>
      <c r="E658" s="31" t="n">
        <v>10</v>
      </c>
      <c r="F658" s="31" t="inlineStr">
        <is>
          <t>2027-10</t>
        </is>
      </c>
      <c r="G658" s="33" t="n">
        <v>46661</v>
      </c>
    </row>
    <row r="659">
      <c r="A659" s="33" t="n">
        <v>46680</v>
      </c>
      <c r="B659" s="31" t="n">
        <v>20271020</v>
      </c>
      <c r="C659" s="31" t="n">
        <v>2027</v>
      </c>
      <c r="D659" s="31" t="inlineStr">
        <is>
          <t>K4</t>
        </is>
      </c>
      <c r="E659" s="31" t="n">
        <v>10</v>
      </c>
      <c r="F659" s="31" t="inlineStr">
        <is>
          <t>2027-10</t>
        </is>
      </c>
      <c r="G659" s="33" t="n">
        <v>46661</v>
      </c>
    </row>
    <row r="660">
      <c r="A660" s="33" t="n">
        <v>46681</v>
      </c>
      <c r="B660" s="31" t="n">
        <v>20271021</v>
      </c>
      <c r="C660" s="31" t="n">
        <v>2027</v>
      </c>
      <c r="D660" s="31" t="inlineStr">
        <is>
          <t>K4</t>
        </is>
      </c>
      <c r="E660" s="31" t="n">
        <v>10</v>
      </c>
      <c r="F660" s="31" t="inlineStr">
        <is>
          <t>2027-10</t>
        </is>
      </c>
      <c r="G660" s="33" t="n">
        <v>46661</v>
      </c>
    </row>
    <row r="661">
      <c r="A661" s="33" t="n">
        <v>46682</v>
      </c>
      <c r="B661" s="31" t="n">
        <v>20271022</v>
      </c>
      <c r="C661" s="31" t="n">
        <v>2027</v>
      </c>
      <c r="D661" s="31" t="inlineStr">
        <is>
          <t>K4</t>
        </is>
      </c>
      <c r="E661" s="31" t="n">
        <v>10</v>
      </c>
      <c r="F661" s="31" t="inlineStr">
        <is>
          <t>2027-10</t>
        </is>
      </c>
      <c r="G661" s="33" t="n">
        <v>46661</v>
      </c>
    </row>
    <row r="662">
      <c r="A662" s="33" t="n">
        <v>46683</v>
      </c>
      <c r="B662" s="31" t="n">
        <v>20271023</v>
      </c>
      <c r="C662" s="31" t="n">
        <v>2027</v>
      </c>
      <c r="D662" s="31" t="inlineStr">
        <is>
          <t>K4</t>
        </is>
      </c>
      <c r="E662" s="31" t="n">
        <v>10</v>
      </c>
      <c r="F662" s="31" t="inlineStr">
        <is>
          <t>2027-10</t>
        </is>
      </c>
      <c r="G662" s="33" t="n">
        <v>46661</v>
      </c>
    </row>
    <row r="663">
      <c r="A663" s="33" t="n">
        <v>46684</v>
      </c>
      <c r="B663" s="31" t="n">
        <v>20271024</v>
      </c>
      <c r="C663" s="31" t="n">
        <v>2027</v>
      </c>
      <c r="D663" s="31" t="inlineStr">
        <is>
          <t>K4</t>
        </is>
      </c>
      <c r="E663" s="31" t="n">
        <v>10</v>
      </c>
      <c r="F663" s="31" t="inlineStr">
        <is>
          <t>2027-10</t>
        </is>
      </c>
      <c r="G663" s="33" t="n">
        <v>46661</v>
      </c>
    </row>
    <row r="664">
      <c r="A664" s="33" t="n">
        <v>46685</v>
      </c>
      <c r="B664" s="31" t="n">
        <v>20271025</v>
      </c>
      <c r="C664" s="31" t="n">
        <v>2027</v>
      </c>
      <c r="D664" s="31" t="inlineStr">
        <is>
          <t>K4</t>
        </is>
      </c>
      <c r="E664" s="31" t="n">
        <v>10</v>
      </c>
      <c r="F664" s="31" t="inlineStr">
        <is>
          <t>2027-10</t>
        </is>
      </c>
      <c r="G664" s="33" t="n">
        <v>46661</v>
      </c>
    </row>
    <row r="665">
      <c r="A665" s="33" t="n">
        <v>46686</v>
      </c>
      <c r="B665" s="31" t="n">
        <v>20271026</v>
      </c>
      <c r="C665" s="31" t="n">
        <v>2027</v>
      </c>
      <c r="D665" s="31" t="inlineStr">
        <is>
          <t>K4</t>
        </is>
      </c>
      <c r="E665" s="31" t="n">
        <v>10</v>
      </c>
      <c r="F665" s="31" t="inlineStr">
        <is>
          <t>2027-10</t>
        </is>
      </c>
      <c r="G665" s="33" t="n">
        <v>46661</v>
      </c>
    </row>
    <row r="666">
      <c r="A666" s="33" t="n">
        <v>46687</v>
      </c>
      <c r="B666" s="31" t="n">
        <v>20271027</v>
      </c>
      <c r="C666" s="31" t="n">
        <v>2027</v>
      </c>
      <c r="D666" s="31" t="inlineStr">
        <is>
          <t>K4</t>
        </is>
      </c>
      <c r="E666" s="31" t="n">
        <v>10</v>
      </c>
      <c r="F666" s="31" t="inlineStr">
        <is>
          <t>2027-10</t>
        </is>
      </c>
      <c r="G666" s="33" t="n">
        <v>46661</v>
      </c>
    </row>
    <row r="667">
      <c r="A667" s="33" t="n">
        <v>46688</v>
      </c>
      <c r="B667" s="31" t="n">
        <v>20271028</v>
      </c>
      <c r="C667" s="31" t="n">
        <v>2027</v>
      </c>
      <c r="D667" s="31" t="inlineStr">
        <is>
          <t>K4</t>
        </is>
      </c>
      <c r="E667" s="31" t="n">
        <v>10</v>
      </c>
      <c r="F667" s="31" t="inlineStr">
        <is>
          <t>2027-10</t>
        </is>
      </c>
      <c r="G667" s="33" t="n">
        <v>46661</v>
      </c>
    </row>
    <row r="668">
      <c r="A668" s="33" t="n">
        <v>46689</v>
      </c>
      <c r="B668" s="31" t="n">
        <v>20271029</v>
      </c>
      <c r="C668" s="31" t="n">
        <v>2027</v>
      </c>
      <c r="D668" s="31" t="inlineStr">
        <is>
          <t>K4</t>
        </is>
      </c>
      <c r="E668" s="31" t="n">
        <v>10</v>
      </c>
      <c r="F668" s="31" t="inlineStr">
        <is>
          <t>2027-10</t>
        </is>
      </c>
      <c r="G668" s="33" t="n">
        <v>46661</v>
      </c>
    </row>
    <row r="669">
      <c r="A669" s="33" t="n">
        <v>46690</v>
      </c>
      <c r="B669" s="31" t="n">
        <v>20271030</v>
      </c>
      <c r="C669" s="31" t="n">
        <v>2027</v>
      </c>
      <c r="D669" s="31" t="inlineStr">
        <is>
          <t>K4</t>
        </is>
      </c>
      <c r="E669" s="31" t="n">
        <v>10</v>
      </c>
      <c r="F669" s="31" t="inlineStr">
        <is>
          <t>2027-10</t>
        </is>
      </c>
      <c r="G669" s="33" t="n">
        <v>46661</v>
      </c>
    </row>
    <row r="670">
      <c r="A670" s="33" t="n">
        <v>46691</v>
      </c>
      <c r="B670" s="31" t="n">
        <v>20271031</v>
      </c>
      <c r="C670" s="31" t="n">
        <v>2027</v>
      </c>
      <c r="D670" s="31" t="inlineStr">
        <is>
          <t>K4</t>
        </is>
      </c>
      <c r="E670" s="31" t="n">
        <v>10</v>
      </c>
      <c r="F670" s="31" t="inlineStr">
        <is>
          <t>2027-10</t>
        </is>
      </c>
      <c r="G670" s="33" t="n">
        <v>46661</v>
      </c>
    </row>
    <row r="671">
      <c r="A671" s="33" t="n">
        <v>46692</v>
      </c>
      <c r="B671" s="31" t="n">
        <v>20271101</v>
      </c>
      <c r="C671" s="31" t="n">
        <v>2027</v>
      </c>
      <c r="D671" s="31" t="inlineStr">
        <is>
          <t>K4</t>
        </is>
      </c>
      <c r="E671" s="31" t="n">
        <v>11</v>
      </c>
      <c r="F671" s="31" t="inlineStr">
        <is>
          <t>2027-11</t>
        </is>
      </c>
      <c r="G671" s="33" t="n">
        <v>46692</v>
      </c>
    </row>
    <row r="672">
      <c r="A672" s="33" t="n">
        <v>46693</v>
      </c>
      <c r="B672" s="31" t="n">
        <v>20271102</v>
      </c>
      <c r="C672" s="31" t="n">
        <v>2027</v>
      </c>
      <c r="D672" s="31" t="inlineStr">
        <is>
          <t>K4</t>
        </is>
      </c>
      <c r="E672" s="31" t="n">
        <v>11</v>
      </c>
      <c r="F672" s="31" t="inlineStr">
        <is>
          <t>2027-11</t>
        </is>
      </c>
      <c r="G672" s="33" t="n">
        <v>46692</v>
      </c>
    </row>
    <row r="673">
      <c r="A673" s="33" t="n">
        <v>46694</v>
      </c>
      <c r="B673" s="31" t="n">
        <v>20271103</v>
      </c>
      <c r="C673" s="31" t="n">
        <v>2027</v>
      </c>
      <c r="D673" s="31" t="inlineStr">
        <is>
          <t>K4</t>
        </is>
      </c>
      <c r="E673" s="31" t="n">
        <v>11</v>
      </c>
      <c r="F673" s="31" t="inlineStr">
        <is>
          <t>2027-11</t>
        </is>
      </c>
      <c r="G673" s="33" t="n">
        <v>46692</v>
      </c>
    </row>
    <row r="674">
      <c r="A674" s="33" t="n">
        <v>46695</v>
      </c>
      <c r="B674" s="31" t="n">
        <v>20271104</v>
      </c>
      <c r="C674" s="31" t="n">
        <v>2027</v>
      </c>
      <c r="D674" s="31" t="inlineStr">
        <is>
          <t>K4</t>
        </is>
      </c>
      <c r="E674" s="31" t="n">
        <v>11</v>
      </c>
      <c r="F674" s="31" t="inlineStr">
        <is>
          <t>2027-11</t>
        </is>
      </c>
      <c r="G674" s="33" t="n">
        <v>46692</v>
      </c>
    </row>
    <row r="675">
      <c r="A675" s="33" t="n">
        <v>46696</v>
      </c>
      <c r="B675" s="31" t="n">
        <v>20271105</v>
      </c>
      <c r="C675" s="31" t="n">
        <v>2027</v>
      </c>
      <c r="D675" s="31" t="inlineStr">
        <is>
          <t>K4</t>
        </is>
      </c>
      <c r="E675" s="31" t="n">
        <v>11</v>
      </c>
      <c r="F675" s="31" t="inlineStr">
        <is>
          <t>2027-11</t>
        </is>
      </c>
      <c r="G675" s="33" t="n">
        <v>46692</v>
      </c>
    </row>
    <row r="676">
      <c r="A676" s="33" t="n">
        <v>46697</v>
      </c>
      <c r="B676" s="31" t="n">
        <v>20271106</v>
      </c>
      <c r="C676" s="31" t="n">
        <v>2027</v>
      </c>
      <c r="D676" s="31" t="inlineStr">
        <is>
          <t>K4</t>
        </is>
      </c>
      <c r="E676" s="31" t="n">
        <v>11</v>
      </c>
      <c r="F676" s="31" t="inlineStr">
        <is>
          <t>2027-11</t>
        </is>
      </c>
      <c r="G676" s="33" t="n">
        <v>46692</v>
      </c>
    </row>
    <row r="677">
      <c r="A677" s="33" t="n">
        <v>46698</v>
      </c>
      <c r="B677" s="31" t="n">
        <v>20271107</v>
      </c>
      <c r="C677" s="31" t="n">
        <v>2027</v>
      </c>
      <c r="D677" s="31" t="inlineStr">
        <is>
          <t>K4</t>
        </is>
      </c>
      <c r="E677" s="31" t="n">
        <v>11</v>
      </c>
      <c r="F677" s="31" t="inlineStr">
        <is>
          <t>2027-11</t>
        </is>
      </c>
      <c r="G677" s="33" t="n">
        <v>46692</v>
      </c>
    </row>
    <row r="678">
      <c r="A678" s="33" t="n">
        <v>46699</v>
      </c>
      <c r="B678" s="31" t="n">
        <v>20271108</v>
      </c>
      <c r="C678" s="31" t="n">
        <v>2027</v>
      </c>
      <c r="D678" s="31" t="inlineStr">
        <is>
          <t>K4</t>
        </is>
      </c>
      <c r="E678" s="31" t="n">
        <v>11</v>
      </c>
      <c r="F678" s="31" t="inlineStr">
        <is>
          <t>2027-11</t>
        </is>
      </c>
      <c r="G678" s="33" t="n">
        <v>46692</v>
      </c>
    </row>
    <row r="679">
      <c r="A679" s="33" t="n">
        <v>46700</v>
      </c>
      <c r="B679" s="31" t="n">
        <v>20271109</v>
      </c>
      <c r="C679" s="31" t="n">
        <v>2027</v>
      </c>
      <c r="D679" s="31" t="inlineStr">
        <is>
          <t>K4</t>
        </is>
      </c>
      <c r="E679" s="31" t="n">
        <v>11</v>
      </c>
      <c r="F679" s="31" t="inlineStr">
        <is>
          <t>2027-11</t>
        </is>
      </c>
      <c r="G679" s="33" t="n">
        <v>46692</v>
      </c>
    </row>
    <row r="680">
      <c r="A680" s="33" t="n">
        <v>46701</v>
      </c>
      <c r="B680" s="31" t="n">
        <v>20271110</v>
      </c>
      <c r="C680" s="31" t="n">
        <v>2027</v>
      </c>
      <c r="D680" s="31" t="inlineStr">
        <is>
          <t>K4</t>
        </is>
      </c>
      <c r="E680" s="31" t="n">
        <v>11</v>
      </c>
      <c r="F680" s="31" t="inlineStr">
        <is>
          <t>2027-11</t>
        </is>
      </c>
      <c r="G680" s="33" t="n">
        <v>46692</v>
      </c>
    </row>
    <row r="681">
      <c r="A681" s="33" t="n">
        <v>46702</v>
      </c>
      <c r="B681" s="31" t="n">
        <v>20271111</v>
      </c>
      <c r="C681" s="31" t="n">
        <v>2027</v>
      </c>
      <c r="D681" s="31" t="inlineStr">
        <is>
          <t>K4</t>
        </is>
      </c>
      <c r="E681" s="31" t="n">
        <v>11</v>
      </c>
      <c r="F681" s="31" t="inlineStr">
        <is>
          <t>2027-11</t>
        </is>
      </c>
      <c r="G681" s="33" t="n">
        <v>46692</v>
      </c>
    </row>
    <row r="682">
      <c r="A682" s="33" t="n">
        <v>46703</v>
      </c>
      <c r="B682" s="31" t="n">
        <v>20271112</v>
      </c>
      <c r="C682" s="31" t="n">
        <v>2027</v>
      </c>
      <c r="D682" s="31" t="inlineStr">
        <is>
          <t>K4</t>
        </is>
      </c>
      <c r="E682" s="31" t="n">
        <v>11</v>
      </c>
      <c r="F682" s="31" t="inlineStr">
        <is>
          <t>2027-11</t>
        </is>
      </c>
      <c r="G682" s="33" t="n">
        <v>46692</v>
      </c>
    </row>
    <row r="683">
      <c r="A683" s="33" t="n">
        <v>46704</v>
      </c>
      <c r="B683" s="31" t="n">
        <v>20271113</v>
      </c>
      <c r="C683" s="31" t="n">
        <v>2027</v>
      </c>
      <c r="D683" s="31" t="inlineStr">
        <is>
          <t>K4</t>
        </is>
      </c>
      <c r="E683" s="31" t="n">
        <v>11</v>
      </c>
      <c r="F683" s="31" t="inlineStr">
        <is>
          <t>2027-11</t>
        </is>
      </c>
      <c r="G683" s="33" t="n">
        <v>46692</v>
      </c>
    </row>
    <row r="684">
      <c r="A684" s="33" t="n">
        <v>46705</v>
      </c>
      <c r="B684" s="31" t="n">
        <v>20271114</v>
      </c>
      <c r="C684" s="31" t="n">
        <v>2027</v>
      </c>
      <c r="D684" s="31" t="inlineStr">
        <is>
          <t>K4</t>
        </is>
      </c>
      <c r="E684" s="31" t="n">
        <v>11</v>
      </c>
      <c r="F684" s="31" t="inlineStr">
        <is>
          <t>2027-11</t>
        </is>
      </c>
      <c r="G684" s="33" t="n">
        <v>46692</v>
      </c>
    </row>
    <row r="685">
      <c r="A685" s="33" t="n">
        <v>46706</v>
      </c>
      <c r="B685" s="31" t="n">
        <v>20271115</v>
      </c>
      <c r="C685" s="31" t="n">
        <v>2027</v>
      </c>
      <c r="D685" s="31" t="inlineStr">
        <is>
          <t>K4</t>
        </is>
      </c>
      <c r="E685" s="31" t="n">
        <v>11</v>
      </c>
      <c r="F685" s="31" t="inlineStr">
        <is>
          <t>2027-11</t>
        </is>
      </c>
      <c r="G685" s="33" t="n">
        <v>46692</v>
      </c>
    </row>
    <row r="686">
      <c r="A686" s="33" t="n">
        <v>46707</v>
      </c>
      <c r="B686" s="31" t="n">
        <v>20271116</v>
      </c>
      <c r="C686" s="31" t="n">
        <v>2027</v>
      </c>
      <c r="D686" s="31" t="inlineStr">
        <is>
          <t>K4</t>
        </is>
      </c>
      <c r="E686" s="31" t="n">
        <v>11</v>
      </c>
      <c r="F686" s="31" t="inlineStr">
        <is>
          <t>2027-11</t>
        </is>
      </c>
      <c r="G686" s="33" t="n">
        <v>46692</v>
      </c>
    </row>
    <row r="687">
      <c r="A687" s="33" t="n">
        <v>46708</v>
      </c>
      <c r="B687" s="31" t="n">
        <v>20271117</v>
      </c>
      <c r="C687" s="31" t="n">
        <v>2027</v>
      </c>
      <c r="D687" s="31" t="inlineStr">
        <is>
          <t>K4</t>
        </is>
      </c>
      <c r="E687" s="31" t="n">
        <v>11</v>
      </c>
      <c r="F687" s="31" t="inlineStr">
        <is>
          <t>2027-11</t>
        </is>
      </c>
      <c r="G687" s="33" t="n">
        <v>46692</v>
      </c>
    </row>
    <row r="688">
      <c r="A688" s="33" t="n">
        <v>46709</v>
      </c>
      <c r="B688" s="31" t="n">
        <v>20271118</v>
      </c>
      <c r="C688" s="31" t="n">
        <v>2027</v>
      </c>
      <c r="D688" s="31" t="inlineStr">
        <is>
          <t>K4</t>
        </is>
      </c>
      <c r="E688" s="31" t="n">
        <v>11</v>
      </c>
      <c r="F688" s="31" t="inlineStr">
        <is>
          <t>2027-11</t>
        </is>
      </c>
      <c r="G688" s="33" t="n">
        <v>46692</v>
      </c>
    </row>
    <row r="689">
      <c r="A689" s="33" t="n">
        <v>46710</v>
      </c>
      <c r="B689" s="31" t="n">
        <v>20271119</v>
      </c>
      <c r="C689" s="31" t="n">
        <v>2027</v>
      </c>
      <c r="D689" s="31" t="inlineStr">
        <is>
          <t>K4</t>
        </is>
      </c>
      <c r="E689" s="31" t="n">
        <v>11</v>
      </c>
      <c r="F689" s="31" t="inlineStr">
        <is>
          <t>2027-11</t>
        </is>
      </c>
      <c r="G689" s="33" t="n">
        <v>46692</v>
      </c>
    </row>
    <row r="690">
      <c r="A690" s="33" t="n">
        <v>46711</v>
      </c>
      <c r="B690" s="31" t="n">
        <v>20271120</v>
      </c>
      <c r="C690" s="31" t="n">
        <v>2027</v>
      </c>
      <c r="D690" s="31" t="inlineStr">
        <is>
          <t>K4</t>
        </is>
      </c>
      <c r="E690" s="31" t="n">
        <v>11</v>
      </c>
      <c r="F690" s="31" t="inlineStr">
        <is>
          <t>2027-11</t>
        </is>
      </c>
      <c r="G690" s="33" t="n">
        <v>46692</v>
      </c>
    </row>
    <row r="691">
      <c r="A691" s="33" t="n">
        <v>46712</v>
      </c>
      <c r="B691" s="31" t="n">
        <v>20271121</v>
      </c>
      <c r="C691" s="31" t="n">
        <v>2027</v>
      </c>
      <c r="D691" s="31" t="inlineStr">
        <is>
          <t>K4</t>
        </is>
      </c>
      <c r="E691" s="31" t="n">
        <v>11</v>
      </c>
      <c r="F691" s="31" t="inlineStr">
        <is>
          <t>2027-11</t>
        </is>
      </c>
      <c r="G691" s="33" t="n">
        <v>46692</v>
      </c>
    </row>
    <row r="692">
      <c r="A692" s="33" t="n">
        <v>46713</v>
      </c>
      <c r="B692" s="31" t="n">
        <v>20271122</v>
      </c>
      <c r="C692" s="31" t="n">
        <v>2027</v>
      </c>
      <c r="D692" s="31" t="inlineStr">
        <is>
          <t>K4</t>
        </is>
      </c>
      <c r="E692" s="31" t="n">
        <v>11</v>
      </c>
      <c r="F692" s="31" t="inlineStr">
        <is>
          <t>2027-11</t>
        </is>
      </c>
      <c r="G692" s="33" t="n">
        <v>46692</v>
      </c>
    </row>
    <row r="693">
      <c r="A693" s="33" t="n">
        <v>46714</v>
      </c>
      <c r="B693" s="31" t="n">
        <v>20271123</v>
      </c>
      <c r="C693" s="31" t="n">
        <v>2027</v>
      </c>
      <c r="D693" s="31" t="inlineStr">
        <is>
          <t>K4</t>
        </is>
      </c>
      <c r="E693" s="31" t="n">
        <v>11</v>
      </c>
      <c r="F693" s="31" t="inlineStr">
        <is>
          <t>2027-11</t>
        </is>
      </c>
      <c r="G693" s="33" t="n">
        <v>46692</v>
      </c>
    </row>
    <row r="694">
      <c r="A694" s="33" t="n">
        <v>46715</v>
      </c>
      <c r="B694" s="31" t="n">
        <v>20271124</v>
      </c>
      <c r="C694" s="31" t="n">
        <v>2027</v>
      </c>
      <c r="D694" s="31" t="inlineStr">
        <is>
          <t>K4</t>
        </is>
      </c>
      <c r="E694" s="31" t="n">
        <v>11</v>
      </c>
      <c r="F694" s="31" t="inlineStr">
        <is>
          <t>2027-11</t>
        </is>
      </c>
      <c r="G694" s="33" t="n">
        <v>46692</v>
      </c>
    </row>
    <row r="695">
      <c r="A695" s="33" t="n">
        <v>46716</v>
      </c>
      <c r="B695" s="31" t="n">
        <v>20271125</v>
      </c>
      <c r="C695" s="31" t="n">
        <v>2027</v>
      </c>
      <c r="D695" s="31" t="inlineStr">
        <is>
          <t>K4</t>
        </is>
      </c>
      <c r="E695" s="31" t="n">
        <v>11</v>
      </c>
      <c r="F695" s="31" t="inlineStr">
        <is>
          <t>2027-11</t>
        </is>
      </c>
      <c r="G695" s="33" t="n">
        <v>46692</v>
      </c>
    </row>
    <row r="696">
      <c r="A696" s="33" t="n">
        <v>46717</v>
      </c>
      <c r="B696" s="31" t="n">
        <v>20271126</v>
      </c>
      <c r="C696" s="31" t="n">
        <v>2027</v>
      </c>
      <c r="D696" s="31" t="inlineStr">
        <is>
          <t>K4</t>
        </is>
      </c>
      <c r="E696" s="31" t="n">
        <v>11</v>
      </c>
      <c r="F696" s="31" t="inlineStr">
        <is>
          <t>2027-11</t>
        </is>
      </c>
      <c r="G696" s="33" t="n">
        <v>46692</v>
      </c>
    </row>
    <row r="697">
      <c r="A697" s="33" t="n">
        <v>46718</v>
      </c>
      <c r="B697" s="31" t="n">
        <v>20271127</v>
      </c>
      <c r="C697" s="31" t="n">
        <v>2027</v>
      </c>
      <c r="D697" s="31" t="inlineStr">
        <is>
          <t>K4</t>
        </is>
      </c>
      <c r="E697" s="31" t="n">
        <v>11</v>
      </c>
      <c r="F697" s="31" t="inlineStr">
        <is>
          <t>2027-11</t>
        </is>
      </c>
      <c r="G697" s="33" t="n">
        <v>46692</v>
      </c>
    </row>
    <row r="698">
      <c r="A698" s="33" t="n">
        <v>46719</v>
      </c>
      <c r="B698" s="31" t="n">
        <v>20271128</v>
      </c>
      <c r="C698" s="31" t="n">
        <v>2027</v>
      </c>
      <c r="D698" s="31" t="inlineStr">
        <is>
          <t>K4</t>
        </is>
      </c>
      <c r="E698" s="31" t="n">
        <v>11</v>
      </c>
      <c r="F698" s="31" t="inlineStr">
        <is>
          <t>2027-11</t>
        </is>
      </c>
      <c r="G698" s="33" t="n">
        <v>46692</v>
      </c>
    </row>
    <row r="699">
      <c r="A699" s="33" t="n">
        <v>46720</v>
      </c>
      <c r="B699" s="31" t="n">
        <v>20271129</v>
      </c>
      <c r="C699" s="31" t="n">
        <v>2027</v>
      </c>
      <c r="D699" s="31" t="inlineStr">
        <is>
          <t>K4</t>
        </is>
      </c>
      <c r="E699" s="31" t="n">
        <v>11</v>
      </c>
      <c r="F699" s="31" t="inlineStr">
        <is>
          <t>2027-11</t>
        </is>
      </c>
      <c r="G699" s="33" t="n">
        <v>46692</v>
      </c>
    </row>
    <row r="700">
      <c r="A700" s="33" t="n">
        <v>46721</v>
      </c>
      <c r="B700" s="31" t="n">
        <v>20271130</v>
      </c>
      <c r="C700" s="31" t="n">
        <v>2027</v>
      </c>
      <c r="D700" s="31" t="inlineStr">
        <is>
          <t>K4</t>
        </is>
      </c>
      <c r="E700" s="31" t="n">
        <v>11</v>
      </c>
      <c r="F700" s="31" t="inlineStr">
        <is>
          <t>2027-11</t>
        </is>
      </c>
      <c r="G700" s="33" t="n">
        <v>46692</v>
      </c>
    </row>
    <row r="701">
      <c r="A701" s="33" t="n">
        <v>46722</v>
      </c>
      <c r="B701" s="31" t="n">
        <v>20271201</v>
      </c>
      <c r="C701" s="31" t="n">
        <v>2027</v>
      </c>
      <c r="D701" s="31" t="inlineStr">
        <is>
          <t>K4</t>
        </is>
      </c>
      <c r="E701" s="31" t="n">
        <v>12</v>
      </c>
      <c r="F701" s="31" t="inlineStr">
        <is>
          <t>2027-12</t>
        </is>
      </c>
      <c r="G701" s="33" t="n">
        <v>46722</v>
      </c>
    </row>
    <row r="702">
      <c r="A702" s="33" t="n">
        <v>46723</v>
      </c>
      <c r="B702" s="31" t="n">
        <v>20271202</v>
      </c>
      <c r="C702" s="31" t="n">
        <v>2027</v>
      </c>
      <c r="D702" s="31" t="inlineStr">
        <is>
          <t>K4</t>
        </is>
      </c>
      <c r="E702" s="31" t="n">
        <v>12</v>
      </c>
      <c r="F702" s="31" t="inlineStr">
        <is>
          <t>2027-12</t>
        </is>
      </c>
      <c r="G702" s="33" t="n">
        <v>46722</v>
      </c>
    </row>
    <row r="703">
      <c r="A703" s="33" t="n">
        <v>46724</v>
      </c>
      <c r="B703" s="31" t="n">
        <v>20271203</v>
      </c>
      <c r="C703" s="31" t="n">
        <v>2027</v>
      </c>
      <c r="D703" s="31" t="inlineStr">
        <is>
          <t>K4</t>
        </is>
      </c>
      <c r="E703" s="31" t="n">
        <v>12</v>
      </c>
      <c r="F703" s="31" t="inlineStr">
        <is>
          <t>2027-12</t>
        </is>
      </c>
      <c r="G703" s="33" t="n">
        <v>46722</v>
      </c>
    </row>
    <row r="704">
      <c r="A704" s="33" t="n">
        <v>46725</v>
      </c>
      <c r="B704" s="31" t="n">
        <v>20271204</v>
      </c>
      <c r="C704" s="31" t="n">
        <v>2027</v>
      </c>
      <c r="D704" s="31" t="inlineStr">
        <is>
          <t>K4</t>
        </is>
      </c>
      <c r="E704" s="31" t="n">
        <v>12</v>
      </c>
      <c r="F704" s="31" t="inlineStr">
        <is>
          <t>2027-12</t>
        </is>
      </c>
      <c r="G704" s="33" t="n">
        <v>46722</v>
      </c>
    </row>
    <row r="705">
      <c r="A705" s="33" t="n">
        <v>46726</v>
      </c>
      <c r="B705" s="31" t="n">
        <v>20271205</v>
      </c>
      <c r="C705" s="31" t="n">
        <v>2027</v>
      </c>
      <c r="D705" s="31" t="inlineStr">
        <is>
          <t>K4</t>
        </is>
      </c>
      <c r="E705" s="31" t="n">
        <v>12</v>
      </c>
      <c r="F705" s="31" t="inlineStr">
        <is>
          <t>2027-12</t>
        </is>
      </c>
      <c r="G705" s="33" t="n">
        <v>46722</v>
      </c>
    </row>
    <row r="706">
      <c r="A706" s="33" t="n">
        <v>46727</v>
      </c>
      <c r="B706" s="31" t="n">
        <v>20271206</v>
      </c>
      <c r="C706" s="31" t="n">
        <v>2027</v>
      </c>
      <c r="D706" s="31" t="inlineStr">
        <is>
          <t>K4</t>
        </is>
      </c>
      <c r="E706" s="31" t="n">
        <v>12</v>
      </c>
      <c r="F706" s="31" t="inlineStr">
        <is>
          <t>2027-12</t>
        </is>
      </c>
      <c r="G706" s="33" t="n">
        <v>46722</v>
      </c>
    </row>
    <row r="707">
      <c r="A707" s="33" t="n">
        <v>46728</v>
      </c>
      <c r="B707" s="31" t="n">
        <v>20271207</v>
      </c>
      <c r="C707" s="31" t="n">
        <v>2027</v>
      </c>
      <c r="D707" s="31" t="inlineStr">
        <is>
          <t>K4</t>
        </is>
      </c>
      <c r="E707" s="31" t="n">
        <v>12</v>
      </c>
      <c r="F707" s="31" t="inlineStr">
        <is>
          <t>2027-12</t>
        </is>
      </c>
      <c r="G707" s="33" t="n">
        <v>46722</v>
      </c>
    </row>
    <row r="708">
      <c r="A708" s="33" t="n">
        <v>46729</v>
      </c>
      <c r="B708" s="31" t="n">
        <v>20271208</v>
      </c>
      <c r="C708" s="31" t="n">
        <v>2027</v>
      </c>
      <c r="D708" s="31" t="inlineStr">
        <is>
          <t>K4</t>
        </is>
      </c>
      <c r="E708" s="31" t="n">
        <v>12</v>
      </c>
      <c r="F708" s="31" t="inlineStr">
        <is>
          <t>2027-12</t>
        </is>
      </c>
      <c r="G708" s="33" t="n">
        <v>46722</v>
      </c>
    </row>
    <row r="709">
      <c r="A709" s="33" t="n">
        <v>46730</v>
      </c>
      <c r="B709" s="31" t="n">
        <v>20271209</v>
      </c>
      <c r="C709" s="31" t="n">
        <v>2027</v>
      </c>
      <c r="D709" s="31" t="inlineStr">
        <is>
          <t>K4</t>
        </is>
      </c>
      <c r="E709" s="31" t="n">
        <v>12</v>
      </c>
      <c r="F709" s="31" t="inlineStr">
        <is>
          <t>2027-12</t>
        </is>
      </c>
      <c r="G709" s="33" t="n">
        <v>46722</v>
      </c>
    </row>
    <row r="710">
      <c r="A710" s="33" t="n">
        <v>46731</v>
      </c>
      <c r="B710" s="31" t="n">
        <v>20271210</v>
      </c>
      <c r="C710" s="31" t="n">
        <v>2027</v>
      </c>
      <c r="D710" s="31" t="inlineStr">
        <is>
          <t>K4</t>
        </is>
      </c>
      <c r="E710" s="31" t="n">
        <v>12</v>
      </c>
      <c r="F710" s="31" t="inlineStr">
        <is>
          <t>2027-12</t>
        </is>
      </c>
      <c r="G710" s="33" t="n">
        <v>46722</v>
      </c>
    </row>
    <row r="711">
      <c r="A711" s="33" t="n">
        <v>46732</v>
      </c>
      <c r="B711" s="31" t="n">
        <v>20271211</v>
      </c>
      <c r="C711" s="31" t="n">
        <v>2027</v>
      </c>
      <c r="D711" s="31" t="inlineStr">
        <is>
          <t>K4</t>
        </is>
      </c>
      <c r="E711" s="31" t="n">
        <v>12</v>
      </c>
      <c r="F711" s="31" t="inlineStr">
        <is>
          <t>2027-12</t>
        </is>
      </c>
      <c r="G711" s="33" t="n">
        <v>46722</v>
      </c>
    </row>
    <row r="712">
      <c r="A712" s="33" t="n">
        <v>46733</v>
      </c>
      <c r="B712" s="31" t="n">
        <v>20271212</v>
      </c>
      <c r="C712" s="31" t="n">
        <v>2027</v>
      </c>
      <c r="D712" s="31" t="inlineStr">
        <is>
          <t>K4</t>
        </is>
      </c>
      <c r="E712" s="31" t="n">
        <v>12</v>
      </c>
      <c r="F712" s="31" t="inlineStr">
        <is>
          <t>2027-12</t>
        </is>
      </c>
      <c r="G712" s="33" t="n">
        <v>46722</v>
      </c>
    </row>
    <row r="713">
      <c r="A713" s="33" t="n">
        <v>46734</v>
      </c>
      <c r="B713" s="31" t="n">
        <v>20271213</v>
      </c>
      <c r="C713" s="31" t="n">
        <v>2027</v>
      </c>
      <c r="D713" s="31" t="inlineStr">
        <is>
          <t>K4</t>
        </is>
      </c>
      <c r="E713" s="31" t="n">
        <v>12</v>
      </c>
      <c r="F713" s="31" t="inlineStr">
        <is>
          <t>2027-12</t>
        </is>
      </c>
      <c r="G713" s="33" t="n">
        <v>46722</v>
      </c>
    </row>
    <row r="714">
      <c r="A714" s="33" t="n">
        <v>46735</v>
      </c>
      <c r="B714" s="31" t="n">
        <v>20271214</v>
      </c>
      <c r="C714" s="31" t="n">
        <v>2027</v>
      </c>
      <c r="D714" s="31" t="inlineStr">
        <is>
          <t>K4</t>
        </is>
      </c>
      <c r="E714" s="31" t="n">
        <v>12</v>
      </c>
      <c r="F714" s="31" t="inlineStr">
        <is>
          <t>2027-12</t>
        </is>
      </c>
      <c r="G714" s="33" t="n">
        <v>46722</v>
      </c>
    </row>
    <row r="715">
      <c r="A715" s="33" t="n">
        <v>46736</v>
      </c>
      <c r="B715" s="31" t="n">
        <v>20271215</v>
      </c>
      <c r="C715" s="31" t="n">
        <v>2027</v>
      </c>
      <c r="D715" s="31" t="inlineStr">
        <is>
          <t>K4</t>
        </is>
      </c>
      <c r="E715" s="31" t="n">
        <v>12</v>
      </c>
      <c r="F715" s="31" t="inlineStr">
        <is>
          <t>2027-12</t>
        </is>
      </c>
      <c r="G715" s="33" t="n">
        <v>46722</v>
      </c>
    </row>
    <row r="716">
      <c r="A716" s="33" t="n">
        <v>46737</v>
      </c>
      <c r="B716" s="31" t="n">
        <v>20271216</v>
      </c>
      <c r="C716" s="31" t="n">
        <v>2027</v>
      </c>
      <c r="D716" s="31" t="inlineStr">
        <is>
          <t>K4</t>
        </is>
      </c>
      <c r="E716" s="31" t="n">
        <v>12</v>
      </c>
      <c r="F716" s="31" t="inlineStr">
        <is>
          <t>2027-12</t>
        </is>
      </c>
      <c r="G716" s="33" t="n">
        <v>46722</v>
      </c>
    </row>
    <row r="717">
      <c r="A717" s="33" t="n">
        <v>46738</v>
      </c>
      <c r="B717" s="31" t="n">
        <v>20271217</v>
      </c>
      <c r="C717" s="31" t="n">
        <v>2027</v>
      </c>
      <c r="D717" s="31" t="inlineStr">
        <is>
          <t>K4</t>
        </is>
      </c>
      <c r="E717" s="31" t="n">
        <v>12</v>
      </c>
      <c r="F717" s="31" t="inlineStr">
        <is>
          <t>2027-12</t>
        </is>
      </c>
      <c r="G717" s="33" t="n">
        <v>46722</v>
      </c>
    </row>
    <row r="718">
      <c r="A718" s="33" t="n">
        <v>46739</v>
      </c>
      <c r="B718" s="31" t="n">
        <v>20271218</v>
      </c>
      <c r="C718" s="31" t="n">
        <v>2027</v>
      </c>
      <c r="D718" s="31" t="inlineStr">
        <is>
          <t>K4</t>
        </is>
      </c>
      <c r="E718" s="31" t="n">
        <v>12</v>
      </c>
      <c r="F718" s="31" t="inlineStr">
        <is>
          <t>2027-12</t>
        </is>
      </c>
      <c r="G718" s="33" t="n">
        <v>46722</v>
      </c>
    </row>
    <row r="719">
      <c r="A719" s="33" t="n">
        <v>46740</v>
      </c>
      <c r="B719" s="31" t="n">
        <v>20271219</v>
      </c>
      <c r="C719" s="31" t="n">
        <v>2027</v>
      </c>
      <c r="D719" s="31" t="inlineStr">
        <is>
          <t>K4</t>
        </is>
      </c>
      <c r="E719" s="31" t="n">
        <v>12</v>
      </c>
      <c r="F719" s="31" t="inlineStr">
        <is>
          <t>2027-12</t>
        </is>
      </c>
      <c r="G719" s="33" t="n">
        <v>46722</v>
      </c>
    </row>
    <row r="720">
      <c r="A720" s="33" t="n">
        <v>46741</v>
      </c>
      <c r="B720" s="31" t="n">
        <v>20271220</v>
      </c>
      <c r="C720" s="31" t="n">
        <v>2027</v>
      </c>
      <c r="D720" s="31" t="inlineStr">
        <is>
          <t>K4</t>
        </is>
      </c>
      <c r="E720" s="31" t="n">
        <v>12</v>
      </c>
      <c r="F720" s="31" t="inlineStr">
        <is>
          <t>2027-12</t>
        </is>
      </c>
      <c r="G720" s="33" t="n">
        <v>46722</v>
      </c>
    </row>
    <row r="721">
      <c r="A721" s="33" t="n">
        <v>46742</v>
      </c>
      <c r="B721" s="31" t="n">
        <v>20271221</v>
      </c>
      <c r="C721" s="31" t="n">
        <v>2027</v>
      </c>
      <c r="D721" s="31" t="inlineStr">
        <is>
          <t>K4</t>
        </is>
      </c>
      <c r="E721" s="31" t="n">
        <v>12</v>
      </c>
      <c r="F721" s="31" t="inlineStr">
        <is>
          <t>2027-12</t>
        </is>
      </c>
      <c r="G721" s="33" t="n">
        <v>46722</v>
      </c>
    </row>
    <row r="722">
      <c r="A722" s="33" t="n">
        <v>46743</v>
      </c>
      <c r="B722" s="31" t="n">
        <v>20271222</v>
      </c>
      <c r="C722" s="31" t="n">
        <v>2027</v>
      </c>
      <c r="D722" s="31" t="inlineStr">
        <is>
          <t>K4</t>
        </is>
      </c>
      <c r="E722" s="31" t="n">
        <v>12</v>
      </c>
      <c r="F722" s="31" t="inlineStr">
        <is>
          <t>2027-12</t>
        </is>
      </c>
      <c r="G722" s="33" t="n">
        <v>46722</v>
      </c>
    </row>
    <row r="723">
      <c r="A723" s="33" t="n">
        <v>46744</v>
      </c>
      <c r="B723" s="31" t="n">
        <v>20271223</v>
      </c>
      <c r="C723" s="31" t="n">
        <v>2027</v>
      </c>
      <c r="D723" s="31" t="inlineStr">
        <is>
          <t>K4</t>
        </is>
      </c>
      <c r="E723" s="31" t="n">
        <v>12</v>
      </c>
      <c r="F723" s="31" t="inlineStr">
        <is>
          <t>2027-12</t>
        </is>
      </c>
      <c r="G723" s="33" t="n">
        <v>46722</v>
      </c>
    </row>
    <row r="724">
      <c r="A724" s="33" t="n">
        <v>46745</v>
      </c>
      <c r="B724" s="31" t="n">
        <v>20271224</v>
      </c>
      <c r="C724" s="31" t="n">
        <v>2027</v>
      </c>
      <c r="D724" s="31" t="inlineStr">
        <is>
          <t>K4</t>
        </is>
      </c>
      <c r="E724" s="31" t="n">
        <v>12</v>
      </c>
      <c r="F724" s="31" t="inlineStr">
        <is>
          <t>2027-12</t>
        </is>
      </c>
      <c r="G724" s="33" t="n">
        <v>46722</v>
      </c>
    </row>
    <row r="725">
      <c r="A725" s="33" t="n">
        <v>46746</v>
      </c>
      <c r="B725" s="31" t="n">
        <v>20271225</v>
      </c>
      <c r="C725" s="31" t="n">
        <v>2027</v>
      </c>
      <c r="D725" s="31" t="inlineStr">
        <is>
          <t>K4</t>
        </is>
      </c>
      <c r="E725" s="31" t="n">
        <v>12</v>
      </c>
      <c r="F725" s="31" t="inlineStr">
        <is>
          <t>2027-12</t>
        </is>
      </c>
      <c r="G725" s="33" t="n">
        <v>46722</v>
      </c>
    </row>
    <row r="726">
      <c r="A726" s="33" t="n">
        <v>46747</v>
      </c>
      <c r="B726" s="31" t="n">
        <v>20271226</v>
      </c>
      <c r="C726" s="31" t="n">
        <v>2027</v>
      </c>
      <c r="D726" s="31" t="inlineStr">
        <is>
          <t>K4</t>
        </is>
      </c>
      <c r="E726" s="31" t="n">
        <v>12</v>
      </c>
      <c r="F726" s="31" t="inlineStr">
        <is>
          <t>2027-12</t>
        </is>
      </c>
      <c r="G726" s="33" t="n">
        <v>46722</v>
      </c>
    </row>
    <row r="727">
      <c r="A727" s="33" t="n">
        <v>46748</v>
      </c>
      <c r="B727" s="31" t="n">
        <v>20271227</v>
      </c>
      <c r="C727" s="31" t="n">
        <v>2027</v>
      </c>
      <c r="D727" s="31" t="inlineStr">
        <is>
          <t>K4</t>
        </is>
      </c>
      <c r="E727" s="31" t="n">
        <v>12</v>
      </c>
      <c r="F727" s="31" t="inlineStr">
        <is>
          <t>2027-12</t>
        </is>
      </c>
      <c r="G727" s="33" t="n">
        <v>46722</v>
      </c>
    </row>
    <row r="728">
      <c r="A728" s="33" t="n">
        <v>46749</v>
      </c>
      <c r="B728" s="31" t="n">
        <v>20271228</v>
      </c>
      <c r="C728" s="31" t="n">
        <v>2027</v>
      </c>
      <c r="D728" s="31" t="inlineStr">
        <is>
          <t>K4</t>
        </is>
      </c>
      <c r="E728" s="31" t="n">
        <v>12</v>
      </c>
      <c r="F728" s="31" t="inlineStr">
        <is>
          <t>2027-12</t>
        </is>
      </c>
      <c r="G728" s="33" t="n">
        <v>46722</v>
      </c>
    </row>
    <row r="729">
      <c r="A729" s="33" t="n">
        <v>46750</v>
      </c>
      <c r="B729" s="31" t="n">
        <v>20271229</v>
      </c>
      <c r="C729" s="31" t="n">
        <v>2027</v>
      </c>
      <c r="D729" s="31" t="inlineStr">
        <is>
          <t>K4</t>
        </is>
      </c>
      <c r="E729" s="31" t="n">
        <v>12</v>
      </c>
      <c r="F729" s="31" t="inlineStr">
        <is>
          <t>2027-12</t>
        </is>
      </c>
      <c r="G729" s="33" t="n">
        <v>46722</v>
      </c>
    </row>
    <row r="730">
      <c r="A730" s="33" t="n">
        <v>46751</v>
      </c>
      <c r="B730" s="31" t="n">
        <v>20271230</v>
      </c>
      <c r="C730" s="31" t="n">
        <v>2027</v>
      </c>
      <c r="D730" s="31" t="inlineStr">
        <is>
          <t>K4</t>
        </is>
      </c>
      <c r="E730" s="31" t="n">
        <v>12</v>
      </c>
      <c r="F730" s="31" t="inlineStr">
        <is>
          <t>2027-12</t>
        </is>
      </c>
      <c r="G730" s="33" t="n">
        <v>46722</v>
      </c>
    </row>
    <row r="731">
      <c r="A731" s="33" t="n">
        <v>46752</v>
      </c>
      <c r="B731" s="31" t="n">
        <v>20271231</v>
      </c>
      <c r="C731" s="31" t="n">
        <v>2027</v>
      </c>
      <c r="D731" s="31" t="inlineStr">
        <is>
          <t>K4</t>
        </is>
      </c>
      <c r="E731" s="31" t="n">
        <v>12</v>
      </c>
      <c r="F731" s="31" t="inlineStr">
        <is>
          <t>2027-12</t>
        </is>
      </c>
      <c r="G731" s="33" t="n">
        <v>46722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:H1"/>
    </sheetView>
  </sheetViews>
  <sheetFormatPr baseColWidth="8" defaultRowHeight="14.5"/>
  <cols>
    <col width="21.36328125" bestFit="1" customWidth="1" style="6" min="1" max="1"/>
    <col width="10.1796875" bestFit="1" customWidth="1" style="6" min="2" max="2"/>
    <col width="23.453125" bestFit="1" customWidth="1" style="6" min="3" max="3"/>
    <col width="10.1796875" bestFit="1" customWidth="1" style="6" min="4" max="4"/>
    <col width="38.54296875" bestFit="1" customWidth="1" style="6" min="5" max="5"/>
    <col width="10.90625" bestFit="1" customWidth="1" style="6" min="6" max="6"/>
    <col width="47.1796875" bestFit="1" customWidth="1" style="6" min="7" max="7"/>
    <col width="14.81640625" bestFit="1" customWidth="1" style="6" min="8" max="8"/>
  </cols>
  <sheetData>
    <row r="1" customFormat="1" s="17">
      <c r="A1" s="18" t="inlineStr">
        <is>
          <t>Organisasjonsnokkel</t>
        </is>
      </c>
      <c r="B1" s="18" t="inlineStr">
        <is>
          <t>Fakultet</t>
        </is>
      </c>
      <c r="C1" s="18" t="inlineStr">
        <is>
          <t>Fakultetsnavn</t>
        </is>
      </c>
      <c r="D1" s="18" t="inlineStr">
        <is>
          <t>Institutt</t>
        </is>
      </c>
      <c r="E1" s="18" t="inlineStr">
        <is>
          <t>Instituttnavn</t>
        </is>
      </c>
      <c r="F1" s="18" t="inlineStr">
        <is>
          <t>Koststed</t>
        </is>
      </c>
      <c r="G1" s="18" t="inlineStr">
        <is>
          <t>Koststednavn</t>
        </is>
      </c>
      <c r="H1" s="18" t="inlineStr">
        <is>
          <t>Koststedtype</t>
        </is>
      </c>
    </row>
    <row r="2">
      <c r="A2" s="10" t="inlineStr">
        <is>
          <t>I001K1</t>
        </is>
      </c>
      <c r="B2" s="10" t="inlineStr">
        <is>
          <t>FAK-HH</t>
        </is>
      </c>
      <c r="C2" s="10" t="inlineStr">
        <is>
          <t>Handelshoyskolen</t>
        </is>
      </c>
      <c r="D2" s="10" t="inlineStr">
        <is>
          <t>I001</t>
        </is>
      </c>
      <c r="E2" s="10" t="inlineStr">
        <is>
          <t>Institutt/enhet 1 - Handelshoyskolen</t>
        </is>
      </c>
      <c r="F2" s="10" t="inlineStr">
        <is>
          <t>I001K1</t>
        </is>
      </c>
      <c r="G2" s="10" t="inlineStr">
        <is>
          <t>Institutt/enhet 1 - Handelshoyskolen - drift</t>
        </is>
      </c>
      <c r="H2" s="10" t="inlineStr">
        <is>
          <t>Drift</t>
        </is>
      </c>
    </row>
    <row r="3">
      <c r="A3" s="10" t="inlineStr">
        <is>
          <t>I001K2</t>
        </is>
      </c>
      <c r="B3" s="10" t="inlineStr">
        <is>
          <t>FAK-HH</t>
        </is>
      </c>
      <c r="C3" s="10" t="inlineStr">
        <is>
          <t>Handelshoyskolen</t>
        </is>
      </c>
      <c r="D3" s="10" t="inlineStr">
        <is>
          <t>I001</t>
        </is>
      </c>
      <c r="E3" s="10" t="inlineStr">
        <is>
          <t>Institutt/enhet 1 - Handelshoyskolen</t>
        </is>
      </c>
      <c r="F3" s="10" t="inlineStr">
        <is>
          <t>I001K2</t>
        </is>
      </c>
      <c r="G3" s="10" t="inlineStr">
        <is>
          <t>Institutt/enhet 1 - Handelshoyskolen - prosjekt</t>
        </is>
      </c>
      <c r="H3" s="10" t="inlineStr">
        <is>
          <t>Prosjekt</t>
        </is>
      </c>
    </row>
    <row r="4">
      <c r="A4" s="10" t="inlineStr">
        <is>
          <t>I002K1</t>
        </is>
      </c>
      <c r="B4" s="10" t="inlineStr">
        <is>
          <t>FAK-HH</t>
        </is>
      </c>
      <c r="C4" s="10" t="inlineStr">
        <is>
          <t>Handelshoyskolen</t>
        </is>
      </c>
      <c r="D4" s="10" t="inlineStr">
        <is>
          <t>I002</t>
        </is>
      </c>
      <c r="E4" s="10" t="inlineStr">
        <is>
          <t>Institutt/enhet 2 - Handelshoyskolen</t>
        </is>
      </c>
      <c r="F4" s="10" t="inlineStr">
        <is>
          <t>I002K1</t>
        </is>
      </c>
      <c r="G4" s="10" t="inlineStr">
        <is>
          <t>Institutt/enhet 2 - Handelshoyskolen - drift</t>
        </is>
      </c>
      <c r="H4" s="10" t="inlineStr">
        <is>
          <t>Drift</t>
        </is>
      </c>
    </row>
    <row r="5">
      <c r="A5" s="10" t="inlineStr">
        <is>
          <t>I002K2</t>
        </is>
      </c>
      <c r="B5" s="10" t="inlineStr">
        <is>
          <t>FAK-HH</t>
        </is>
      </c>
      <c r="C5" s="10" t="inlineStr">
        <is>
          <t>Handelshoyskolen</t>
        </is>
      </c>
      <c r="D5" s="10" t="inlineStr">
        <is>
          <t>I002</t>
        </is>
      </c>
      <c r="E5" s="10" t="inlineStr">
        <is>
          <t>Institutt/enhet 2 - Handelshoyskolen</t>
        </is>
      </c>
      <c r="F5" s="10" t="inlineStr">
        <is>
          <t>I002K2</t>
        </is>
      </c>
      <c r="G5" s="10" t="inlineStr">
        <is>
          <t>Institutt/enhet 2 - Handelshoyskolen - prosjekt</t>
        </is>
      </c>
      <c r="H5" s="10" t="inlineStr">
        <is>
          <t>Prosjekt</t>
        </is>
      </c>
    </row>
    <row r="6">
      <c r="A6" s="10" t="inlineStr">
        <is>
          <t>I003K1</t>
        </is>
      </c>
      <c r="B6" s="10" t="inlineStr">
        <is>
          <t>FAK-HH</t>
        </is>
      </c>
      <c r="C6" s="10" t="inlineStr">
        <is>
          <t>Handelshoyskolen</t>
        </is>
      </c>
      <c r="D6" s="10" t="inlineStr">
        <is>
          <t>I003</t>
        </is>
      </c>
      <c r="E6" s="10" t="inlineStr">
        <is>
          <t>Institutt/enhet 3 - Handelshoyskolen</t>
        </is>
      </c>
      <c r="F6" s="10" t="inlineStr">
        <is>
          <t>I003K1</t>
        </is>
      </c>
      <c r="G6" s="10" t="inlineStr">
        <is>
          <t>Institutt/enhet 3 - Handelshoyskolen - drift</t>
        </is>
      </c>
      <c r="H6" s="10" t="inlineStr">
        <is>
          <t>Drift</t>
        </is>
      </c>
    </row>
    <row r="7">
      <c r="A7" s="10" t="inlineStr">
        <is>
          <t>I003K2</t>
        </is>
      </c>
      <c r="B7" s="10" t="inlineStr">
        <is>
          <t>FAK-HH</t>
        </is>
      </c>
      <c r="C7" s="10" t="inlineStr">
        <is>
          <t>Handelshoyskolen</t>
        </is>
      </c>
      <c r="D7" s="10" t="inlineStr">
        <is>
          <t>I003</t>
        </is>
      </c>
      <c r="E7" s="10" t="inlineStr">
        <is>
          <t>Institutt/enhet 3 - Handelshoyskolen</t>
        </is>
      </c>
      <c r="F7" s="10" t="inlineStr">
        <is>
          <t>I003K2</t>
        </is>
      </c>
      <c r="G7" s="10" t="inlineStr">
        <is>
          <t>Institutt/enhet 3 - Handelshoyskolen - prosjekt</t>
        </is>
      </c>
      <c r="H7" s="10" t="inlineStr">
        <is>
          <t>Prosjekt</t>
        </is>
      </c>
    </row>
    <row r="8">
      <c r="A8" s="10" t="inlineStr">
        <is>
          <t>I004K1</t>
        </is>
      </c>
      <c r="B8" s="10" t="inlineStr">
        <is>
          <t>FAK-HI</t>
        </is>
      </c>
      <c r="C8" s="10" t="inlineStr">
        <is>
          <t>Helse- og idrettsvitenskap</t>
        </is>
      </c>
      <c r="D8" s="10" t="inlineStr">
        <is>
          <t>I004</t>
        </is>
      </c>
      <c r="E8" s="10" t="inlineStr">
        <is>
          <t>Institutt/enhet 1 - Helse- og idrettsvitenskap</t>
        </is>
      </c>
      <c r="F8" s="10" t="inlineStr">
        <is>
          <t>I004K1</t>
        </is>
      </c>
      <c r="G8" s="10" t="inlineStr">
        <is>
          <t>Institutt/enhet 1 - Helse- og idrettsvitenskap - drift</t>
        </is>
      </c>
      <c r="H8" s="10" t="inlineStr">
        <is>
          <t>Drift</t>
        </is>
      </c>
    </row>
    <row r="9">
      <c r="A9" s="10" t="inlineStr">
        <is>
          <t>I004K2</t>
        </is>
      </c>
      <c r="B9" s="10" t="inlineStr">
        <is>
          <t>FAK-HI</t>
        </is>
      </c>
      <c r="C9" s="10" t="inlineStr">
        <is>
          <t>Helse- og idrettsvitenskap</t>
        </is>
      </c>
      <c r="D9" s="10" t="inlineStr">
        <is>
          <t>I004</t>
        </is>
      </c>
      <c r="E9" s="10" t="inlineStr">
        <is>
          <t>Institutt/enhet 1 - Helse- og idrettsvitenskap</t>
        </is>
      </c>
      <c r="F9" s="10" t="inlineStr">
        <is>
          <t>I004K2</t>
        </is>
      </c>
      <c r="G9" s="10" t="inlineStr">
        <is>
          <t>Institutt/enhet 1 - Helse- og idrettsvitenskap - prosjekt</t>
        </is>
      </c>
      <c r="H9" s="10" t="inlineStr">
        <is>
          <t>Prosjekt</t>
        </is>
      </c>
    </row>
    <row r="10">
      <c r="A10" s="10" t="inlineStr">
        <is>
          <t>I005K1</t>
        </is>
      </c>
      <c r="B10" s="10" t="inlineStr">
        <is>
          <t>FAK-HI</t>
        </is>
      </c>
      <c r="C10" s="10" t="inlineStr">
        <is>
          <t>Helse- og idrettsvitenskap</t>
        </is>
      </c>
      <c r="D10" s="10" t="inlineStr">
        <is>
          <t>I005</t>
        </is>
      </c>
      <c r="E10" s="10" t="inlineStr">
        <is>
          <t>Institutt/enhet 2 - Helse- og idrettsvitenskap</t>
        </is>
      </c>
      <c r="F10" s="10" t="inlineStr">
        <is>
          <t>I005K1</t>
        </is>
      </c>
      <c r="G10" s="10" t="inlineStr">
        <is>
          <t>Institutt/enhet 2 - Helse- og idrettsvitenskap - drift</t>
        </is>
      </c>
      <c r="H10" s="10" t="inlineStr">
        <is>
          <t>Drift</t>
        </is>
      </c>
    </row>
    <row r="11">
      <c r="A11" s="10" t="inlineStr">
        <is>
          <t>I005K2</t>
        </is>
      </c>
      <c r="B11" s="10" t="inlineStr">
        <is>
          <t>FAK-HI</t>
        </is>
      </c>
      <c r="C11" s="10" t="inlineStr">
        <is>
          <t>Helse- og idrettsvitenskap</t>
        </is>
      </c>
      <c r="D11" s="10" t="inlineStr">
        <is>
          <t>I005</t>
        </is>
      </c>
      <c r="E11" s="10" t="inlineStr">
        <is>
          <t>Institutt/enhet 2 - Helse- og idrettsvitenskap</t>
        </is>
      </c>
      <c r="F11" s="10" t="inlineStr">
        <is>
          <t>I005K2</t>
        </is>
      </c>
      <c r="G11" s="10" t="inlineStr">
        <is>
          <t>Institutt/enhet 2 - Helse- og idrettsvitenskap - prosjekt</t>
        </is>
      </c>
      <c r="H11" s="10" t="inlineStr">
        <is>
          <t>Prosjekt</t>
        </is>
      </c>
    </row>
    <row r="12">
      <c r="A12" s="10" t="inlineStr">
        <is>
          <t>I006K1</t>
        </is>
      </c>
      <c r="B12" s="10" t="inlineStr">
        <is>
          <t>FAK-HI</t>
        </is>
      </c>
      <c r="C12" s="10" t="inlineStr">
        <is>
          <t>Helse- og idrettsvitenskap</t>
        </is>
      </c>
      <c r="D12" s="10" t="inlineStr">
        <is>
          <t>I006</t>
        </is>
      </c>
      <c r="E12" s="10" t="inlineStr">
        <is>
          <t>Institutt/enhet 3 - Helse- og idrettsvitenskap</t>
        </is>
      </c>
      <c r="F12" s="10" t="inlineStr">
        <is>
          <t>I006K1</t>
        </is>
      </c>
      <c r="G12" s="10" t="inlineStr">
        <is>
          <t>Institutt/enhet 3 - Helse- og idrettsvitenskap - drift</t>
        </is>
      </c>
      <c r="H12" s="10" t="inlineStr">
        <is>
          <t>Drift</t>
        </is>
      </c>
    </row>
    <row r="13">
      <c r="A13" s="10" t="inlineStr">
        <is>
          <t>I006K2</t>
        </is>
      </c>
      <c r="B13" s="10" t="inlineStr">
        <is>
          <t>FAK-HI</t>
        </is>
      </c>
      <c r="C13" s="10" t="inlineStr">
        <is>
          <t>Helse- og idrettsvitenskap</t>
        </is>
      </c>
      <c r="D13" s="10" t="inlineStr">
        <is>
          <t>I006</t>
        </is>
      </c>
      <c r="E13" s="10" t="inlineStr">
        <is>
          <t>Institutt/enhet 3 - Helse- og idrettsvitenskap</t>
        </is>
      </c>
      <c r="F13" s="10" t="inlineStr">
        <is>
          <t>I006K2</t>
        </is>
      </c>
      <c r="G13" s="10" t="inlineStr">
        <is>
          <t>Institutt/enhet 3 - Helse- og idrettsvitenskap - prosjekt</t>
        </is>
      </c>
      <c r="H13" s="10" t="inlineStr">
        <is>
          <t>Prosjekt</t>
        </is>
      </c>
    </row>
    <row r="14">
      <c r="A14" s="10" t="inlineStr">
        <is>
          <t>I007K1</t>
        </is>
      </c>
      <c r="B14" s="10" t="inlineStr">
        <is>
          <t>FAK-HP</t>
        </is>
      </c>
      <c r="C14" s="10" t="inlineStr">
        <is>
          <t>Humaniora og pedagogikk</t>
        </is>
      </c>
      <c r="D14" s="10" t="inlineStr">
        <is>
          <t>I007</t>
        </is>
      </c>
      <c r="E14" s="10" t="inlineStr">
        <is>
          <t>Institutt/enhet 1 - Humaniora og pedagogikk</t>
        </is>
      </c>
      <c r="F14" s="10" t="inlineStr">
        <is>
          <t>I007K1</t>
        </is>
      </c>
      <c r="G14" s="10" t="inlineStr">
        <is>
          <t>Institutt/enhet 1 - Humaniora og pedagogikk - drift</t>
        </is>
      </c>
      <c r="H14" s="10" t="inlineStr">
        <is>
          <t>Drift</t>
        </is>
      </c>
    </row>
    <row r="15">
      <c r="A15" s="10" t="inlineStr">
        <is>
          <t>I007K2</t>
        </is>
      </c>
      <c r="B15" s="10" t="inlineStr">
        <is>
          <t>FAK-HP</t>
        </is>
      </c>
      <c r="C15" s="10" t="inlineStr">
        <is>
          <t>Humaniora og pedagogikk</t>
        </is>
      </c>
      <c r="D15" s="10" t="inlineStr">
        <is>
          <t>I007</t>
        </is>
      </c>
      <c r="E15" s="10" t="inlineStr">
        <is>
          <t>Institutt/enhet 1 - Humaniora og pedagogikk</t>
        </is>
      </c>
      <c r="F15" s="10" t="inlineStr">
        <is>
          <t>I007K2</t>
        </is>
      </c>
      <c r="G15" s="10" t="inlineStr">
        <is>
          <t>Institutt/enhet 1 - Humaniora og pedagogikk - prosjekt</t>
        </is>
      </c>
      <c r="H15" s="10" t="inlineStr">
        <is>
          <t>Prosjekt</t>
        </is>
      </c>
    </row>
    <row r="16">
      <c r="A16" s="10" t="inlineStr">
        <is>
          <t>I008K1</t>
        </is>
      </c>
      <c r="B16" s="10" t="inlineStr">
        <is>
          <t>FAK-HP</t>
        </is>
      </c>
      <c r="C16" s="10" t="inlineStr">
        <is>
          <t>Humaniora og pedagogikk</t>
        </is>
      </c>
      <c r="D16" s="10" t="inlineStr">
        <is>
          <t>I008</t>
        </is>
      </c>
      <c r="E16" s="10" t="inlineStr">
        <is>
          <t>Institutt/enhet 2 - Humaniora og pedagogikk</t>
        </is>
      </c>
      <c r="F16" s="10" t="inlineStr">
        <is>
          <t>I008K1</t>
        </is>
      </c>
      <c r="G16" s="10" t="inlineStr">
        <is>
          <t>Institutt/enhet 2 - Humaniora og pedagogikk - drift</t>
        </is>
      </c>
      <c r="H16" s="10" t="inlineStr">
        <is>
          <t>Drift</t>
        </is>
      </c>
    </row>
    <row r="17">
      <c r="A17" s="10" t="inlineStr">
        <is>
          <t>I008K2</t>
        </is>
      </c>
      <c r="B17" s="10" t="inlineStr">
        <is>
          <t>FAK-HP</t>
        </is>
      </c>
      <c r="C17" s="10" t="inlineStr">
        <is>
          <t>Humaniora og pedagogikk</t>
        </is>
      </c>
      <c r="D17" s="10" t="inlineStr">
        <is>
          <t>I008</t>
        </is>
      </c>
      <c r="E17" s="10" t="inlineStr">
        <is>
          <t>Institutt/enhet 2 - Humaniora og pedagogikk</t>
        </is>
      </c>
      <c r="F17" s="10" t="inlineStr">
        <is>
          <t>I008K2</t>
        </is>
      </c>
      <c r="G17" s="10" t="inlineStr">
        <is>
          <t>Institutt/enhet 2 - Humaniora og pedagogikk - prosjekt</t>
        </is>
      </c>
      <c r="H17" s="10" t="inlineStr">
        <is>
          <t>Prosjekt</t>
        </is>
      </c>
    </row>
    <row r="18">
      <c r="A18" s="10" t="inlineStr">
        <is>
          <t>I009K1</t>
        </is>
      </c>
      <c r="B18" s="10" t="inlineStr">
        <is>
          <t>FAK-HP</t>
        </is>
      </c>
      <c r="C18" s="10" t="inlineStr">
        <is>
          <t>Humaniora og pedagogikk</t>
        </is>
      </c>
      <c r="D18" s="10" t="inlineStr">
        <is>
          <t>I009</t>
        </is>
      </c>
      <c r="E18" s="10" t="inlineStr">
        <is>
          <t>Institutt/enhet 3 - Humaniora og pedagogikk</t>
        </is>
      </c>
      <c r="F18" s="10" t="inlineStr">
        <is>
          <t>I009K1</t>
        </is>
      </c>
      <c r="G18" s="10" t="inlineStr">
        <is>
          <t>Institutt/enhet 3 - Humaniora og pedagogikk - drift</t>
        </is>
      </c>
      <c r="H18" s="10" t="inlineStr">
        <is>
          <t>Drift</t>
        </is>
      </c>
    </row>
    <row r="19">
      <c r="A19" s="10" t="inlineStr">
        <is>
          <t>I009K2</t>
        </is>
      </c>
      <c r="B19" s="10" t="inlineStr">
        <is>
          <t>FAK-HP</t>
        </is>
      </c>
      <c r="C19" s="10" t="inlineStr">
        <is>
          <t>Humaniora og pedagogikk</t>
        </is>
      </c>
      <c r="D19" s="10" t="inlineStr">
        <is>
          <t>I009</t>
        </is>
      </c>
      <c r="E19" s="10" t="inlineStr">
        <is>
          <t>Institutt/enhet 3 - Humaniora og pedagogikk</t>
        </is>
      </c>
      <c r="F19" s="10" t="inlineStr">
        <is>
          <t>I009K2</t>
        </is>
      </c>
      <c r="G19" s="10" t="inlineStr">
        <is>
          <t>Institutt/enhet 3 - Humaniora og pedagogikk - prosjekt</t>
        </is>
      </c>
      <c r="H19" s="10" t="inlineStr">
        <is>
          <t>Prosjekt</t>
        </is>
      </c>
    </row>
    <row r="20">
      <c r="A20" s="10" t="inlineStr">
        <is>
          <t>I010K1</t>
        </is>
      </c>
      <c r="B20" s="10" t="inlineStr">
        <is>
          <t>FAK-KF</t>
        </is>
      </c>
      <c r="C20" s="10" t="inlineStr">
        <is>
          <t>Kunstfag</t>
        </is>
      </c>
      <c r="D20" s="10" t="inlineStr">
        <is>
          <t>I010</t>
        </is>
      </c>
      <c r="E20" s="10" t="inlineStr">
        <is>
          <t>Institutt/enhet 1 - Kunstfag</t>
        </is>
      </c>
      <c r="F20" s="10" t="inlineStr">
        <is>
          <t>I010K1</t>
        </is>
      </c>
      <c r="G20" s="10" t="inlineStr">
        <is>
          <t>Institutt/enhet 1 - Kunstfag - drift</t>
        </is>
      </c>
      <c r="H20" s="10" t="inlineStr">
        <is>
          <t>Drift</t>
        </is>
      </c>
    </row>
    <row r="21">
      <c r="A21" s="10" t="inlineStr">
        <is>
          <t>I010K2</t>
        </is>
      </c>
      <c r="B21" s="10" t="inlineStr">
        <is>
          <t>FAK-KF</t>
        </is>
      </c>
      <c r="C21" s="10" t="inlineStr">
        <is>
          <t>Kunstfag</t>
        </is>
      </c>
      <c r="D21" s="10" t="inlineStr">
        <is>
          <t>I010</t>
        </is>
      </c>
      <c r="E21" s="10" t="inlineStr">
        <is>
          <t>Institutt/enhet 1 - Kunstfag</t>
        </is>
      </c>
      <c r="F21" s="10" t="inlineStr">
        <is>
          <t>I010K2</t>
        </is>
      </c>
      <c r="G21" s="10" t="inlineStr">
        <is>
          <t>Institutt/enhet 1 - Kunstfag - prosjekt</t>
        </is>
      </c>
      <c r="H21" s="10" t="inlineStr">
        <is>
          <t>Prosjekt</t>
        </is>
      </c>
    </row>
    <row r="22">
      <c r="A22" s="10" t="inlineStr">
        <is>
          <t>I011K1</t>
        </is>
      </c>
      <c r="B22" s="10" t="inlineStr">
        <is>
          <t>FAK-KF</t>
        </is>
      </c>
      <c r="C22" s="10" t="inlineStr">
        <is>
          <t>Kunstfag</t>
        </is>
      </c>
      <c r="D22" s="10" t="inlineStr">
        <is>
          <t>I011</t>
        </is>
      </c>
      <c r="E22" s="10" t="inlineStr">
        <is>
          <t>Institutt/enhet 2 - Kunstfag</t>
        </is>
      </c>
      <c r="F22" s="10" t="inlineStr">
        <is>
          <t>I011K1</t>
        </is>
      </c>
      <c r="G22" s="10" t="inlineStr">
        <is>
          <t>Institutt/enhet 2 - Kunstfag - drift</t>
        </is>
      </c>
      <c r="H22" s="10" t="inlineStr">
        <is>
          <t>Drift</t>
        </is>
      </c>
    </row>
    <row r="23">
      <c r="A23" s="10" t="inlineStr">
        <is>
          <t>I011K2</t>
        </is>
      </c>
      <c r="B23" s="10" t="inlineStr">
        <is>
          <t>FAK-KF</t>
        </is>
      </c>
      <c r="C23" s="10" t="inlineStr">
        <is>
          <t>Kunstfag</t>
        </is>
      </c>
      <c r="D23" s="10" t="inlineStr">
        <is>
          <t>I011</t>
        </is>
      </c>
      <c r="E23" s="10" t="inlineStr">
        <is>
          <t>Institutt/enhet 2 - Kunstfag</t>
        </is>
      </c>
      <c r="F23" s="10" t="inlineStr">
        <is>
          <t>I011K2</t>
        </is>
      </c>
      <c r="G23" s="10" t="inlineStr">
        <is>
          <t>Institutt/enhet 2 - Kunstfag - prosjekt</t>
        </is>
      </c>
      <c r="H23" s="10" t="inlineStr">
        <is>
          <t>Prosjekt</t>
        </is>
      </c>
    </row>
    <row r="24">
      <c r="A24" s="10" t="inlineStr">
        <is>
          <t>I012K1</t>
        </is>
      </c>
      <c r="B24" s="10" t="inlineStr">
        <is>
          <t>FAK-KF</t>
        </is>
      </c>
      <c r="C24" s="10" t="inlineStr">
        <is>
          <t>Kunstfag</t>
        </is>
      </c>
      <c r="D24" s="10" t="inlineStr">
        <is>
          <t>I012</t>
        </is>
      </c>
      <c r="E24" s="10" t="inlineStr">
        <is>
          <t>Institutt/enhet 3 - Kunstfag</t>
        </is>
      </c>
      <c r="F24" s="10" t="inlineStr">
        <is>
          <t>I012K1</t>
        </is>
      </c>
      <c r="G24" s="10" t="inlineStr">
        <is>
          <t>Institutt/enhet 3 - Kunstfag - drift</t>
        </is>
      </c>
      <c r="H24" s="10" t="inlineStr">
        <is>
          <t>Drift</t>
        </is>
      </c>
    </row>
    <row r="25">
      <c r="A25" s="10" t="inlineStr">
        <is>
          <t>I012K2</t>
        </is>
      </c>
      <c r="B25" s="10" t="inlineStr">
        <is>
          <t>FAK-KF</t>
        </is>
      </c>
      <c r="C25" s="10" t="inlineStr">
        <is>
          <t>Kunstfag</t>
        </is>
      </c>
      <c r="D25" s="10" t="inlineStr">
        <is>
          <t>I012</t>
        </is>
      </c>
      <c r="E25" s="10" t="inlineStr">
        <is>
          <t>Institutt/enhet 3 - Kunstfag</t>
        </is>
      </c>
      <c r="F25" s="10" t="inlineStr">
        <is>
          <t>I012K2</t>
        </is>
      </c>
      <c r="G25" s="10" t="inlineStr">
        <is>
          <t>Institutt/enhet 3 - Kunstfag - prosjekt</t>
        </is>
      </c>
      <c r="H25" s="10" t="inlineStr">
        <is>
          <t>Prosjekt</t>
        </is>
      </c>
    </row>
    <row r="26">
      <c r="A26" s="10" t="inlineStr">
        <is>
          <t>I013K1</t>
        </is>
      </c>
      <c r="B26" s="10" t="inlineStr">
        <is>
          <t>FAK-SV</t>
        </is>
      </c>
      <c r="C26" s="10" t="inlineStr">
        <is>
          <t>Samfunnsvitenskap</t>
        </is>
      </c>
      <c r="D26" s="10" t="inlineStr">
        <is>
          <t>I013</t>
        </is>
      </c>
      <c r="E26" s="10" t="inlineStr">
        <is>
          <t>Institutt/enhet 1 - Samfunnsvitenskap</t>
        </is>
      </c>
      <c r="F26" s="10" t="inlineStr">
        <is>
          <t>I013K1</t>
        </is>
      </c>
      <c r="G26" s="10" t="inlineStr">
        <is>
          <t>Institutt/enhet 1 - Samfunnsvitenskap - drift</t>
        </is>
      </c>
      <c r="H26" s="10" t="inlineStr">
        <is>
          <t>Drift</t>
        </is>
      </c>
    </row>
    <row r="27">
      <c r="A27" s="10" t="inlineStr">
        <is>
          <t>I013K2</t>
        </is>
      </c>
      <c r="B27" s="10" t="inlineStr">
        <is>
          <t>FAK-SV</t>
        </is>
      </c>
      <c r="C27" s="10" t="inlineStr">
        <is>
          <t>Samfunnsvitenskap</t>
        </is>
      </c>
      <c r="D27" s="10" t="inlineStr">
        <is>
          <t>I013</t>
        </is>
      </c>
      <c r="E27" s="10" t="inlineStr">
        <is>
          <t>Institutt/enhet 1 - Samfunnsvitenskap</t>
        </is>
      </c>
      <c r="F27" s="10" t="inlineStr">
        <is>
          <t>I013K2</t>
        </is>
      </c>
      <c r="G27" s="10" t="inlineStr">
        <is>
          <t>Institutt/enhet 1 - Samfunnsvitenskap - prosjekt</t>
        </is>
      </c>
      <c r="H27" s="10" t="inlineStr">
        <is>
          <t>Prosjekt</t>
        </is>
      </c>
    </row>
    <row r="28">
      <c r="A28" s="10" t="inlineStr">
        <is>
          <t>I014K1</t>
        </is>
      </c>
      <c r="B28" s="10" t="inlineStr">
        <is>
          <t>FAK-SV</t>
        </is>
      </c>
      <c r="C28" s="10" t="inlineStr">
        <is>
          <t>Samfunnsvitenskap</t>
        </is>
      </c>
      <c r="D28" s="10" t="inlineStr">
        <is>
          <t>I014</t>
        </is>
      </c>
      <c r="E28" s="10" t="inlineStr">
        <is>
          <t>Institutt/enhet 2 - Samfunnsvitenskap</t>
        </is>
      </c>
      <c r="F28" s="10" t="inlineStr">
        <is>
          <t>I014K1</t>
        </is>
      </c>
      <c r="G28" s="10" t="inlineStr">
        <is>
          <t>Institutt/enhet 2 - Samfunnsvitenskap - drift</t>
        </is>
      </c>
      <c r="H28" s="10" t="inlineStr">
        <is>
          <t>Drift</t>
        </is>
      </c>
    </row>
    <row r="29">
      <c r="A29" s="10" t="inlineStr">
        <is>
          <t>I014K2</t>
        </is>
      </c>
      <c r="B29" s="10" t="inlineStr">
        <is>
          <t>FAK-SV</t>
        </is>
      </c>
      <c r="C29" s="10" t="inlineStr">
        <is>
          <t>Samfunnsvitenskap</t>
        </is>
      </c>
      <c r="D29" s="10" t="inlineStr">
        <is>
          <t>I014</t>
        </is>
      </c>
      <c r="E29" s="10" t="inlineStr">
        <is>
          <t>Institutt/enhet 2 - Samfunnsvitenskap</t>
        </is>
      </c>
      <c r="F29" s="10" t="inlineStr">
        <is>
          <t>I014K2</t>
        </is>
      </c>
      <c r="G29" s="10" t="inlineStr">
        <is>
          <t>Institutt/enhet 2 - Samfunnsvitenskap - prosjekt</t>
        </is>
      </c>
      <c r="H29" s="10" t="inlineStr">
        <is>
          <t>Prosjekt</t>
        </is>
      </c>
    </row>
    <row r="30">
      <c r="A30" s="10" t="inlineStr">
        <is>
          <t>I015K1</t>
        </is>
      </c>
      <c r="B30" s="10" t="inlineStr">
        <is>
          <t>FAK-SV</t>
        </is>
      </c>
      <c r="C30" s="10" t="inlineStr">
        <is>
          <t>Samfunnsvitenskap</t>
        </is>
      </c>
      <c r="D30" s="10" t="inlineStr">
        <is>
          <t>I015</t>
        </is>
      </c>
      <c r="E30" s="10" t="inlineStr">
        <is>
          <t>Institutt/enhet 3 - Samfunnsvitenskap</t>
        </is>
      </c>
      <c r="F30" s="10" t="inlineStr">
        <is>
          <t>I015K1</t>
        </is>
      </c>
      <c r="G30" s="10" t="inlineStr">
        <is>
          <t>Institutt/enhet 3 - Samfunnsvitenskap - drift</t>
        </is>
      </c>
      <c r="H30" s="10" t="inlineStr">
        <is>
          <t>Drift</t>
        </is>
      </c>
    </row>
    <row r="31">
      <c r="A31" s="10" t="inlineStr">
        <is>
          <t>I015K2</t>
        </is>
      </c>
      <c r="B31" s="10" t="inlineStr">
        <is>
          <t>FAK-SV</t>
        </is>
      </c>
      <c r="C31" s="10" t="inlineStr">
        <is>
          <t>Samfunnsvitenskap</t>
        </is>
      </c>
      <c r="D31" s="10" t="inlineStr">
        <is>
          <t>I015</t>
        </is>
      </c>
      <c r="E31" s="10" t="inlineStr">
        <is>
          <t>Institutt/enhet 3 - Samfunnsvitenskap</t>
        </is>
      </c>
      <c r="F31" s="10" t="inlineStr">
        <is>
          <t>I015K2</t>
        </is>
      </c>
      <c r="G31" s="10" t="inlineStr">
        <is>
          <t>Institutt/enhet 3 - Samfunnsvitenskap - prosjekt</t>
        </is>
      </c>
      <c r="H31" s="10" t="inlineStr">
        <is>
          <t>Prosjekt</t>
        </is>
      </c>
    </row>
    <row r="32">
      <c r="A32" s="10" t="inlineStr">
        <is>
          <t>I016K1</t>
        </is>
      </c>
      <c r="B32" s="10" t="inlineStr">
        <is>
          <t>FAK-TR</t>
        </is>
      </c>
      <c r="C32" s="10" t="inlineStr">
        <is>
          <t>Teknologi og realfag</t>
        </is>
      </c>
      <c r="D32" s="10" t="inlineStr">
        <is>
          <t>I016</t>
        </is>
      </c>
      <c r="E32" s="10" t="inlineStr">
        <is>
          <t>Institutt/enhet 1 - Teknologi og realfag</t>
        </is>
      </c>
      <c r="F32" s="10" t="inlineStr">
        <is>
          <t>I016K1</t>
        </is>
      </c>
      <c r="G32" s="10" t="inlineStr">
        <is>
          <t>Institutt/enhet 1 - Teknologi og realfag - drift</t>
        </is>
      </c>
      <c r="H32" s="10" t="inlineStr">
        <is>
          <t>Drift</t>
        </is>
      </c>
    </row>
    <row r="33">
      <c r="A33" s="10" t="inlineStr">
        <is>
          <t>I016K2</t>
        </is>
      </c>
      <c r="B33" s="10" t="inlineStr">
        <is>
          <t>FAK-TR</t>
        </is>
      </c>
      <c r="C33" s="10" t="inlineStr">
        <is>
          <t>Teknologi og realfag</t>
        </is>
      </c>
      <c r="D33" s="10" t="inlineStr">
        <is>
          <t>I016</t>
        </is>
      </c>
      <c r="E33" s="10" t="inlineStr">
        <is>
          <t>Institutt/enhet 1 - Teknologi og realfag</t>
        </is>
      </c>
      <c r="F33" s="10" t="inlineStr">
        <is>
          <t>I016K2</t>
        </is>
      </c>
      <c r="G33" s="10" t="inlineStr">
        <is>
          <t>Institutt/enhet 1 - Teknologi og realfag - prosjekt</t>
        </is>
      </c>
      <c r="H33" s="10" t="inlineStr">
        <is>
          <t>Prosjekt</t>
        </is>
      </c>
    </row>
    <row r="34">
      <c r="A34" s="10" t="inlineStr">
        <is>
          <t>I017K1</t>
        </is>
      </c>
      <c r="B34" s="10" t="inlineStr">
        <is>
          <t>FAK-TR</t>
        </is>
      </c>
      <c r="C34" s="10" t="inlineStr">
        <is>
          <t>Teknologi og realfag</t>
        </is>
      </c>
      <c r="D34" s="10" t="inlineStr">
        <is>
          <t>I017</t>
        </is>
      </c>
      <c r="E34" s="10" t="inlineStr">
        <is>
          <t>Institutt/enhet 2 - Teknologi og realfag</t>
        </is>
      </c>
      <c r="F34" s="10" t="inlineStr">
        <is>
          <t>I017K1</t>
        </is>
      </c>
      <c r="G34" s="10" t="inlineStr">
        <is>
          <t>Institutt/enhet 2 - Teknologi og realfag - drift</t>
        </is>
      </c>
      <c r="H34" s="10" t="inlineStr">
        <is>
          <t>Drift</t>
        </is>
      </c>
    </row>
    <row r="35">
      <c r="A35" s="10" t="inlineStr">
        <is>
          <t>I017K2</t>
        </is>
      </c>
      <c r="B35" s="10" t="inlineStr">
        <is>
          <t>FAK-TR</t>
        </is>
      </c>
      <c r="C35" s="10" t="inlineStr">
        <is>
          <t>Teknologi og realfag</t>
        </is>
      </c>
      <c r="D35" s="10" t="inlineStr">
        <is>
          <t>I017</t>
        </is>
      </c>
      <c r="E35" s="10" t="inlineStr">
        <is>
          <t>Institutt/enhet 2 - Teknologi og realfag</t>
        </is>
      </c>
      <c r="F35" s="10" t="inlineStr">
        <is>
          <t>I017K2</t>
        </is>
      </c>
      <c r="G35" s="10" t="inlineStr">
        <is>
          <t>Institutt/enhet 2 - Teknologi og realfag - prosjekt</t>
        </is>
      </c>
      <c r="H35" s="10" t="inlineStr">
        <is>
          <t>Prosjekt</t>
        </is>
      </c>
    </row>
    <row r="36">
      <c r="A36" s="10" t="inlineStr">
        <is>
          <t>I018K1</t>
        </is>
      </c>
      <c r="B36" s="10" t="inlineStr">
        <is>
          <t>FAK-TR</t>
        </is>
      </c>
      <c r="C36" s="10" t="inlineStr">
        <is>
          <t>Teknologi og realfag</t>
        </is>
      </c>
      <c r="D36" s="10" t="inlineStr">
        <is>
          <t>I018</t>
        </is>
      </c>
      <c r="E36" s="10" t="inlineStr">
        <is>
          <t>Institutt/enhet 3 - Teknologi og realfag</t>
        </is>
      </c>
      <c r="F36" s="10" t="inlineStr">
        <is>
          <t>I018K1</t>
        </is>
      </c>
      <c r="G36" s="10" t="inlineStr">
        <is>
          <t>Institutt/enhet 3 - Teknologi og realfag - drift</t>
        </is>
      </c>
      <c r="H36" s="10" t="inlineStr">
        <is>
          <t>Drift</t>
        </is>
      </c>
    </row>
    <row r="37">
      <c r="A37" s="10" t="inlineStr">
        <is>
          <t>I018K2</t>
        </is>
      </c>
      <c r="B37" s="10" t="inlineStr">
        <is>
          <t>FAK-TR</t>
        </is>
      </c>
      <c r="C37" s="10" t="inlineStr">
        <is>
          <t>Teknologi og realfag</t>
        </is>
      </c>
      <c r="D37" s="10" t="inlineStr">
        <is>
          <t>I018</t>
        </is>
      </c>
      <c r="E37" s="10" t="inlineStr">
        <is>
          <t>Institutt/enhet 3 - Teknologi og realfag</t>
        </is>
      </c>
      <c r="F37" s="10" t="inlineStr">
        <is>
          <t>I018K2</t>
        </is>
      </c>
      <c r="G37" s="10" t="inlineStr">
        <is>
          <t>Institutt/enhet 3 - Teknologi og realfag - prosjekt</t>
        </is>
      </c>
      <c r="H37" s="10" t="inlineStr">
        <is>
          <t>Prosjekt</t>
        </is>
      </c>
    </row>
    <row r="38">
      <c r="A38" s="10" t="inlineStr">
        <is>
          <t>I019K1</t>
        </is>
      </c>
      <c r="B38" s="10" t="inlineStr">
        <is>
          <t>FEL-ADM</t>
        </is>
      </c>
      <c r="C38" s="10" t="inlineStr">
        <is>
          <t>Fellesadministrasjon</t>
        </is>
      </c>
      <c r="D38" s="10" t="inlineStr">
        <is>
          <t>I019</t>
        </is>
      </c>
      <c r="E38" s="10" t="inlineStr">
        <is>
          <t>Institutt/enhet 1 - Fellesadministrasjon</t>
        </is>
      </c>
      <c r="F38" s="10" t="inlineStr">
        <is>
          <t>I019K1</t>
        </is>
      </c>
      <c r="G38" s="10" t="inlineStr">
        <is>
          <t>Institutt/enhet 1 - Fellesadministrasjon - drift</t>
        </is>
      </c>
      <c r="H38" s="10" t="inlineStr">
        <is>
          <t>Drift</t>
        </is>
      </c>
    </row>
    <row r="39">
      <c r="A39" s="10" t="inlineStr">
        <is>
          <t>I019K2</t>
        </is>
      </c>
      <c r="B39" s="10" t="inlineStr">
        <is>
          <t>FEL-ADM</t>
        </is>
      </c>
      <c r="C39" s="10" t="inlineStr">
        <is>
          <t>Fellesadministrasjon</t>
        </is>
      </c>
      <c r="D39" s="10" t="inlineStr">
        <is>
          <t>I019</t>
        </is>
      </c>
      <c r="E39" s="10" t="inlineStr">
        <is>
          <t>Institutt/enhet 1 - Fellesadministrasjon</t>
        </is>
      </c>
      <c r="F39" s="10" t="inlineStr">
        <is>
          <t>I019K2</t>
        </is>
      </c>
      <c r="G39" s="10" t="inlineStr">
        <is>
          <t>Institutt/enhet 1 - Fellesadministrasjon - prosjekt</t>
        </is>
      </c>
      <c r="H39" s="10" t="inlineStr">
        <is>
          <t>Prosjekt</t>
        </is>
      </c>
    </row>
    <row r="40">
      <c r="A40" s="10" t="inlineStr">
        <is>
          <t>I020K1</t>
        </is>
      </c>
      <c r="B40" s="10" t="inlineStr">
        <is>
          <t>FEL-ADM</t>
        </is>
      </c>
      <c r="C40" s="10" t="inlineStr">
        <is>
          <t>Fellesadministrasjon</t>
        </is>
      </c>
      <c r="D40" s="10" t="inlineStr">
        <is>
          <t>I020</t>
        </is>
      </c>
      <c r="E40" s="10" t="inlineStr">
        <is>
          <t>Institutt/enhet 2 - Fellesadministrasjon</t>
        </is>
      </c>
      <c r="F40" s="10" t="inlineStr">
        <is>
          <t>I020K1</t>
        </is>
      </c>
      <c r="G40" s="10" t="inlineStr">
        <is>
          <t>Institutt/enhet 2 - Fellesadministrasjon - drift</t>
        </is>
      </c>
      <c r="H40" s="10" t="inlineStr">
        <is>
          <t>Drift</t>
        </is>
      </c>
    </row>
    <row r="41">
      <c r="A41" s="10" t="inlineStr">
        <is>
          <t>I020K2</t>
        </is>
      </c>
      <c r="B41" s="10" t="inlineStr">
        <is>
          <t>FEL-ADM</t>
        </is>
      </c>
      <c r="C41" s="10" t="inlineStr">
        <is>
          <t>Fellesadministrasjon</t>
        </is>
      </c>
      <c r="D41" s="10" t="inlineStr">
        <is>
          <t>I020</t>
        </is>
      </c>
      <c r="E41" s="10" t="inlineStr">
        <is>
          <t>Institutt/enhet 2 - Fellesadministrasjon</t>
        </is>
      </c>
      <c r="F41" s="10" t="inlineStr">
        <is>
          <t>I020K2</t>
        </is>
      </c>
      <c r="G41" s="10" t="inlineStr">
        <is>
          <t>Institutt/enhet 2 - Fellesadministrasjon - prosjekt</t>
        </is>
      </c>
      <c r="H41" s="10" t="inlineStr">
        <is>
          <t>Prosjekt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:H1"/>
    </sheetView>
  </sheetViews>
  <sheetFormatPr baseColWidth="8" defaultRowHeight="14.5"/>
  <cols>
    <col width="8.26953125" bestFit="1" customWidth="1" style="6" min="1" max="1"/>
    <col width="17" bestFit="1" customWidth="1" style="6" min="2" max="2"/>
    <col width="37.1796875" bestFit="1" customWidth="1" style="6" min="3" max="3"/>
    <col width="13.7265625" bestFit="1" customWidth="1" style="6" min="4" max="4"/>
    <col width="14.26953125" bestFit="1" customWidth="1" style="6" min="5" max="5"/>
    <col width="12.08984375" bestFit="1" customWidth="1" style="6" min="6" max="6"/>
    <col width="21.54296875" bestFit="1" customWidth="1" style="6" min="7" max="7"/>
    <col width="12" bestFit="1" customWidth="1" style="6" min="8" max="8"/>
  </cols>
  <sheetData>
    <row r="1" customFormat="1" s="17">
      <c r="A1" s="18" t="inlineStr">
        <is>
          <t>Konto</t>
        </is>
      </c>
      <c r="B1" s="18" t="inlineStr">
        <is>
          <t>StandardKonto3</t>
        </is>
      </c>
      <c r="C1" s="18" t="inlineStr">
        <is>
          <t>Kontonavn</t>
        </is>
      </c>
      <c r="D1" s="18" t="inlineStr">
        <is>
          <t>Kontoklasse</t>
        </is>
      </c>
      <c r="E1" s="18" t="inlineStr">
        <is>
          <t>Kontogruppe</t>
        </is>
      </c>
      <c r="F1" s="18" t="inlineStr">
        <is>
          <t>Kontotype</t>
        </is>
      </c>
      <c r="G1" s="18" t="inlineStr">
        <is>
          <t>SRS_regnskapslinje</t>
        </is>
      </c>
      <c r="H1" s="18" t="inlineStr">
        <is>
          <t>AktuellFor</t>
        </is>
      </c>
    </row>
    <row r="2">
      <c r="A2" s="31" t="n">
        <v>3030</v>
      </c>
      <c r="B2" s="31" t="n">
        <v>303</v>
      </c>
      <c r="C2" s="10" t="inlineStr">
        <is>
          <t>Salgsinntekt tjenester, avgiftspliktig</t>
        </is>
      </c>
      <c r="D2" s="10" t="n">
        <v>3</v>
      </c>
      <c r="E2" s="10" t="n">
        <v>30</v>
      </c>
      <c r="F2" s="10" t="inlineStr">
        <is>
          <t>Inntekt</t>
        </is>
      </c>
      <c r="G2" s="10" t="inlineStr">
        <is>
          <t>Salgsinntekt</t>
        </is>
      </c>
      <c r="H2" s="10" t="inlineStr">
        <is>
          <t>SRS/Alle</t>
        </is>
      </c>
    </row>
    <row r="3">
      <c r="A3" s="31" t="n">
        <v>3130</v>
      </c>
      <c r="B3" s="31" t="n">
        <v>313</v>
      </c>
      <c r="C3" s="10" t="inlineStr">
        <is>
          <t>Salgsinntekt tjenester, avgiftsfri</t>
        </is>
      </c>
      <c r="D3" s="10" t="n">
        <v>3</v>
      </c>
      <c r="E3" s="10" t="n">
        <v>31</v>
      </c>
      <c r="F3" s="10" t="inlineStr">
        <is>
          <t>Inntekt</t>
        </is>
      </c>
      <c r="G3" s="10" t="inlineStr">
        <is>
          <t>Salgsinntekt</t>
        </is>
      </c>
      <c r="H3" s="10" t="inlineStr">
        <is>
          <t>SRS/Alle</t>
        </is>
      </c>
    </row>
    <row r="4">
      <c r="A4" s="31" t="n">
        <v>3230</v>
      </c>
      <c r="B4" s="31" t="n">
        <v>323</v>
      </c>
      <c r="C4" s="10" t="inlineStr">
        <is>
          <t>Salgsinntekt tjenester, unntatt avgiftsplikt</t>
        </is>
      </c>
      <c r="D4" s="10" t="n">
        <v>3</v>
      </c>
      <c r="E4" s="10" t="n">
        <v>32</v>
      </c>
      <c r="F4" s="10" t="inlineStr">
        <is>
          <t>Inntekt</t>
        </is>
      </c>
      <c r="G4" s="10" t="inlineStr">
        <is>
          <t>Salgsinntekt</t>
        </is>
      </c>
      <c r="H4" s="10" t="inlineStr">
        <is>
          <t>SRS/Alle</t>
        </is>
      </c>
    </row>
    <row r="5">
      <c r="A5" s="31" t="n">
        <v>3400</v>
      </c>
      <c r="B5" s="31" t="n">
        <v>340</v>
      </c>
      <c r="C5" s="10" t="inlineStr">
        <is>
          <t>Tilskudd fra Norges forskningsråd</t>
        </is>
      </c>
      <c r="D5" s="10" t="n">
        <v>3</v>
      </c>
      <c r="E5" s="10" t="n">
        <v>34</v>
      </c>
      <c r="F5" s="10" t="inlineStr">
        <is>
          <t>Inntekt</t>
        </is>
      </c>
      <c r="G5" s="10" t="inlineStr">
        <is>
          <t>Tilskudd og overforinger</t>
        </is>
      </c>
      <c r="H5" s="10" t="inlineStr">
        <is>
          <t>SRS/Alle</t>
        </is>
      </c>
    </row>
    <row r="6">
      <c r="A6" s="31" t="n">
        <v>3410</v>
      </c>
      <c r="B6" s="31" t="n">
        <v>341</v>
      </c>
      <c r="C6" s="10" t="inlineStr">
        <is>
          <t>Tilskudd fra andre statlige virksomheter</t>
        </is>
      </c>
      <c r="D6" s="10" t="n">
        <v>3</v>
      </c>
      <c r="E6" s="10" t="n">
        <v>34</v>
      </c>
      <c r="F6" s="10" t="inlineStr">
        <is>
          <t>Inntekt</t>
        </is>
      </c>
      <c r="G6" s="10" t="inlineStr">
        <is>
          <t>Tilskudd og overforinger</t>
        </is>
      </c>
      <c r="H6" s="10" t="inlineStr">
        <is>
          <t>SRS/Alle</t>
        </is>
      </c>
    </row>
    <row r="7">
      <c r="A7" s="31" t="n">
        <v>3420</v>
      </c>
      <c r="B7" s="31" t="n">
        <v>342</v>
      </c>
      <c r="C7" s="10" t="inlineStr">
        <is>
          <t>Tilskudd fra EU</t>
        </is>
      </c>
      <c r="D7" s="10" t="n">
        <v>3</v>
      </c>
      <c r="E7" s="10" t="n">
        <v>34</v>
      </c>
      <c r="F7" s="10" t="inlineStr">
        <is>
          <t>Inntekt</t>
        </is>
      </c>
      <c r="G7" s="10" t="inlineStr">
        <is>
          <t>Tilskudd og overforinger</t>
        </is>
      </c>
      <c r="H7" s="10" t="inlineStr">
        <is>
          <t>SRS/Alle</t>
        </is>
      </c>
    </row>
    <row r="8">
      <c r="A8" s="31" t="n">
        <v>3450</v>
      </c>
      <c r="B8" s="31" t="n">
        <v>345</v>
      </c>
      <c r="C8" s="10" t="inlineStr">
        <is>
          <t>Tilskudd fra naeringsliv og private</t>
        </is>
      </c>
      <c r="D8" s="10" t="n">
        <v>3</v>
      </c>
      <c r="E8" s="10" t="n">
        <v>34</v>
      </c>
      <c r="F8" s="10" t="inlineStr">
        <is>
          <t>Inntekt</t>
        </is>
      </c>
      <c r="G8" s="10" t="inlineStr">
        <is>
          <t>Tilskudd og overforinger</t>
        </is>
      </c>
      <c r="H8" s="10" t="inlineStr">
        <is>
          <t>SRS/Alle</t>
        </is>
      </c>
    </row>
    <row r="9">
      <c r="A9" s="31" t="n">
        <v>3490</v>
      </c>
      <c r="B9" s="31" t="n">
        <v>349</v>
      </c>
      <c r="C9" s="10" t="inlineStr">
        <is>
          <t>Andre tilskudd og overforinger</t>
        </is>
      </c>
      <c r="D9" s="10" t="n">
        <v>3</v>
      </c>
      <c r="E9" s="10" t="n">
        <v>34</v>
      </c>
      <c r="F9" s="10" t="inlineStr">
        <is>
          <t>Inntekt</t>
        </is>
      </c>
      <c r="G9" s="10" t="inlineStr">
        <is>
          <t>Tilskudd og overforinger</t>
        </is>
      </c>
      <c r="H9" s="10" t="inlineStr">
        <is>
          <t>SRS/Alle</t>
        </is>
      </c>
    </row>
    <row r="10">
      <c r="A10" s="31" t="n">
        <v>3670</v>
      </c>
      <c r="B10" s="31" t="n">
        <v>367</v>
      </c>
      <c r="C10" s="10" t="inlineStr">
        <is>
          <t>Annen driftsrelatert inntekt</t>
        </is>
      </c>
      <c r="D10" s="10" t="n">
        <v>3</v>
      </c>
      <c r="E10" s="10" t="n">
        <v>36</v>
      </c>
      <c r="F10" s="10" t="inlineStr">
        <is>
          <t>Inntekt</t>
        </is>
      </c>
      <c r="G10" s="10" t="inlineStr">
        <is>
          <t>Andre driftsinntekter</t>
        </is>
      </c>
      <c r="H10" s="10" t="inlineStr">
        <is>
          <t>SRS/Alle</t>
        </is>
      </c>
    </row>
    <row r="11">
      <c r="A11" s="31" t="n">
        <v>3900</v>
      </c>
      <c r="B11" s="31" t="n">
        <v>390</v>
      </c>
      <c r="C11" s="10" t="inlineStr">
        <is>
          <t>Inntekt fra bevilgninger</t>
        </is>
      </c>
      <c r="D11" s="10" t="n">
        <v>3</v>
      </c>
      <c r="E11" s="10" t="n">
        <v>39</v>
      </c>
      <c r="F11" s="10" t="inlineStr">
        <is>
          <t>Inntekt</t>
        </is>
      </c>
      <c r="G11" s="10" t="inlineStr">
        <is>
          <t>Inntekt fra bevilgninger</t>
        </is>
      </c>
      <c r="H11" s="10" t="inlineStr">
        <is>
          <t>SRS/Alle</t>
        </is>
      </c>
    </row>
    <row r="12">
      <c r="A12" s="31" t="n">
        <v>5000</v>
      </c>
      <c r="B12" s="31" t="n">
        <v>500</v>
      </c>
      <c r="C12" s="10" t="inlineStr">
        <is>
          <t>Lonn fast ansatte</t>
        </is>
      </c>
      <c r="D12" s="10" t="n">
        <v>5</v>
      </c>
      <c r="E12" s="10" t="n">
        <v>50</v>
      </c>
      <c r="F12" s="10" t="inlineStr">
        <is>
          <t>Kostnad</t>
        </is>
      </c>
      <c r="G12" s="10" t="inlineStr">
        <is>
          <t>Lonnskostnader</t>
        </is>
      </c>
      <c r="H12" s="10" t="inlineStr">
        <is>
          <t>SRS/Alle</t>
        </is>
      </c>
    </row>
    <row r="13">
      <c r="A13" s="31" t="n">
        <v>5050</v>
      </c>
      <c r="B13" s="31" t="n">
        <v>505</v>
      </c>
      <c r="C13" s="10" t="inlineStr">
        <is>
          <t>Overtid fast ansatte</t>
        </is>
      </c>
      <c r="D13" s="10" t="n">
        <v>5</v>
      </c>
      <c r="E13" s="10" t="n">
        <v>50</v>
      </c>
      <c r="F13" s="10" t="inlineStr">
        <is>
          <t>Kostnad</t>
        </is>
      </c>
      <c r="G13" s="10" t="inlineStr">
        <is>
          <t>Lonnskostnader</t>
        </is>
      </c>
      <c r="H13" s="10" t="inlineStr">
        <is>
          <t>SRS/Alle</t>
        </is>
      </c>
    </row>
    <row r="14">
      <c r="A14" s="31" t="n">
        <v>5100</v>
      </c>
      <c r="B14" s="31" t="n">
        <v>510</v>
      </c>
      <c r="C14" s="10" t="inlineStr">
        <is>
          <t>Lonn midlertidig ansatte</t>
        </is>
      </c>
      <c r="D14" s="10" t="n">
        <v>5</v>
      </c>
      <c r="E14" s="10" t="n">
        <v>51</v>
      </c>
      <c r="F14" s="10" t="inlineStr">
        <is>
          <t>Kostnad</t>
        </is>
      </c>
      <c r="G14" s="10" t="inlineStr">
        <is>
          <t>Lonnskostnader</t>
        </is>
      </c>
      <c r="H14" s="10" t="inlineStr">
        <is>
          <t>SRS/Alle</t>
        </is>
      </c>
    </row>
    <row r="15">
      <c r="A15" s="31" t="n">
        <v>5080</v>
      </c>
      <c r="B15" s="31" t="n">
        <v>508</v>
      </c>
      <c r="C15" s="10" t="inlineStr">
        <is>
          <t>Feriepenger</t>
        </is>
      </c>
      <c r="D15" s="10" t="n">
        <v>5</v>
      </c>
      <c r="E15" s="10" t="n">
        <v>50</v>
      </c>
      <c r="F15" s="10" t="inlineStr">
        <is>
          <t>Kostnad</t>
        </is>
      </c>
      <c r="G15" s="10" t="inlineStr">
        <is>
          <t>Lonnskostnader</t>
        </is>
      </c>
      <c r="H15" s="10" t="inlineStr">
        <is>
          <t>SRS/Alle</t>
        </is>
      </c>
    </row>
    <row r="16">
      <c r="A16" s="31" t="n">
        <v>5400</v>
      </c>
      <c r="B16" s="31" t="n">
        <v>540</v>
      </c>
      <c r="C16" s="10" t="inlineStr">
        <is>
          <t>Arbeidsgiveravgift innberettede ytelser</t>
        </is>
      </c>
      <c r="D16" s="10" t="n">
        <v>5</v>
      </c>
      <c r="E16" s="10" t="n">
        <v>54</v>
      </c>
      <c r="F16" s="10" t="inlineStr">
        <is>
          <t>Kostnad</t>
        </is>
      </c>
      <c r="G16" s="10" t="inlineStr">
        <is>
          <t>Lonnskostnader</t>
        </is>
      </c>
      <c r="H16" s="10" t="inlineStr">
        <is>
          <t>SRS/Alle</t>
        </is>
      </c>
    </row>
    <row r="17">
      <c r="A17" s="31" t="n">
        <v>5420</v>
      </c>
      <c r="B17" s="31" t="n">
        <v>542</v>
      </c>
      <c r="C17" s="10" t="inlineStr">
        <is>
          <t>Pensjonspremie til SPK</t>
        </is>
      </c>
      <c r="D17" s="10" t="n">
        <v>5</v>
      </c>
      <c r="E17" s="10" t="n">
        <v>54</v>
      </c>
      <c r="F17" s="10" t="inlineStr">
        <is>
          <t>Kostnad</t>
        </is>
      </c>
      <c r="G17" s="10" t="inlineStr">
        <is>
          <t>Lonnskostnader</t>
        </is>
      </c>
      <c r="H17" s="10" t="inlineStr">
        <is>
          <t>SRS/Alle</t>
        </is>
      </c>
    </row>
    <row r="18">
      <c r="A18" s="31" t="n">
        <v>5800</v>
      </c>
      <c r="B18" s="31" t="n">
        <v>580</v>
      </c>
      <c r="C18" s="10" t="inlineStr">
        <is>
          <t>Refusjon av sykepenger</t>
        </is>
      </c>
      <c r="D18" s="10" t="n">
        <v>5</v>
      </c>
      <c r="E18" s="10" t="n">
        <v>58</v>
      </c>
      <c r="F18" s="10" t="inlineStr">
        <is>
          <t>Kostnad</t>
        </is>
      </c>
      <c r="G18" s="10" t="inlineStr">
        <is>
          <t>Lonnskostnader</t>
        </is>
      </c>
      <c r="H18" s="10" t="inlineStr">
        <is>
          <t>SRS/Alle</t>
        </is>
      </c>
    </row>
    <row r="19">
      <c r="A19" s="31" t="n">
        <v>5810</v>
      </c>
      <c r="B19" s="31" t="n">
        <v>581</v>
      </c>
      <c r="C19" s="10" t="inlineStr">
        <is>
          <t>Refusjon av foreldrepenger</t>
        </is>
      </c>
      <c r="D19" s="10" t="n">
        <v>5</v>
      </c>
      <c r="E19" s="10" t="n">
        <v>58</v>
      </c>
      <c r="F19" s="10" t="inlineStr">
        <is>
          <t>Kostnad</t>
        </is>
      </c>
      <c r="G19" s="10" t="inlineStr">
        <is>
          <t>Lonnskostnader</t>
        </is>
      </c>
      <c r="H19" s="10" t="inlineStr">
        <is>
          <t>SRS/Alle</t>
        </is>
      </c>
    </row>
    <row r="20">
      <c r="A20" s="31" t="n">
        <v>6000</v>
      </c>
      <c r="B20" s="31" t="n">
        <v>600</v>
      </c>
      <c r="C20" s="10" t="inlineStr">
        <is>
          <t>Avskrivning immaterielle eiendeler</t>
        </is>
      </c>
      <c r="D20" s="10" t="n">
        <v>6</v>
      </c>
      <c r="E20" s="10" t="n">
        <v>60</v>
      </c>
      <c r="F20" s="10" t="inlineStr">
        <is>
          <t>Kostnad</t>
        </is>
      </c>
      <c r="G20" s="10" t="inlineStr">
        <is>
          <t>Av- og nedskrivninger</t>
        </is>
      </c>
      <c r="H20" s="10" t="inlineStr">
        <is>
          <t>SRS/Alle</t>
        </is>
      </c>
    </row>
    <row r="21">
      <c r="A21" s="31" t="n">
        <v>6050</v>
      </c>
      <c r="B21" s="31" t="n">
        <v>605</v>
      </c>
      <c r="C21" s="10" t="inlineStr">
        <is>
          <t>Avskrivning driftslosore/inventar/IKT</t>
        </is>
      </c>
      <c r="D21" s="10" t="n">
        <v>6</v>
      </c>
      <c r="E21" s="10" t="n">
        <v>60</v>
      </c>
      <c r="F21" s="10" t="inlineStr">
        <is>
          <t>Kostnad</t>
        </is>
      </c>
      <c r="G21" s="10" t="inlineStr">
        <is>
          <t>Av- og nedskrivninger</t>
        </is>
      </c>
      <c r="H21" s="10" t="inlineStr">
        <is>
          <t>SRS/Alle</t>
        </is>
      </c>
    </row>
    <row r="22">
      <c r="A22" s="31" t="n">
        <v>6300</v>
      </c>
      <c r="B22" s="31" t="n">
        <v>630</v>
      </c>
      <c r="C22" s="10" t="inlineStr">
        <is>
          <t>Leie lokaler</t>
        </is>
      </c>
      <c r="D22" s="10" t="n">
        <v>6</v>
      </c>
      <c r="E22" s="10" t="n">
        <v>63</v>
      </c>
      <c r="F22" s="10" t="inlineStr">
        <is>
          <t>Kostnad</t>
        </is>
      </c>
      <c r="G22" s="10" t="inlineStr">
        <is>
          <t>Andre driftskostnader</t>
        </is>
      </c>
      <c r="H22" s="10" t="inlineStr">
        <is>
          <t>SRS/Alle</t>
        </is>
      </c>
    </row>
    <row r="23">
      <c r="A23" s="31" t="n">
        <v>6310</v>
      </c>
      <c r="B23" s="31" t="n">
        <v>631</v>
      </c>
      <c r="C23" s="10" t="inlineStr">
        <is>
          <t>Leie lokaler fra Statsbygg</t>
        </is>
      </c>
      <c r="D23" s="10" t="n">
        <v>6</v>
      </c>
      <c r="E23" s="10" t="n">
        <v>63</v>
      </c>
      <c r="F23" s="10" t="inlineStr">
        <is>
          <t>Kostnad</t>
        </is>
      </c>
      <c r="G23" s="10" t="inlineStr">
        <is>
          <t>Andre driftskostnader</t>
        </is>
      </c>
      <c r="H23" s="10" t="inlineStr">
        <is>
          <t>SRS/Alle</t>
        </is>
      </c>
    </row>
    <row r="24">
      <c r="A24" s="31" t="n">
        <v>6340</v>
      </c>
      <c r="B24" s="31" t="n">
        <v>634</v>
      </c>
      <c r="C24" s="10" t="inlineStr">
        <is>
          <t>Lys, varme</t>
        </is>
      </c>
      <c r="D24" s="10" t="n">
        <v>6</v>
      </c>
      <c r="E24" s="10" t="n">
        <v>63</v>
      </c>
      <c r="F24" s="10" t="inlineStr">
        <is>
          <t>Kostnad</t>
        </is>
      </c>
      <c r="G24" s="10" t="inlineStr">
        <is>
          <t>Andre driftskostnader</t>
        </is>
      </c>
      <c r="H24" s="10" t="inlineStr">
        <is>
          <t>SRS/Alle</t>
        </is>
      </c>
    </row>
    <row r="25">
      <c r="A25" s="31" t="n">
        <v>6360</v>
      </c>
      <c r="B25" s="31" t="n">
        <v>636</v>
      </c>
      <c r="C25" s="10" t="inlineStr">
        <is>
          <t>Renhold, vakthold, vaktmester</t>
        </is>
      </c>
      <c r="D25" s="10" t="n">
        <v>6</v>
      </c>
      <c r="E25" s="10" t="n">
        <v>63</v>
      </c>
      <c r="F25" s="10" t="inlineStr">
        <is>
          <t>Kostnad</t>
        </is>
      </c>
      <c r="G25" s="10" t="inlineStr">
        <is>
          <t>Andre driftskostnader</t>
        </is>
      </c>
      <c r="H25" s="10" t="inlineStr">
        <is>
          <t>SRS/Alle</t>
        </is>
      </c>
    </row>
    <row r="26">
      <c r="A26" s="31" t="n">
        <v>6420</v>
      </c>
      <c r="B26" s="31" t="n">
        <v>642</v>
      </c>
      <c r="C26" s="10" t="inlineStr">
        <is>
          <t>Leie av datasystemer</t>
        </is>
      </c>
      <c r="D26" s="10" t="n">
        <v>6</v>
      </c>
      <c r="E26" s="10" t="n">
        <v>64</v>
      </c>
      <c r="F26" s="10" t="inlineStr">
        <is>
          <t>Kostnad</t>
        </is>
      </c>
      <c r="G26" s="10" t="inlineStr">
        <is>
          <t>Andre driftskostnader</t>
        </is>
      </c>
      <c r="H26" s="10" t="inlineStr">
        <is>
          <t>SRS/Alle</t>
        </is>
      </c>
    </row>
    <row r="27">
      <c r="A27" s="31" t="n">
        <v>6540</v>
      </c>
      <c r="B27" s="31" t="n">
        <v>654</v>
      </c>
      <c r="C27" s="10" t="inlineStr">
        <is>
          <t>Inventar</t>
        </is>
      </c>
      <c r="D27" s="10" t="n">
        <v>6</v>
      </c>
      <c r="E27" s="10" t="n">
        <v>65</v>
      </c>
      <c r="F27" s="10" t="inlineStr">
        <is>
          <t>Kostnad</t>
        </is>
      </c>
      <c r="G27" s="10" t="inlineStr">
        <is>
          <t>Andre driftskostnader</t>
        </is>
      </c>
      <c r="H27" s="10" t="inlineStr">
        <is>
          <t>SRS/Alle</t>
        </is>
      </c>
    </row>
    <row r="28">
      <c r="A28" s="31" t="n">
        <v>6550</v>
      </c>
      <c r="B28" s="31" t="n">
        <v>655</v>
      </c>
      <c r="C28" s="10" t="inlineStr">
        <is>
          <t>Datamaskiner og annet IKT-utstyr</t>
        </is>
      </c>
      <c r="D28" s="10" t="n">
        <v>6</v>
      </c>
      <c r="E28" s="10" t="n">
        <v>65</v>
      </c>
      <c r="F28" s="10" t="inlineStr">
        <is>
          <t>Kostnad</t>
        </is>
      </c>
      <c r="G28" s="10" t="inlineStr">
        <is>
          <t>Andre driftskostnader</t>
        </is>
      </c>
      <c r="H28" s="10" t="inlineStr">
        <is>
          <t>SRS/Alle</t>
        </is>
      </c>
    </row>
    <row r="29">
      <c r="A29" s="31" t="n">
        <v>6630</v>
      </c>
      <c r="B29" s="31" t="n">
        <v>663</v>
      </c>
      <c r="C29" s="10" t="inlineStr">
        <is>
          <t>Reparasjon og vedlikehold leide lokaler</t>
        </is>
      </c>
      <c r="D29" s="10" t="n">
        <v>6</v>
      </c>
      <c r="E29" s="10" t="n">
        <v>66</v>
      </c>
      <c r="F29" s="10" t="inlineStr">
        <is>
          <t>Kostnad</t>
        </is>
      </c>
      <c r="G29" s="10" t="inlineStr">
        <is>
          <t>Andre driftskostnader</t>
        </is>
      </c>
      <c r="H29" s="10" t="inlineStr">
        <is>
          <t>SRS/Alle</t>
        </is>
      </c>
    </row>
    <row r="30">
      <c r="A30" s="31" t="n">
        <v>6700</v>
      </c>
      <c r="B30" s="31" t="n">
        <v>670</v>
      </c>
      <c r="C30" s="10" t="inlineStr">
        <is>
          <t>Konsulenttjenester okonomi/revisjon/juss</t>
        </is>
      </c>
      <c r="D30" s="10" t="n">
        <v>6</v>
      </c>
      <c r="E30" s="10" t="n">
        <v>67</v>
      </c>
      <c r="F30" s="10" t="inlineStr">
        <is>
          <t>Kostnad</t>
        </is>
      </c>
      <c r="G30" s="10" t="inlineStr">
        <is>
          <t>Andre driftskostnader</t>
        </is>
      </c>
      <c r="H30" s="10" t="inlineStr">
        <is>
          <t>SRS/Alle</t>
        </is>
      </c>
    </row>
    <row r="31">
      <c r="A31" s="31" t="n">
        <v>6710</v>
      </c>
      <c r="B31" s="31" t="n">
        <v>671</v>
      </c>
      <c r="C31" s="10" t="inlineStr">
        <is>
          <t>Konsulenttjenester programvare/IKT</t>
        </is>
      </c>
      <c r="D31" s="10" t="n">
        <v>6</v>
      </c>
      <c r="E31" s="10" t="n">
        <v>67</v>
      </c>
      <c r="F31" s="10" t="inlineStr">
        <is>
          <t>Kostnad</t>
        </is>
      </c>
      <c r="G31" s="10" t="inlineStr">
        <is>
          <t>Andre driftskostnader</t>
        </is>
      </c>
      <c r="H31" s="10" t="inlineStr">
        <is>
          <t>SRS/Alle</t>
        </is>
      </c>
    </row>
    <row r="32">
      <c r="A32" s="31" t="n">
        <v>6720</v>
      </c>
      <c r="B32" s="31" t="n">
        <v>672</v>
      </c>
      <c r="C32" s="10" t="inlineStr">
        <is>
          <t>Konsulenttjenester organisasjonsutvikling</t>
        </is>
      </c>
      <c r="D32" s="10" t="n">
        <v>6</v>
      </c>
      <c r="E32" s="10" t="n">
        <v>67</v>
      </c>
      <c r="F32" s="10" t="inlineStr">
        <is>
          <t>Kostnad</t>
        </is>
      </c>
      <c r="G32" s="10" t="inlineStr">
        <is>
          <t>Andre driftskostnader</t>
        </is>
      </c>
      <c r="H32" s="10" t="inlineStr">
        <is>
          <t>SRS/Alle</t>
        </is>
      </c>
    </row>
    <row r="33">
      <c r="A33" s="31" t="n">
        <v>6730</v>
      </c>
      <c r="B33" s="31" t="n">
        <v>673</v>
      </c>
      <c r="C33" s="10" t="inlineStr">
        <is>
          <t>Andre konsulenttjenester</t>
        </is>
      </c>
      <c r="D33" s="10" t="n">
        <v>6</v>
      </c>
      <c r="E33" s="10" t="n">
        <v>67</v>
      </c>
      <c r="F33" s="10" t="inlineStr">
        <is>
          <t>Kostnad</t>
        </is>
      </c>
      <c r="G33" s="10" t="inlineStr">
        <is>
          <t>Andre driftskostnader</t>
        </is>
      </c>
      <c r="H33" s="10" t="inlineStr">
        <is>
          <t>SRS/Alle</t>
        </is>
      </c>
    </row>
    <row r="34">
      <c r="A34" s="31" t="n">
        <v>6740</v>
      </c>
      <c r="B34" s="31" t="n">
        <v>674</v>
      </c>
      <c r="C34" s="10" t="inlineStr">
        <is>
          <t>Innleie av vikarer</t>
        </is>
      </c>
      <c r="D34" s="10" t="n">
        <v>6</v>
      </c>
      <c r="E34" s="10" t="n">
        <v>67</v>
      </c>
      <c r="F34" s="10" t="inlineStr">
        <is>
          <t>Kostnad</t>
        </is>
      </c>
      <c r="G34" s="10" t="inlineStr">
        <is>
          <t>Andre driftskostnader</t>
        </is>
      </c>
      <c r="H34" s="10" t="inlineStr">
        <is>
          <t>SRS/Alle</t>
        </is>
      </c>
    </row>
    <row r="35">
      <c r="A35" s="31" t="n">
        <v>6750</v>
      </c>
      <c r="B35" s="31" t="n">
        <v>675</v>
      </c>
      <c r="C35" s="10" t="inlineStr">
        <is>
          <t>Tjenester til lopende IKT-drift</t>
        </is>
      </c>
      <c r="D35" s="10" t="n">
        <v>6</v>
      </c>
      <c r="E35" s="10" t="n">
        <v>67</v>
      </c>
      <c r="F35" s="10" t="inlineStr">
        <is>
          <t>Kostnad</t>
        </is>
      </c>
      <c r="G35" s="10" t="inlineStr">
        <is>
          <t>Andre driftskostnader</t>
        </is>
      </c>
      <c r="H35" s="10" t="inlineStr">
        <is>
          <t>SRS/Alle</t>
        </is>
      </c>
    </row>
    <row r="36">
      <c r="A36" s="31" t="n">
        <v>6800</v>
      </c>
      <c r="B36" s="31" t="n">
        <v>680</v>
      </c>
      <c r="C36" s="10" t="inlineStr">
        <is>
          <t>Kontorrekvisita</t>
        </is>
      </c>
      <c r="D36" s="10" t="n">
        <v>6</v>
      </c>
      <c r="E36" s="10" t="n">
        <v>68</v>
      </c>
      <c r="F36" s="10" t="inlineStr">
        <is>
          <t>Kostnad</t>
        </is>
      </c>
      <c r="G36" s="10" t="inlineStr">
        <is>
          <t>Andre driftskostnader</t>
        </is>
      </c>
      <c r="H36" s="10" t="inlineStr">
        <is>
          <t>SRS/Alle</t>
        </is>
      </c>
    </row>
    <row r="37">
      <c r="A37" s="31" t="n">
        <v>6840</v>
      </c>
      <c r="B37" s="31" t="n">
        <v>684</v>
      </c>
      <c r="C37" s="10" t="inlineStr">
        <is>
          <t>Aviser, tidsskrifter, boker</t>
        </is>
      </c>
      <c r="D37" s="10" t="n">
        <v>6</v>
      </c>
      <c r="E37" s="10" t="n">
        <v>68</v>
      </c>
      <c r="F37" s="10" t="inlineStr">
        <is>
          <t>Kostnad</t>
        </is>
      </c>
      <c r="G37" s="10" t="inlineStr">
        <is>
          <t>Andre driftskostnader</t>
        </is>
      </c>
      <c r="H37" s="10" t="inlineStr">
        <is>
          <t>SRS/Alle</t>
        </is>
      </c>
    </row>
    <row r="38">
      <c r="A38" s="31" t="n">
        <v>6860</v>
      </c>
      <c r="B38" s="31" t="n">
        <v>686</v>
      </c>
      <c r="C38" s="10" t="inlineStr">
        <is>
          <t>Moter</t>
        </is>
      </c>
      <c r="D38" s="10" t="n">
        <v>6</v>
      </c>
      <c r="E38" s="10" t="n">
        <v>68</v>
      </c>
      <c r="F38" s="10" t="inlineStr">
        <is>
          <t>Kostnad</t>
        </is>
      </c>
      <c r="G38" s="10" t="inlineStr">
        <is>
          <t>Andre driftskostnader</t>
        </is>
      </c>
      <c r="H38" s="10" t="inlineStr">
        <is>
          <t>SRS/Alle</t>
        </is>
      </c>
    </row>
    <row r="39">
      <c r="A39" s="31" t="n">
        <v>6870</v>
      </c>
      <c r="B39" s="31" t="n">
        <v>687</v>
      </c>
      <c r="C39" s="10" t="inlineStr">
        <is>
          <t>Kurs og seminarer egne ansatte</t>
        </is>
      </c>
      <c r="D39" s="10" t="n">
        <v>6</v>
      </c>
      <c r="E39" s="10" t="n">
        <v>68</v>
      </c>
      <c r="F39" s="10" t="inlineStr">
        <is>
          <t>Kostnad</t>
        </is>
      </c>
      <c r="G39" s="10" t="inlineStr">
        <is>
          <t>Andre driftskostnader</t>
        </is>
      </c>
      <c r="H39" s="10" t="inlineStr">
        <is>
          <t>SRS/Alle</t>
        </is>
      </c>
    </row>
    <row r="40">
      <c r="A40" s="31" t="n">
        <v>6900</v>
      </c>
      <c r="B40" s="31" t="n">
        <v>690</v>
      </c>
      <c r="C40" s="10" t="inlineStr">
        <is>
          <t>Telefoni og datakommunikasjon</t>
        </is>
      </c>
      <c r="D40" s="10" t="n">
        <v>6</v>
      </c>
      <c r="E40" s="10" t="n">
        <v>69</v>
      </c>
      <c r="F40" s="10" t="inlineStr">
        <is>
          <t>Kostnad</t>
        </is>
      </c>
      <c r="G40" s="10" t="inlineStr">
        <is>
          <t>Andre driftskostnader</t>
        </is>
      </c>
      <c r="H40" s="10" t="inlineStr">
        <is>
          <t>SRS/Alle</t>
        </is>
      </c>
    </row>
    <row r="41">
      <c r="A41" s="31" t="n">
        <v>7100</v>
      </c>
      <c r="B41" s="31" t="n">
        <v>710</v>
      </c>
      <c r="C41" s="10" t="inlineStr">
        <is>
          <t>Bilgodtgjorelse</t>
        </is>
      </c>
      <c r="D41" s="10" t="n">
        <v>7</v>
      </c>
      <c r="E41" s="10" t="n">
        <v>71</v>
      </c>
      <c r="F41" s="10" t="inlineStr">
        <is>
          <t>Kostnad</t>
        </is>
      </c>
      <c r="G41" s="10" t="inlineStr">
        <is>
          <t>Andre driftskostnader</t>
        </is>
      </c>
      <c r="H41" s="10" t="inlineStr">
        <is>
          <t>SRS/Alle</t>
        </is>
      </c>
    </row>
    <row r="42">
      <c r="A42" s="31" t="n">
        <v>7130</v>
      </c>
      <c r="B42" s="31" t="n">
        <v>713</v>
      </c>
      <c r="C42" s="10" t="inlineStr">
        <is>
          <t>Reisekostnad</t>
        </is>
      </c>
      <c r="D42" s="10" t="n">
        <v>7</v>
      </c>
      <c r="E42" s="10" t="n">
        <v>71</v>
      </c>
      <c r="F42" s="10" t="inlineStr">
        <is>
          <t>Kostnad</t>
        </is>
      </c>
      <c r="G42" s="10" t="inlineStr">
        <is>
          <t>Andre driftskostnader</t>
        </is>
      </c>
      <c r="H42" s="10" t="inlineStr">
        <is>
          <t>SRS/Alle</t>
        </is>
      </c>
    </row>
    <row r="43">
      <c r="A43" s="31" t="n">
        <v>7150</v>
      </c>
      <c r="B43" s="31" t="n">
        <v>715</v>
      </c>
      <c r="C43" s="10" t="inlineStr">
        <is>
          <t>Diettkostnad</t>
        </is>
      </c>
      <c r="D43" s="10" t="n">
        <v>7</v>
      </c>
      <c r="E43" s="10" t="n">
        <v>71</v>
      </c>
      <c r="F43" s="10" t="inlineStr">
        <is>
          <t>Kostnad</t>
        </is>
      </c>
      <c r="G43" s="10" t="inlineStr">
        <is>
          <t>Andre driftskostnader</t>
        </is>
      </c>
      <c r="H43" s="10" t="inlineStr">
        <is>
          <t>SRS/Alle</t>
        </is>
      </c>
    </row>
    <row r="44">
      <c r="A44" s="31" t="n">
        <v>7320</v>
      </c>
      <c r="B44" s="31" t="n">
        <v>732</v>
      </c>
      <c r="C44" s="10" t="inlineStr">
        <is>
          <t>Reklame og markedsforing</t>
        </is>
      </c>
      <c r="D44" s="10" t="n">
        <v>7</v>
      </c>
      <c r="E44" s="10" t="n">
        <v>73</v>
      </c>
      <c r="F44" s="10" t="inlineStr">
        <is>
          <t>Kostnad</t>
        </is>
      </c>
      <c r="G44" s="10" t="inlineStr">
        <is>
          <t>Andre driftskostnader</t>
        </is>
      </c>
      <c r="H44" s="10" t="inlineStr">
        <is>
          <t>SRS/Alle</t>
        </is>
      </c>
    </row>
    <row r="45">
      <c r="A45" s="31" t="n">
        <v>7400</v>
      </c>
      <c r="B45" s="31" t="n">
        <v>740</v>
      </c>
      <c r="C45" s="10" t="inlineStr">
        <is>
          <t>Kontingent</t>
        </is>
      </c>
      <c r="D45" s="10" t="n">
        <v>7</v>
      </c>
      <c r="E45" s="10" t="n">
        <v>74</v>
      </c>
      <c r="F45" s="10" t="inlineStr">
        <is>
          <t>Kostnad</t>
        </is>
      </c>
      <c r="G45" s="10" t="inlineStr">
        <is>
          <t>Andre driftskostnader</t>
        </is>
      </c>
      <c r="H45" s="10" t="inlineStr">
        <is>
          <t>SRS/Alle</t>
        </is>
      </c>
    </row>
    <row r="46">
      <c r="A46" s="31" t="n">
        <v>7600</v>
      </c>
      <c r="B46" s="31" t="n">
        <v>760</v>
      </c>
      <c r="C46" s="10" t="inlineStr">
        <is>
          <t>Lisensavgift og royalties</t>
        </is>
      </c>
      <c r="D46" s="10" t="n">
        <v>7</v>
      </c>
      <c r="E46" s="10" t="n">
        <v>76</v>
      </c>
      <c r="F46" s="10" t="inlineStr">
        <is>
          <t>Kostnad</t>
        </is>
      </c>
      <c r="G46" s="10" t="inlineStr">
        <is>
          <t>Andre driftskostnader</t>
        </is>
      </c>
      <c r="H46" s="10" t="inlineStr">
        <is>
          <t>SRS/Alle</t>
        </is>
      </c>
    </row>
    <row r="47">
      <c r="A47" s="31" t="n">
        <v>7790</v>
      </c>
      <c r="B47" s="31" t="n">
        <v>779</v>
      </c>
      <c r="C47" s="10" t="inlineStr">
        <is>
          <t>Annen kostnad</t>
        </is>
      </c>
      <c r="D47" s="10" t="n">
        <v>7</v>
      </c>
      <c r="E47" s="10" t="n">
        <v>77</v>
      </c>
      <c r="F47" s="10" t="inlineStr">
        <is>
          <t>Kostnad</t>
        </is>
      </c>
      <c r="G47" s="10" t="inlineStr">
        <is>
          <t>Andre driftskostnader</t>
        </is>
      </c>
      <c r="H47" s="10" t="inlineStr">
        <is>
          <t>SRS/Alle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:H1"/>
    </sheetView>
  </sheetViews>
  <sheetFormatPr baseColWidth="8" defaultRowHeight="14.5"/>
  <cols>
    <col width="10.36328125" bestFit="1" customWidth="1" style="6" min="1" max="1"/>
    <col width="22.36328125" bestFit="1" customWidth="1" style="6" min="2" max="2"/>
    <col width="18.81640625" bestFit="1" customWidth="1" style="6" min="3" max="3"/>
    <col width="19.1796875" bestFit="1" customWidth="1" style="6" min="4" max="4"/>
    <col width="17.453125" bestFit="1" customWidth="1" style="6" min="5" max="5"/>
  </cols>
  <sheetData>
    <row r="1" customFormat="1" s="17">
      <c r="A1" s="18" t="inlineStr">
        <is>
          <t>Prosjekt</t>
        </is>
      </c>
      <c r="B1" s="18" t="inlineStr">
        <is>
          <t>Prosjektnavn</t>
        </is>
      </c>
      <c r="C1" s="18" t="inlineStr">
        <is>
          <t>Finansieringstype</t>
        </is>
      </c>
      <c r="D1" s="18" t="inlineStr">
        <is>
          <t>Finansieringskilde</t>
        </is>
      </c>
      <c r="E1" s="18" t="inlineStr">
        <is>
          <t>Prosjektkategori</t>
        </is>
      </c>
    </row>
    <row r="2">
      <c r="A2" s="10" t="inlineStr">
        <is>
          <t>DRIFT</t>
        </is>
      </c>
      <c r="B2" s="10" t="inlineStr">
        <is>
          <t>Ordinær drift</t>
        </is>
      </c>
      <c r="C2" s="10" t="inlineStr">
        <is>
          <t>Bevilgning</t>
        </is>
      </c>
      <c r="D2" s="10" t="inlineStr">
        <is>
          <t>KD</t>
        </is>
      </c>
      <c r="E2" s="10" t="inlineStr">
        <is>
          <t>Drift</t>
        </is>
      </c>
    </row>
    <row r="3">
      <c r="A3" s="10" t="inlineStr">
        <is>
          <t>NFR001</t>
        </is>
      </c>
      <c r="B3" s="10" t="inlineStr">
        <is>
          <t>NFR forskningsprosjekt A</t>
        </is>
      </c>
      <c r="C3" s="10" t="inlineStr">
        <is>
          <t>Bidrag</t>
        </is>
      </c>
      <c r="D3" s="10" t="inlineStr">
        <is>
          <t>NFR</t>
        </is>
      </c>
      <c r="E3" s="10" t="inlineStr">
        <is>
          <t>Forskning</t>
        </is>
      </c>
    </row>
    <row r="4">
      <c r="A4" s="10" t="inlineStr">
        <is>
          <t>NFR002</t>
        </is>
      </c>
      <c r="B4" s="10" t="inlineStr">
        <is>
          <t>NFR forskningsprosjekt B</t>
        </is>
      </c>
      <c r="C4" s="10" t="inlineStr">
        <is>
          <t>Bidrag</t>
        </is>
      </c>
      <c r="D4" s="10" t="inlineStr">
        <is>
          <t>NFR</t>
        </is>
      </c>
      <c r="E4" s="10" t="inlineStr">
        <is>
          <t>Forskning</t>
        </is>
      </c>
    </row>
    <row r="5">
      <c r="A5" s="10" t="inlineStr">
        <is>
          <t>EU001</t>
        </is>
      </c>
      <c r="B5" s="10" t="inlineStr">
        <is>
          <t>Horisont Europa prosjekt</t>
        </is>
      </c>
      <c r="C5" s="10" t="inlineStr">
        <is>
          <t>Bidrag</t>
        </is>
      </c>
      <c r="D5" s="10" t="inlineStr">
        <is>
          <t>EU</t>
        </is>
      </c>
      <c r="E5" s="10" t="inlineStr">
        <is>
          <t>Forskning</t>
        </is>
      </c>
    </row>
    <row r="6">
      <c r="A6" s="10" t="inlineStr">
        <is>
          <t>EVU001</t>
        </is>
      </c>
      <c r="B6" s="10" t="inlineStr">
        <is>
          <t>Etter- og videreutdanning</t>
        </is>
      </c>
      <c r="C6" s="10" t="inlineStr">
        <is>
          <t>Oppdrag</t>
        </is>
      </c>
      <c r="D6" s="10" t="inlineStr">
        <is>
          <t>Ekstern</t>
        </is>
      </c>
      <c r="E6" s="10" t="inlineStr">
        <is>
          <t>Utdanning</t>
        </is>
      </c>
    </row>
    <row r="7">
      <c r="A7" s="10" t="inlineStr">
        <is>
          <t>INV001</t>
        </is>
      </c>
      <c r="B7" s="10" t="inlineStr">
        <is>
          <t>Campus/utstyr</t>
        </is>
      </c>
      <c r="C7" s="10" t="inlineStr">
        <is>
          <t>Bevilgning</t>
        </is>
      </c>
      <c r="D7" s="10" t="inlineStr">
        <is>
          <t>KD</t>
        </is>
      </c>
      <c r="E7" s="10" t="inlineStr">
        <is>
          <t>Investering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:H1"/>
    </sheetView>
  </sheetViews>
  <sheetFormatPr baseColWidth="8" defaultRowHeight="14.5"/>
  <cols>
    <col width="9.81640625" bestFit="1" customWidth="1" style="6" min="1" max="1"/>
    <col width="24.90625" bestFit="1" customWidth="1" style="6" min="2" max="2"/>
    <col width="11.1796875" bestFit="1" customWidth="1" style="6" min="3" max="3"/>
  </cols>
  <sheetData>
    <row r="1" customFormat="1" s="17">
      <c r="A1" s="18" t="inlineStr">
        <is>
          <t>Versjon</t>
        </is>
      </c>
      <c r="B1" s="18" t="inlineStr">
        <is>
          <t>Versjonsnavn</t>
        </is>
      </c>
      <c r="C1" s="18" t="inlineStr">
        <is>
          <t>Sortering</t>
        </is>
      </c>
    </row>
    <row r="2">
      <c r="A2" s="10" t="inlineStr">
        <is>
          <t>FC1_2026</t>
        </is>
      </c>
      <c r="B2" s="10" t="inlineStr">
        <is>
          <t>Forecast 1 etter april</t>
        </is>
      </c>
      <c r="C2" s="31" t="n">
        <v>1</v>
      </c>
    </row>
    <row r="3">
      <c r="A3" s="10" t="inlineStr">
        <is>
          <t>FC2_2026</t>
        </is>
      </c>
      <c r="B3" s="10" t="inlineStr">
        <is>
          <t>Forecast 2 etter august</t>
        </is>
      </c>
      <c r="C3" s="31" t="n">
        <v>2</v>
      </c>
    </row>
    <row r="4">
      <c r="A4" s="10" t="inlineStr">
        <is>
          <t>LE_2026</t>
        </is>
      </c>
      <c r="B4" s="10" t="inlineStr">
        <is>
          <t>Latest Estimate etter oktober</t>
        </is>
      </c>
      <c r="C4" s="31" t="n">
        <v>3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H1"/>
    </sheetView>
  </sheetViews>
  <sheetFormatPr baseColWidth="8" defaultRowHeight="14.5"/>
  <cols>
    <col width="16.36328125" bestFit="1" customWidth="1" style="6" min="1" max="1"/>
    <col width="27.36328125" bestFit="1" customWidth="1" style="6" min="2" max="2"/>
    <col width="19.453125" bestFit="1" customWidth="1" style="6" min="3" max="3"/>
  </cols>
  <sheetData>
    <row r="1" customFormat="1" s="17">
      <c r="A1" s="18" t="inlineStr">
        <is>
          <t>Stillingsgruppe</t>
        </is>
      </c>
      <c r="B1" s="18" t="inlineStr">
        <is>
          <t>Stillingsgruppenavn</t>
        </is>
      </c>
      <c r="C1" s="18" t="inlineStr">
        <is>
          <t>Stillingskategori</t>
        </is>
      </c>
    </row>
    <row r="2">
      <c r="A2" s="10" t="inlineStr">
        <is>
          <t>PROF</t>
        </is>
      </c>
      <c r="B2" s="10" t="inlineStr">
        <is>
          <t>Professor/dosent</t>
        </is>
      </c>
      <c r="C2" s="10" t="inlineStr">
        <is>
          <t>Vitenskapelig</t>
        </is>
      </c>
    </row>
    <row r="3">
      <c r="A3" s="10" t="inlineStr">
        <is>
          <t>FORST</t>
        </is>
      </c>
      <c r="B3" s="10" t="inlineStr">
        <is>
          <t>Forsteamanuensis/forstelektor</t>
        </is>
      </c>
      <c r="C3" s="10" t="inlineStr">
        <is>
          <t>Vitenskapelig</t>
        </is>
      </c>
    </row>
    <row r="4">
      <c r="A4" s="10" t="inlineStr">
        <is>
          <t>REKR</t>
        </is>
      </c>
      <c r="B4" s="10" t="inlineStr">
        <is>
          <t>Stipendiat/postdoktor</t>
        </is>
      </c>
      <c r="C4" s="10" t="inlineStr">
        <is>
          <t>Rekruttering</t>
        </is>
      </c>
    </row>
    <row r="5">
      <c r="A5" s="10" t="inlineStr">
        <is>
          <t>ADM</t>
        </is>
      </c>
      <c r="B5" s="10" t="inlineStr">
        <is>
          <t>Administrativ</t>
        </is>
      </c>
      <c r="C5" s="10" t="inlineStr">
        <is>
          <t>Teknisk-administrativ</t>
        </is>
      </c>
    </row>
    <row r="6">
      <c r="A6" s="10" t="inlineStr">
        <is>
          <t>TEK</t>
        </is>
      </c>
      <c r="B6" s="10" t="inlineStr">
        <is>
          <t>Teknisk</t>
        </is>
      </c>
      <c r="C6" s="10" t="inlineStr">
        <is>
          <t>Teknisk-administrativ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:H1"/>
    </sheetView>
  </sheetViews>
  <sheetFormatPr baseColWidth="8" defaultRowHeight="14.5"/>
  <cols>
    <col width="16.08984375" bestFit="1" customWidth="1" style="6" min="1" max="1"/>
    <col width="54.26953125" bestFit="1" customWidth="1" style="6" min="2" max="2"/>
    <col width="13.36328125" bestFit="1" customWidth="1" style="6" min="3" max="3"/>
    <col width="22.90625" bestFit="1" customWidth="1" style="6" min="4" max="4"/>
    <col width="10.1796875" bestFit="1" customWidth="1" style="6" min="5" max="6"/>
  </cols>
  <sheetData>
    <row r="1" customFormat="1" s="17">
      <c r="A1" s="18" t="inlineStr">
        <is>
          <t>Studieprogram</t>
        </is>
      </c>
      <c r="B1" s="18" t="inlineStr">
        <is>
          <t>Studieprogramnavn</t>
        </is>
      </c>
      <c r="C1" s="18" t="inlineStr">
        <is>
          <t>Studienivaa</t>
        </is>
      </c>
      <c r="D1" s="18" t="inlineStr">
        <is>
          <t>NormerteStudiepoeng</t>
        </is>
      </c>
      <c r="E1" s="18" t="inlineStr">
        <is>
          <t>Institutt</t>
        </is>
      </c>
      <c r="F1" s="18" t="inlineStr">
        <is>
          <t>Fakultet</t>
        </is>
      </c>
    </row>
    <row r="2">
      <c r="A2" s="10" t="inlineStr">
        <is>
          <t>I001BA</t>
        </is>
      </c>
      <c r="B2" s="10" t="inlineStr">
        <is>
          <t>Bachelorprogram Institutt/enhet 1 - Handelshoyskolen</t>
        </is>
      </c>
      <c r="C2" s="10" t="inlineStr">
        <is>
          <t>Bachelor</t>
        </is>
      </c>
      <c r="D2" s="31" t="n">
        <v>180</v>
      </c>
      <c r="E2" s="10" t="inlineStr">
        <is>
          <t>I001</t>
        </is>
      </c>
      <c r="F2" s="10" t="inlineStr">
        <is>
          <t>FAK-HH</t>
        </is>
      </c>
    </row>
    <row r="3">
      <c r="A3" s="10" t="inlineStr">
        <is>
          <t>I001MA</t>
        </is>
      </c>
      <c r="B3" s="10" t="inlineStr">
        <is>
          <t>Masterprogram Institutt/enhet 1 - Handelshoyskolen</t>
        </is>
      </c>
      <c r="C3" s="10" t="inlineStr">
        <is>
          <t>Master</t>
        </is>
      </c>
      <c r="D3" s="31" t="n">
        <v>120</v>
      </c>
      <c r="E3" s="10" t="inlineStr">
        <is>
          <t>I001</t>
        </is>
      </c>
      <c r="F3" s="10" t="inlineStr">
        <is>
          <t>FAK-HH</t>
        </is>
      </c>
    </row>
    <row r="4">
      <c r="A4" s="10" t="inlineStr">
        <is>
          <t>I002BA</t>
        </is>
      </c>
      <c r="B4" s="10" t="inlineStr">
        <is>
          <t>Bachelorprogram Institutt/enhet 2 - Handelshoyskolen</t>
        </is>
      </c>
      <c r="C4" s="10" t="inlineStr">
        <is>
          <t>Bachelor</t>
        </is>
      </c>
      <c r="D4" s="31" t="n">
        <v>180</v>
      </c>
      <c r="E4" s="10" t="inlineStr">
        <is>
          <t>I002</t>
        </is>
      </c>
      <c r="F4" s="10" t="inlineStr">
        <is>
          <t>FAK-HH</t>
        </is>
      </c>
    </row>
    <row r="5">
      <c r="A5" s="10" t="inlineStr">
        <is>
          <t>I002MA</t>
        </is>
      </c>
      <c r="B5" s="10" t="inlineStr">
        <is>
          <t>Masterprogram Institutt/enhet 2 - Handelshoyskolen</t>
        </is>
      </c>
      <c r="C5" s="10" t="inlineStr">
        <is>
          <t>Master</t>
        </is>
      </c>
      <c r="D5" s="31" t="n">
        <v>120</v>
      </c>
      <c r="E5" s="10" t="inlineStr">
        <is>
          <t>I002</t>
        </is>
      </c>
      <c r="F5" s="10" t="inlineStr">
        <is>
          <t>FAK-HH</t>
        </is>
      </c>
    </row>
    <row r="6">
      <c r="A6" s="10" t="inlineStr">
        <is>
          <t>I003BA</t>
        </is>
      </c>
      <c r="B6" s="10" t="inlineStr">
        <is>
          <t>Bachelorprogram Institutt/enhet 3 - Handelshoyskolen</t>
        </is>
      </c>
      <c r="C6" s="10" t="inlineStr">
        <is>
          <t>Bachelor</t>
        </is>
      </c>
      <c r="D6" s="31" t="n">
        <v>180</v>
      </c>
      <c r="E6" s="10" t="inlineStr">
        <is>
          <t>I003</t>
        </is>
      </c>
      <c r="F6" s="10" t="inlineStr">
        <is>
          <t>FAK-HH</t>
        </is>
      </c>
    </row>
    <row r="7">
      <c r="A7" s="10" t="inlineStr">
        <is>
          <t>I003MA</t>
        </is>
      </c>
      <c r="B7" s="10" t="inlineStr">
        <is>
          <t>Masterprogram Institutt/enhet 3 - Handelshoyskolen</t>
        </is>
      </c>
      <c r="C7" s="10" t="inlineStr">
        <is>
          <t>Master</t>
        </is>
      </c>
      <c r="D7" s="31" t="n">
        <v>120</v>
      </c>
      <c r="E7" s="10" t="inlineStr">
        <is>
          <t>I003</t>
        </is>
      </c>
      <c r="F7" s="10" t="inlineStr">
        <is>
          <t>FAK-HH</t>
        </is>
      </c>
    </row>
    <row r="8">
      <c r="A8" s="10" t="inlineStr">
        <is>
          <t>I004BA</t>
        </is>
      </c>
      <c r="B8" s="10" t="inlineStr">
        <is>
          <t>Bachelorprogram Institutt/enhet 1 - Helse- og idrettsvitenskap</t>
        </is>
      </c>
      <c r="C8" s="10" t="inlineStr">
        <is>
          <t>Bachelor</t>
        </is>
      </c>
      <c r="D8" s="31" t="n">
        <v>180</v>
      </c>
      <c r="E8" s="10" t="inlineStr">
        <is>
          <t>I004</t>
        </is>
      </c>
      <c r="F8" s="10" t="inlineStr">
        <is>
          <t>FAK-HI</t>
        </is>
      </c>
    </row>
    <row r="9">
      <c r="A9" s="10" t="inlineStr">
        <is>
          <t>I004MA</t>
        </is>
      </c>
      <c r="B9" s="10" t="inlineStr">
        <is>
          <t>Masterprogram Institutt/enhet 1 - Helse- og idrettsvitenskap</t>
        </is>
      </c>
      <c r="C9" s="10" t="inlineStr">
        <is>
          <t>Master</t>
        </is>
      </c>
      <c r="D9" s="31" t="n">
        <v>120</v>
      </c>
      <c r="E9" s="10" t="inlineStr">
        <is>
          <t>I004</t>
        </is>
      </c>
      <c r="F9" s="10" t="inlineStr">
        <is>
          <t>FAK-HI</t>
        </is>
      </c>
    </row>
    <row r="10">
      <c r="A10" s="10" t="inlineStr">
        <is>
          <t>I005BA</t>
        </is>
      </c>
      <c r="B10" s="10" t="inlineStr">
        <is>
          <t>Bachelorprogram Institutt/enhet 2 - Helse- og idrettsvitenskap</t>
        </is>
      </c>
      <c r="C10" s="10" t="inlineStr">
        <is>
          <t>Bachelor</t>
        </is>
      </c>
      <c r="D10" s="31" t="n">
        <v>180</v>
      </c>
      <c r="E10" s="10" t="inlineStr">
        <is>
          <t>I005</t>
        </is>
      </c>
      <c r="F10" s="10" t="inlineStr">
        <is>
          <t>FAK-HI</t>
        </is>
      </c>
    </row>
    <row r="11">
      <c r="A11" s="10" t="inlineStr">
        <is>
          <t>I005MA</t>
        </is>
      </c>
      <c r="B11" s="10" t="inlineStr">
        <is>
          <t>Masterprogram Institutt/enhet 2 - Helse- og idrettsvitenskap</t>
        </is>
      </c>
      <c r="C11" s="10" t="inlineStr">
        <is>
          <t>Master</t>
        </is>
      </c>
      <c r="D11" s="31" t="n">
        <v>120</v>
      </c>
      <c r="E11" s="10" t="inlineStr">
        <is>
          <t>I005</t>
        </is>
      </c>
      <c r="F11" s="10" t="inlineStr">
        <is>
          <t>FAK-HI</t>
        </is>
      </c>
    </row>
    <row r="12">
      <c r="A12" s="10" t="inlineStr">
        <is>
          <t>I006BA</t>
        </is>
      </c>
      <c r="B12" s="10" t="inlineStr">
        <is>
          <t>Bachelorprogram Institutt/enhet 3 - Helse- og idrettsvitenskap</t>
        </is>
      </c>
      <c r="C12" s="10" t="inlineStr">
        <is>
          <t>Bachelor</t>
        </is>
      </c>
      <c r="D12" s="31" t="n">
        <v>180</v>
      </c>
      <c r="E12" s="10" t="inlineStr">
        <is>
          <t>I006</t>
        </is>
      </c>
      <c r="F12" s="10" t="inlineStr">
        <is>
          <t>FAK-HI</t>
        </is>
      </c>
    </row>
    <row r="13">
      <c r="A13" s="10" t="inlineStr">
        <is>
          <t>I006MA</t>
        </is>
      </c>
      <c r="B13" s="10" t="inlineStr">
        <is>
          <t>Masterprogram Institutt/enhet 3 - Helse- og idrettsvitenskap</t>
        </is>
      </c>
      <c r="C13" s="10" t="inlineStr">
        <is>
          <t>Master</t>
        </is>
      </c>
      <c r="D13" s="31" t="n">
        <v>120</v>
      </c>
      <c r="E13" s="10" t="inlineStr">
        <is>
          <t>I006</t>
        </is>
      </c>
      <c r="F13" s="10" t="inlineStr">
        <is>
          <t>FAK-HI</t>
        </is>
      </c>
    </row>
    <row r="14">
      <c r="A14" s="10" t="inlineStr">
        <is>
          <t>I007BA</t>
        </is>
      </c>
      <c r="B14" s="10" t="inlineStr">
        <is>
          <t>Bachelorprogram Institutt/enhet 1 - Humaniora og pedagogikk</t>
        </is>
      </c>
      <c r="C14" s="10" t="inlineStr">
        <is>
          <t>Bachelor</t>
        </is>
      </c>
      <c r="D14" s="31" t="n">
        <v>180</v>
      </c>
      <c r="E14" s="10" t="inlineStr">
        <is>
          <t>I007</t>
        </is>
      </c>
      <c r="F14" s="10" t="inlineStr">
        <is>
          <t>FAK-HP</t>
        </is>
      </c>
    </row>
    <row r="15">
      <c r="A15" s="10" t="inlineStr">
        <is>
          <t>I007MA</t>
        </is>
      </c>
      <c r="B15" s="10" t="inlineStr">
        <is>
          <t>Masterprogram Institutt/enhet 1 - Humaniora og pedagogikk</t>
        </is>
      </c>
      <c r="C15" s="10" t="inlineStr">
        <is>
          <t>Master</t>
        </is>
      </c>
      <c r="D15" s="31" t="n">
        <v>120</v>
      </c>
      <c r="E15" s="10" t="inlineStr">
        <is>
          <t>I007</t>
        </is>
      </c>
      <c r="F15" s="10" t="inlineStr">
        <is>
          <t>FAK-HP</t>
        </is>
      </c>
    </row>
    <row r="16">
      <c r="A16" s="10" t="inlineStr">
        <is>
          <t>I008BA</t>
        </is>
      </c>
      <c r="B16" s="10" t="inlineStr">
        <is>
          <t>Bachelorprogram Institutt/enhet 2 - Humaniora og pedagogikk</t>
        </is>
      </c>
      <c r="C16" s="10" t="inlineStr">
        <is>
          <t>Bachelor</t>
        </is>
      </c>
      <c r="D16" s="31" t="n">
        <v>180</v>
      </c>
      <c r="E16" s="10" t="inlineStr">
        <is>
          <t>I008</t>
        </is>
      </c>
      <c r="F16" s="10" t="inlineStr">
        <is>
          <t>FAK-HP</t>
        </is>
      </c>
    </row>
    <row r="17">
      <c r="A17" s="10" t="inlineStr">
        <is>
          <t>I008MA</t>
        </is>
      </c>
      <c r="B17" s="10" t="inlineStr">
        <is>
          <t>Masterprogram Institutt/enhet 2 - Humaniora og pedagogikk</t>
        </is>
      </c>
      <c r="C17" s="10" t="inlineStr">
        <is>
          <t>Master</t>
        </is>
      </c>
      <c r="D17" s="31" t="n">
        <v>120</v>
      </c>
      <c r="E17" s="10" t="inlineStr">
        <is>
          <t>I008</t>
        </is>
      </c>
      <c r="F17" s="10" t="inlineStr">
        <is>
          <t>FAK-HP</t>
        </is>
      </c>
    </row>
    <row r="18">
      <c r="A18" s="10" t="inlineStr">
        <is>
          <t>I009BA</t>
        </is>
      </c>
      <c r="B18" s="10" t="inlineStr">
        <is>
          <t>Bachelorprogram Institutt/enhet 3 - Humaniora og pedagogikk</t>
        </is>
      </c>
      <c r="C18" s="10" t="inlineStr">
        <is>
          <t>Bachelor</t>
        </is>
      </c>
      <c r="D18" s="31" t="n">
        <v>180</v>
      </c>
      <c r="E18" s="10" t="inlineStr">
        <is>
          <t>I009</t>
        </is>
      </c>
      <c r="F18" s="10" t="inlineStr">
        <is>
          <t>FAK-HP</t>
        </is>
      </c>
    </row>
    <row r="19">
      <c r="A19" s="10" t="inlineStr">
        <is>
          <t>I009MA</t>
        </is>
      </c>
      <c r="B19" s="10" t="inlineStr">
        <is>
          <t>Masterprogram Institutt/enhet 3 - Humaniora og pedagogikk</t>
        </is>
      </c>
      <c r="C19" s="10" t="inlineStr">
        <is>
          <t>Master</t>
        </is>
      </c>
      <c r="D19" s="31" t="n">
        <v>120</v>
      </c>
      <c r="E19" s="10" t="inlineStr">
        <is>
          <t>I009</t>
        </is>
      </c>
      <c r="F19" s="10" t="inlineStr">
        <is>
          <t>FAK-HP</t>
        </is>
      </c>
    </row>
    <row r="20">
      <c r="A20" s="10" t="inlineStr">
        <is>
          <t>I010BA</t>
        </is>
      </c>
      <c r="B20" s="10" t="inlineStr">
        <is>
          <t>Bachelorprogram Institutt/enhet 1 - Kunstfag</t>
        </is>
      </c>
      <c r="C20" s="10" t="inlineStr">
        <is>
          <t>Bachelor</t>
        </is>
      </c>
      <c r="D20" s="31" t="n">
        <v>180</v>
      </c>
      <c r="E20" s="10" t="inlineStr">
        <is>
          <t>I010</t>
        </is>
      </c>
      <c r="F20" s="10" t="inlineStr">
        <is>
          <t>FAK-KF</t>
        </is>
      </c>
    </row>
    <row r="21">
      <c r="A21" s="10" t="inlineStr">
        <is>
          <t>I010MA</t>
        </is>
      </c>
      <c r="B21" s="10" t="inlineStr">
        <is>
          <t>Masterprogram Institutt/enhet 1 - Kunstfag</t>
        </is>
      </c>
      <c r="C21" s="10" t="inlineStr">
        <is>
          <t>Master</t>
        </is>
      </c>
      <c r="D21" s="31" t="n">
        <v>120</v>
      </c>
      <c r="E21" s="10" t="inlineStr">
        <is>
          <t>I010</t>
        </is>
      </c>
      <c r="F21" s="10" t="inlineStr">
        <is>
          <t>FAK-KF</t>
        </is>
      </c>
    </row>
    <row r="22">
      <c r="A22" s="10" t="inlineStr">
        <is>
          <t>I011BA</t>
        </is>
      </c>
      <c r="B22" s="10" t="inlineStr">
        <is>
          <t>Bachelorprogram Institutt/enhet 2 - Kunstfag</t>
        </is>
      </c>
      <c r="C22" s="10" t="inlineStr">
        <is>
          <t>Bachelor</t>
        </is>
      </c>
      <c r="D22" s="31" t="n">
        <v>180</v>
      </c>
      <c r="E22" s="10" t="inlineStr">
        <is>
          <t>I011</t>
        </is>
      </c>
      <c r="F22" s="10" t="inlineStr">
        <is>
          <t>FAK-KF</t>
        </is>
      </c>
    </row>
    <row r="23">
      <c r="A23" s="10" t="inlineStr">
        <is>
          <t>I011MA</t>
        </is>
      </c>
      <c r="B23" s="10" t="inlineStr">
        <is>
          <t>Masterprogram Institutt/enhet 2 - Kunstfag</t>
        </is>
      </c>
      <c r="C23" s="10" t="inlineStr">
        <is>
          <t>Master</t>
        </is>
      </c>
      <c r="D23" s="31" t="n">
        <v>120</v>
      </c>
      <c r="E23" s="10" t="inlineStr">
        <is>
          <t>I011</t>
        </is>
      </c>
      <c r="F23" s="10" t="inlineStr">
        <is>
          <t>FAK-KF</t>
        </is>
      </c>
    </row>
    <row r="24">
      <c r="A24" s="10" t="inlineStr">
        <is>
          <t>I012BA</t>
        </is>
      </c>
      <c r="B24" s="10" t="inlineStr">
        <is>
          <t>Bachelorprogram Institutt/enhet 3 - Kunstfag</t>
        </is>
      </c>
      <c r="C24" s="10" t="inlineStr">
        <is>
          <t>Bachelor</t>
        </is>
      </c>
      <c r="D24" s="31" t="n">
        <v>180</v>
      </c>
      <c r="E24" s="10" t="inlineStr">
        <is>
          <t>I012</t>
        </is>
      </c>
      <c r="F24" s="10" t="inlineStr">
        <is>
          <t>FAK-KF</t>
        </is>
      </c>
    </row>
    <row r="25">
      <c r="A25" s="10" t="inlineStr">
        <is>
          <t>I012MA</t>
        </is>
      </c>
      <c r="B25" s="10" t="inlineStr">
        <is>
          <t>Masterprogram Institutt/enhet 3 - Kunstfag</t>
        </is>
      </c>
      <c r="C25" s="10" t="inlineStr">
        <is>
          <t>Master</t>
        </is>
      </c>
      <c r="D25" s="31" t="n">
        <v>120</v>
      </c>
      <c r="E25" s="10" t="inlineStr">
        <is>
          <t>I012</t>
        </is>
      </c>
      <c r="F25" s="10" t="inlineStr">
        <is>
          <t>FAK-KF</t>
        </is>
      </c>
    </row>
    <row r="26">
      <c r="A26" s="10" t="inlineStr">
        <is>
          <t>I013BA</t>
        </is>
      </c>
      <c r="B26" s="10" t="inlineStr">
        <is>
          <t>Bachelorprogram Institutt/enhet 1 - Samfunnsvitenskap</t>
        </is>
      </c>
      <c r="C26" s="10" t="inlineStr">
        <is>
          <t>Bachelor</t>
        </is>
      </c>
      <c r="D26" s="31" t="n">
        <v>180</v>
      </c>
      <c r="E26" s="10" t="inlineStr">
        <is>
          <t>I013</t>
        </is>
      </c>
      <c r="F26" s="10" t="inlineStr">
        <is>
          <t>FAK-SV</t>
        </is>
      </c>
    </row>
    <row r="27">
      <c r="A27" s="10" t="inlineStr">
        <is>
          <t>I013MA</t>
        </is>
      </c>
      <c r="B27" s="10" t="inlineStr">
        <is>
          <t>Masterprogram Institutt/enhet 1 - Samfunnsvitenskap</t>
        </is>
      </c>
      <c r="C27" s="10" t="inlineStr">
        <is>
          <t>Master</t>
        </is>
      </c>
      <c r="D27" s="31" t="n">
        <v>120</v>
      </c>
      <c r="E27" s="10" t="inlineStr">
        <is>
          <t>I013</t>
        </is>
      </c>
      <c r="F27" s="10" t="inlineStr">
        <is>
          <t>FAK-SV</t>
        </is>
      </c>
    </row>
    <row r="28">
      <c r="A28" s="10" t="inlineStr">
        <is>
          <t>I014BA</t>
        </is>
      </c>
      <c r="B28" s="10" t="inlineStr">
        <is>
          <t>Bachelorprogram Institutt/enhet 2 - Samfunnsvitenskap</t>
        </is>
      </c>
      <c r="C28" s="10" t="inlineStr">
        <is>
          <t>Bachelor</t>
        </is>
      </c>
      <c r="D28" s="31" t="n">
        <v>180</v>
      </c>
      <c r="E28" s="10" t="inlineStr">
        <is>
          <t>I014</t>
        </is>
      </c>
      <c r="F28" s="10" t="inlineStr">
        <is>
          <t>FAK-SV</t>
        </is>
      </c>
    </row>
    <row r="29">
      <c r="A29" s="10" t="inlineStr">
        <is>
          <t>I014MA</t>
        </is>
      </c>
      <c r="B29" s="10" t="inlineStr">
        <is>
          <t>Masterprogram Institutt/enhet 2 - Samfunnsvitenskap</t>
        </is>
      </c>
      <c r="C29" s="10" t="inlineStr">
        <is>
          <t>Master</t>
        </is>
      </c>
      <c r="D29" s="31" t="n">
        <v>120</v>
      </c>
      <c r="E29" s="10" t="inlineStr">
        <is>
          <t>I014</t>
        </is>
      </c>
      <c r="F29" s="10" t="inlineStr">
        <is>
          <t>FAK-SV</t>
        </is>
      </c>
    </row>
    <row r="30">
      <c r="A30" s="10" t="inlineStr">
        <is>
          <t>I015BA</t>
        </is>
      </c>
      <c r="B30" s="10" t="inlineStr">
        <is>
          <t>Bachelorprogram Institutt/enhet 3 - Samfunnsvitenskap</t>
        </is>
      </c>
      <c r="C30" s="10" t="inlineStr">
        <is>
          <t>Bachelor</t>
        </is>
      </c>
      <c r="D30" s="31" t="n">
        <v>180</v>
      </c>
      <c r="E30" s="10" t="inlineStr">
        <is>
          <t>I015</t>
        </is>
      </c>
      <c r="F30" s="10" t="inlineStr">
        <is>
          <t>FAK-SV</t>
        </is>
      </c>
    </row>
    <row r="31">
      <c r="A31" s="10" t="inlineStr">
        <is>
          <t>I015MA</t>
        </is>
      </c>
      <c r="B31" s="10" t="inlineStr">
        <is>
          <t>Masterprogram Institutt/enhet 3 - Samfunnsvitenskap</t>
        </is>
      </c>
      <c r="C31" s="10" t="inlineStr">
        <is>
          <t>Master</t>
        </is>
      </c>
      <c r="D31" s="31" t="n">
        <v>120</v>
      </c>
      <c r="E31" s="10" t="inlineStr">
        <is>
          <t>I015</t>
        </is>
      </c>
      <c r="F31" s="10" t="inlineStr">
        <is>
          <t>FAK-SV</t>
        </is>
      </c>
    </row>
    <row r="32">
      <c r="A32" s="10" t="inlineStr">
        <is>
          <t>I016BA</t>
        </is>
      </c>
      <c r="B32" s="10" t="inlineStr">
        <is>
          <t>Bachelorprogram Institutt/enhet 1 - Teknologi og realfag</t>
        </is>
      </c>
      <c r="C32" s="10" t="inlineStr">
        <is>
          <t>Bachelor</t>
        </is>
      </c>
      <c r="D32" s="31" t="n">
        <v>180</v>
      </c>
      <c r="E32" s="10" t="inlineStr">
        <is>
          <t>I016</t>
        </is>
      </c>
      <c r="F32" s="10" t="inlineStr">
        <is>
          <t>FAK-TR</t>
        </is>
      </c>
    </row>
    <row r="33">
      <c r="A33" s="10" t="inlineStr">
        <is>
          <t>I016MA</t>
        </is>
      </c>
      <c r="B33" s="10" t="inlineStr">
        <is>
          <t>Masterprogram Institutt/enhet 1 - Teknologi og realfag</t>
        </is>
      </c>
      <c r="C33" s="10" t="inlineStr">
        <is>
          <t>Master</t>
        </is>
      </c>
      <c r="D33" s="31" t="n">
        <v>120</v>
      </c>
      <c r="E33" s="10" t="inlineStr">
        <is>
          <t>I016</t>
        </is>
      </c>
      <c r="F33" s="10" t="inlineStr">
        <is>
          <t>FAK-TR</t>
        </is>
      </c>
    </row>
    <row r="34">
      <c r="A34" s="10" t="inlineStr">
        <is>
          <t>I017BA</t>
        </is>
      </c>
      <c r="B34" s="10" t="inlineStr">
        <is>
          <t>Bachelorprogram Institutt/enhet 2 - Teknologi og realfag</t>
        </is>
      </c>
      <c r="C34" s="10" t="inlineStr">
        <is>
          <t>Bachelor</t>
        </is>
      </c>
      <c r="D34" s="31" t="n">
        <v>180</v>
      </c>
      <c r="E34" s="10" t="inlineStr">
        <is>
          <t>I017</t>
        </is>
      </c>
      <c r="F34" s="10" t="inlineStr">
        <is>
          <t>FAK-TR</t>
        </is>
      </c>
    </row>
    <row r="35">
      <c r="A35" s="10" t="inlineStr">
        <is>
          <t>I017MA</t>
        </is>
      </c>
      <c r="B35" s="10" t="inlineStr">
        <is>
          <t>Masterprogram Institutt/enhet 2 - Teknologi og realfag</t>
        </is>
      </c>
      <c r="C35" s="10" t="inlineStr">
        <is>
          <t>Master</t>
        </is>
      </c>
      <c r="D35" s="31" t="n">
        <v>120</v>
      </c>
      <c r="E35" s="10" t="inlineStr">
        <is>
          <t>I017</t>
        </is>
      </c>
      <c r="F35" s="10" t="inlineStr">
        <is>
          <t>FAK-TR</t>
        </is>
      </c>
    </row>
    <row r="36">
      <c r="A36" s="10" t="inlineStr">
        <is>
          <t>I018BA</t>
        </is>
      </c>
      <c r="B36" s="10" t="inlineStr">
        <is>
          <t>Bachelorprogram Institutt/enhet 3 - Teknologi og realfag</t>
        </is>
      </c>
      <c r="C36" s="10" t="inlineStr">
        <is>
          <t>Bachelor</t>
        </is>
      </c>
      <c r="D36" s="31" t="n">
        <v>180</v>
      </c>
      <c r="E36" s="10" t="inlineStr">
        <is>
          <t>I018</t>
        </is>
      </c>
      <c r="F36" s="10" t="inlineStr">
        <is>
          <t>FAK-TR</t>
        </is>
      </c>
    </row>
    <row r="37">
      <c r="A37" s="10" t="inlineStr">
        <is>
          <t>I018MA</t>
        </is>
      </c>
      <c r="B37" s="10" t="inlineStr">
        <is>
          <t>Masterprogram Institutt/enhet 3 - Teknologi og realfag</t>
        </is>
      </c>
      <c r="C37" s="10" t="inlineStr">
        <is>
          <t>Master</t>
        </is>
      </c>
      <c r="D37" s="31" t="n">
        <v>120</v>
      </c>
      <c r="E37" s="10" t="inlineStr">
        <is>
          <t>I018</t>
        </is>
      </c>
      <c r="F37" s="10" t="inlineStr">
        <is>
          <t>FAK-TR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4.5"/>
  <cols>
    <col width="28" bestFit="1" customWidth="1" style="6" min="1" max="1"/>
    <col width="11.81640625" bestFit="1" customWidth="1" style="6" min="2" max="2"/>
    <col width="8" bestFit="1" customWidth="1" style="6" min="3" max="3"/>
  </cols>
  <sheetData>
    <row r="1">
      <c r="A1" t="inlineStr">
        <is>
          <t>Nøkkeltall</t>
        </is>
      </c>
      <c r="B1" t="inlineStr">
        <is>
          <t>Verdi</t>
        </is>
      </c>
      <c r="C1" t="inlineStr">
        <is>
          <t>Enhet</t>
        </is>
      </c>
    </row>
    <row r="2">
      <c r="A2" t="inlineStr">
        <is>
          <t>Kilderader – totalt</t>
        </is>
      </c>
      <c r="B2" t="n">
        <v>11850</v>
      </c>
      <c r="C2" t="inlineStr">
        <is>
          <t>rader</t>
        </is>
      </c>
    </row>
    <row r="3">
      <c r="A3" t="inlineStr">
        <is>
          <t>FactGL – transaksjoner</t>
        </is>
      </c>
      <c r="B3" t="n">
        <v>722</v>
      </c>
      <c r="C3" t="inlineStr">
        <is>
          <t>rader</t>
        </is>
      </c>
    </row>
    <row r="4">
      <c r="A4" t="inlineStr">
        <is>
          <t>Bokførte inntekter</t>
        </is>
      </c>
      <c r="B4" t="n">
        <v>14270000</v>
      </c>
      <c r="C4" t="inlineStr">
        <is>
          <t>NOK</t>
        </is>
      </c>
    </row>
    <row r="5">
      <c r="A5" t="inlineStr">
        <is>
          <t>Driftskostnader</t>
        </is>
      </c>
      <c r="B5" t="n">
        <v>68381200</v>
      </c>
      <c r="C5" t="inlineStr">
        <is>
          <t>NOK</t>
        </is>
      </c>
    </row>
    <row r="6">
      <c r="A6" t="inlineStr">
        <is>
          <t>Lønnskostnader</t>
        </is>
      </c>
      <c r="B6" t="n">
        <v>50970000</v>
      </c>
      <c r="C6" t="inlineStr">
        <is>
          <t>NOK</t>
        </is>
      </c>
    </row>
    <row r="7">
      <c r="A7" t="inlineStr">
        <is>
          <t>Lønnsandel</t>
        </is>
      </c>
      <c r="B7" t="n">
        <v>0.7831</v>
      </c>
      <c r="C7" t="inlineStr">
        <is>
          <t>%</t>
        </is>
      </c>
    </row>
    <row r="8">
      <c r="A8" t="inlineStr">
        <is>
          <t>Konto 2080 Avsetning</t>
        </is>
      </c>
      <c r="B8" t="n">
        <v>-4800000</v>
      </c>
      <c r="C8" t="inlineStr">
        <is>
          <t>NOK</t>
        </is>
      </c>
    </row>
    <row r="9">
      <c r="A9" t="inlineStr">
        <is>
          <t>Avsetningsgrad F-05-20</t>
        </is>
      </c>
      <c r="B9" t="n">
        <v>0.0896</v>
      </c>
      <c r="C9" t="inlineStr">
        <is>
          <t>%</t>
        </is>
      </c>
    </row>
    <row r="10">
      <c r="A10" t="inlineStr">
        <is>
          <t>Netto regnskap</t>
        </is>
      </c>
      <c r="B10" t="n">
        <v>54111200</v>
      </c>
      <c r="C10" t="inlineStr">
        <is>
          <t>NOK</t>
        </is>
      </c>
    </row>
    <row r="11">
      <c r="A11" t="inlineStr">
        <is>
          <t>Årsbudsjett</t>
        </is>
      </c>
      <c r="B11" t="n">
        <v>81840000</v>
      </c>
      <c r="C11" t="inlineStr">
        <is>
          <t>NOK</t>
        </is>
      </c>
    </row>
    <row r="12">
      <c r="A12" t="inlineStr">
        <is>
          <t>Forecast FC1</t>
        </is>
      </c>
      <c r="B12" t="n">
        <v>88500000</v>
      </c>
      <c r="C12" t="inlineStr">
        <is>
          <t>NOK</t>
        </is>
      </c>
    </row>
    <row r="13">
      <c r="A13" t="inlineStr">
        <is>
          <t>Forecast FC2</t>
        </is>
      </c>
      <c r="B13" t="n">
        <v>92300000</v>
      </c>
      <c r="C13" t="inlineStr">
        <is>
          <t>NOK</t>
        </is>
      </c>
    </row>
    <row r="14">
      <c r="A14" t="inlineStr">
        <is>
          <t>Latest Estimate</t>
        </is>
      </c>
      <c r="B14" t="n">
        <v>96460000</v>
      </c>
      <c r="C14" t="inlineStr">
        <is>
          <t>NOK</t>
        </is>
      </c>
    </row>
    <row r="15">
      <c r="A15" t="inlineStr">
        <is>
          <t>Forecastavvik</t>
        </is>
      </c>
      <c r="B15" t="n">
        <v>-14620000</v>
      </c>
      <c r="C15" t="inlineStr">
        <is>
          <t>NOK</t>
        </is>
      </c>
    </row>
    <row r="16">
      <c r="A16" t="inlineStr">
        <is>
          <t>Forventet tiltakseffekt</t>
        </is>
      </c>
      <c r="B16" t="n">
        <v>-10250000</v>
      </c>
      <c r="C16" t="inlineStr">
        <is>
          <t>NOK</t>
        </is>
      </c>
    </row>
    <row r="17">
      <c r="A17" t="inlineStr">
        <is>
          <t>Realisert tiltakseffekt</t>
        </is>
      </c>
      <c r="B17" t="n">
        <v>-4850000</v>
      </c>
      <c r="C17" t="inlineStr">
        <is>
          <t>NOK</t>
        </is>
      </c>
    </row>
    <row r="18">
      <c r="A18" t="inlineStr">
        <is>
          <t>Realiseringsgrad</t>
        </is>
      </c>
      <c r="B18" t="n">
        <v>0.4731</v>
      </c>
      <c r="C18" t="inlineStr">
        <is>
          <t>%</t>
        </is>
      </c>
    </row>
    <row r="19">
      <c r="A19" t="inlineStr">
        <is>
          <t>Forecast etter tiltak</t>
        </is>
      </c>
      <c r="B19" t="n">
        <v>86210000</v>
      </c>
      <c r="C19" t="inlineStr">
        <is>
          <t>NOK</t>
        </is>
      </c>
    </row>
    <row r="20">
      <c r="A20" t="inlineStr">
        <is>
          <t>Restavvik etter tiltak</t>
        </is>
      </c>
      <c r="B20" t="n">
        <v>4370000</v>
      </c>
      <c r="C20" t="inlineStr">
        <is>
          <t>NOK</t>
        </is>
      </c>
    </row>
    <row r="21">
      <c r="A21" t="inlineStr">
        <is>
          <t>BOA-inntekter</t>
        </is>
      </c>
      <c r="B21" t="n">
        <v>20460000</v>
      </c>
      <c r="C21" t="inlineStr">
        <is>
          <t>NOK</t>
        </is>
      </c>
    </row>
    <row r="22">
      <c r="A22" t="inlineStr">
        <is>
          <t>BOA-portefølje</t>
        </is>
      </c>
      <c r="B22" t="n">
        <v>61500000</v>
      </c>
      <c r="C22" t="inlineStr">
        <is>
          <t>NOK</t>
        </is>
      </c>
    </row>
    <row r="23">
      <c r="A23" t="inlineStr">
        <is>
          <t>TDI-årsbudsjett</t>
        </is>
      </c>
      <c r="B23" t="n">
        <v>20200000</v>
      </c>
      <c r="C23" t="inlineStr">
        <is>
          <t>NOK</t>
        </is>
      </c>
    </row>
    <row r="24">
      <c r="A24" t="inlineStr">
        <is>
          <t>Årsverk siste måned</t>
        </is>
      </c>
      <c r="B24" t="n">
        <v>1285.93</v>
      </c>
      <c r="C24" t="inlineStr">
        <is>
          <t>FTE</t>
        </is>
      </c>
    </row>
    <row r="25">
      <c r="A25" t="inlineStr">
        <is>
          <t>Faglige årsverk siste måned</t>
        </is>
      </c>
      <c r="B25" t="n">
        <v>661.77</v>
      </c>
      <c r="C25" t="inlineStr">
        <is>
          <t>FTE</t>
        </is>
      </c>
    </row>
    <row r="26">
      <c r="A26" t="inlineStr">
        <is>
          <t>Registrerte studenter siste måned</t>
        </is>
      </c>
      <c r="B26" t="n">
        <v>6490</v>
      </c>
      <c r="C26" t="inlineStr">
        <is>
          <t>antall</t>
        </is>
      </c>
    </row>
    <row r="27">
      <c r="A27" t="inlineStr">
        <is>
          <t>Avlagte studiepoeng helår</t>
        </is>
      </c>
      <c r="B27" t="n">
        <v>336945</v>
      </c>
      <c r="C27" t="inlineStr">
        <is>
          <t>SP</t>
        </is>
      </c>
    </row>
    <row r="28">
      <c r="A28" t="inlineStr">
        <is>
          <t>SPE60 helår</t>
        </is>
      </c>
      <c r="B28" t="n">
        <v>2589.6</v>
      </c>
      <c r="C28" t="inlineStr">
        <is>
          <t>SPE60</t>
        </is>
      </c>
    </row>
    <row r="29">
      <c r="A29" t="inlineStr">
        <is>
          <t>BFE-inntekt</t>
        </is>
      </c>
      <c r="B29" t="n">
        <v>176012760</v>
      </c>
      <c r="C29" t="inlineStr">
        <is>
          <t>NOK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Prosjekt</t>
        </is>
      </c>
      <c r="B1" t="inlineStr">
        <is>
          <t>Prosjektnavn</t>
        </is>
      </c>
      <c r="C1" t="inlineStr">
        <is>
          <t>Finansieringstype</t>
        </is>
      </c>
      <c r="D1" t="inlineStr">
        <is>
          <t>Finansieringskilde</t>
        </is>
      </c>
      <c r="E1" t="inlineStr">
        <is>
          <t>Kontraktsbelop</t>
        </is>
      </c>
      <c r="F1" t="inlineStr">
        <is>
          <t>Budsjett</t>
        </is>
      </c>
      <c r="G1" t="inlineStr">
        <is>
          <t>Frikjop</t>
        </is>
      </c>
      <c r="H1" t="inlineStr">
        <is>
          <t>DirekteDrift</t>
        </is>
      </c>
      <c r="I1" t="inlineStr">
        <is>
          <t>Overhead</t>
        </is>
      </c>
      <c r="J1" t="inlineStr">
        <is>
          <t>Leiested</t>
        </is>
      </c>
      <c r="K1" t="inlineStr">
        <is>
          <t>PåløptKostnad</t>
        </is>
      </c>
      <c r="L1" t="inlineStr">
        <is>
          <t>Inntektsført</t>
        </is>
      </c>
      <c r="M1" t="inlineStr">
        <is>
          <t>Dekningsgrad</t>
        </is>
      </c>
      <c r="N1" t="inlineStr">
        <is>
          <t>%TidGått</t>
        </is>
      </c>
      <c r="O1" t="inlineStr">
        <is>
          <t>%BudsjettForbrukt</t>
        </is>
      </c>
      <c r="P1" t="inlineStr">
        <is>
          <t>Forbruksavvik</t>
        </is>
      </c>
      <c r="Q1" t="inlineStr">
        <is>
          <t>RAG_Status</t>
        </is>
      </c>
      <c r="R1" t="inlineStr">
        <is>
          <t>StatusMerknad</t>
        </is>
      </c>
    </row>
    <row r="2">
      <c r="A2" t="inlineStr">
        <is>
          <t>NFR001</t>
        </is>
      </c>
      <c r="B2" t="inlineStr">
        <is>
          <t>NFR-AI: Kunstig intelligens i styring</t>
        </is>
      </c>
      <c r="C2" t="inlineStr">
        <is>
          <t>Bidrag</t>
        </is>
      </c>
      <c r="D2" t="inlineStr">
        <is>
          <t>NFR</t>
        </is>
      </c>
      <c r="E2" t="n">
        <v>12000000</v>
      </c>
      <c r="F2" t="n">
        <v>4000000</v>
      </c>
      <c r="G2" t="n">
        <v>1800000</v>
      </c>
      <c r="H2" t="n">
        <v>1100000</v>
      </c>
      <c r="I2" t="n">
        <v>880000</v>
      </c>
      <c r="J2" t="n">
        <v>220000</v>
      </c>
      <c r="K2" t="n">
        <v>1680000</v>
      </c>
      <c r="L2" t="n">
        <v>1680000</v>
      </c>
      <c r="M2" t="n">
        <v>0.22</v>
      </c>
      <c r="N2" t="n">
        <v>0.65</v>
      </c>
      <c r="O2" t="n">
        <v>0.42</v>
      </c>
      <c r="P2" t="n">
        <v>-0.23</v>
      </c>
      <c r="Q2" t="inlineStr">
        <is>
          <t>GUL: Betydelig fremdriftsforsinkelse</t>
        </is>
      </c>
      <c r="R2" t="inlineStr">
        <is>
          <t>Forsinket stipendiatrekruttering og lav fremdrift. Tiltak T003 iverksatt.</t>
        </is>
      </c>
    </row>
    <row r="3">
      <c r="A3" t="inlineStr">
        <is>
          <t>NFR002</t>
        </is>
      </c>
      <c r="B3" t="inlineStr">
        <is>
          <t>NFR-Helse: Pasientsikkerhet i helsefag</t>
        </is>
      </c>
      <c r="C3" t="inlineStr">
        <is>
          <t>Bidrag</t>
        </is>
      </c>
      <c r="D3" t="inlineStr">
        <is>
          <t>NFR</t>
        </is>
      </c>
      <c r="E3" t="n">
        <v>8500000</v>
      </c>
      <c r="F3" t="n">
        <v>2800000</v>
      </c>
      <c r="G3" t="n">
        <v>1300000</v>
      </c>
      <c r="H3" t="n">
        <v>800000</v>
      </c>
      <c r="I3" t="n">
        <v>616000</v>
      </c>
      <c r="J3" t="n">
        <v>84000</v>
      </c>
      <c r="K3" t="n">
        <v>1450000</v>
      </c>
      <c r="L3" t="n">
        <v>1450000</v>
      </c>
      <c r="M3" t="n">
        <v>0.22</v>
      </c>
      <c r="N3" t="n">
        <v>0.52</v>
      </c>
      <c r="O3" t="n">
        <v>0.518</v>
      </c>
      <c r="P3" t="n">
        <v>-0.002</v>
      </c>
      <c r="Q3" t="inlineStr">
        <is>
          <t>GRØNN: I rute</t>
        </is>
      </c>
      <c r="R3" t="inlineStr">
        <is>
          <t>I rute iht. prosjektplan og milepæler.</t>
        </is>
      </c>
    </row>
    <row r="4">
      <c r="A4" t="inlineStr">
        <is>
          <t>EU001</t>
        </is>
      </c>
      <c r="B4" t="inlineStr">
        <is>
          <t>EU Horizon: Green Maritime Tech</t>
        </is>
      </c>
      <c r="C4" t="inlineStr">
        <is>
          <t>Bidrag</t>
        </is>
      </c>
      <c r="D4" t="inlineStr">
        <is>
          <t>EU</t>
        </is>
      </c>
      <c r="E4" t="n">
        <v>18500000</v>
      </c>
      <c r="F4" t="n">
        <v>6200000</v>
      </c>
      <c r="G4" t="n">
        <v>2800000</v>
      </c>
      <c r="H4" t="n">
        <v>1800000</v>
      </c>
      <c r="I4" t="n">
        <v>1364000</v>
      </c>
      <c r="J4" t="n">
        <v>236000</v>
      </c>
      <c r="K4" t="n">
        <v>3100000</v>
      </c>
      <c r="L4" t="n">
        <v>3100000</v>
      </c>
      <c r="M4" t="n">
        <v>0.22</v>
      </c>
      <c r="N4" t="n">
        <v>0.5</v>
      </c>
      <c r="O4" t="n">
        <v>0.5</v>
      </c>
      <c r="P4" t="n">
        <v>0</v>
      </c>
      <c r="Q4" t="inlineStr">
        <is>
          <t>GRØNN: I rute</t>
        </is>
      </c>
      <c r="R4" t="inlineStr">
        <is>
          <t>Green Maritime Tech i rute for Horizon Europe.</t>
        </is>
      </c>
    </row>
    <row r="5">
      <c r="A5" t="inlineStr">
        <is>
          <t>EU002</t>
        </is>
      </c>
      <c r="B5" t="inlineStr">
        <is>
          <t>EU Horizon: Digital Governance</t>
        </is>
      </c>
      <c r="C5" t="inlineStr">
        <is>
          <t>Bidrag</t>
        </is>
      </c>
      <c r="D5" t="inlineStr">
        <is>
          <t>EU</t>
        </is>
      </c>
      <c r="E5" t="n">
        <v>14000000</v>
      </c>
      <c r="F5" t="n">
        <v>4500000</v>
      </c>
      <c r="G5" t="n">
        <v>2100000</v>
      </c>
      <c r="H5" t="n">
        <v>1200000</v>
      </c>
      <c r="I5" t="n">
        <v>990000</v>
      </c>
      <c r="J5" t="n">
        <v>210000</v>
      </c>
      <c r="K5" t="n">
        <v>2150000</v>
      </c>
      <c r="L5" t="n">
        <v>2150000</v>
      </c>
      <c r="M5" t="n">
        <v>0.22</v>
      </c>
      <c r="N5" t="n">
        <v>0.48</v>
      </c>
      <c r="O5" t="n">
        <v>0.478</v>
      </c>
      <c r="P5" t="n">
        <v>-0.002</v>
      </c>
      <c r="Q5" t="inlineStr">
        <is>
          <t>GRØNN: I rute</t>
        </is>
      </c>
      <c r="R5" t="inlineStr">
        <is>
          <t>Digital Governance i rute for Horizon Europe.</t>
        </is>
      </c>
    </row>
    <row r="6">
      <c r="A6" t="inlineStr">
        <is>
          <t>EVU001</t>
        </is>
      </c>
      <c r="B6" t="inlineStr">
        <is>
          <t>EVU Videreutdanning for kommuner</t>
        </is>
      </c>
      <c r="C6" t="inlineStr">
        <is>
          <t>Oppdrag</t>
        </is>
      </c>
      <c r="D6" t="inlineStr">
        <is>
          <t>Ekstern</t>
        </is>
      </c>
      <c r="E6" t="n">
        <v>3500000</v>
      </c>
      <c r="F6" t="n">
        <v>1200000</v>
      </c>
      <c r="G6" t="n">
        <v>450000</v>
      </c>
      <c r="H6" t="n">
        <v>450000</v>
      </c>
      <c r="I6" t="n">
        <v>300000</v>
      </c>
      <c r="J6" t="n">
        <v>0</v>
      </c>
      <c r="K6" t="n">
        <v>864000</v>
      </c>
      <c r="L6" t="n">
        <v>600000</v>
      </c>
      <c r="M6" t="n">
        <v>0.25</v>
      </c>
      <c r="N6" t="n">
        <v>0.5</v>
      </c>
      <c r="O6" t="n">
        <v>0.72</v>
      </c>
      <c r="P6" t="n">
        <v>0.22</v>
      </c>
      <c r="Q6" t="inlineStr">
        <is>
          <t>RØD: Betydelig merforbruk</t>
        </is>
      </c>
      <c r="R6" t="inlineStr">
        <is>
          <t>Konsulentmerforbruk og tapsrisiko (SRS 9). Tapsavsetning konto 7790/2800. Tiltak T004.</t>
        </is>
      </c>
    </row>
    <row r="7">
      <c r="A7" t="inlineStr">
        <is>
          <t>OPPDRAG01</t>
        </is>
      </c>
      <c r="B7" t="inlineStr">
        <is>
          <t>Oppdragsforskning Batteriteknologi</t>
        </is>
      </c>
      <c r="C7" t="inlineStr">
        <is>
          <t>Oppdrag</t>
        </is>
      </c>
      <c r="D7" t="inlineStr">
        <is>
          <t>Næringsliv</t>
        </is>
      </c>
      <c r="E7" t="n">
        <v>5000000</v>
      </c>
      <c r="F7" t="n">
        <v>1800000</v>
      </c>
      <c r="G7" t="n">
        <v>750000</v>
      </c>
      <c r="H7" t="n">
        <v>550000</v>
      </c>
      <c r="I7" t="n">
        <v>450000</v>
      </c>
      <c r="J7" t="n">
        <v>50000</v>
      </c>
      <c r="K7" t="n">
        <v>890000</v>
      </c>
      <c r="L7" t="n">
        <v>890000</v>
      </c>
      <c r="M7" t="n">
        <v>0.25</v>
      </c>
      <c r="N7" t="n">
        <v>0.5</v>
      </c>
      <c r="O7" t="n">
        <v>0.494</v>
      </c>
      <c r="P7" t="n">
        <v>-0.006</v>
      </c>
      <c r="Q7" t="inlineStr">
        <is>
          <t>GRØNN: I rute</t>
        </is>
      </c>
      <c r="R7" t="inlineStr">
        <is>
          <t>Batteriteknologi oppdrag i henhold til leveranseplan.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 Case</t>
        </is>
      </c>
      <c r="B1" t="inlineStr">
        <is>
          <t>Rettslig Standard</t>
        </is>
      </c>
      <c r="C1" t="inlineStr">
        <is>
          <t>Kjerneavvik / Problemstilling</t>
        </is>
      </c>
      <c r="D1" t="inlineStr">
        <is>
          <t>Finansielt Omfang</t>
        </is>
      </c>
      <c r="E1" t="inlineStr">
        <is>
          <t>Tiltak ID</t>
        </is>
      </c>
      <c r="F1" t="inlineStr">
        <is>
          <t>Forankret Styringstiltak</t>
        </is>
      </c>
      <c r="G1" t="inlineStr">
        <is>
          <t>Ansvarlig Rolle</t>
        </is>
      </c>
      <c r="H1" t="inlineStr">
        <is>
          <t>Status</t>
        </is>
      </c>
    </row>
    <row r="2">
      <c r="A2" t="inlineStr">
        <is>
          <t>UC1</t>
        </is>
      </c>
      <c r="B2" t="inlineStr">
        <is>
          <t>Rundskriv F-05-20</t>
        </is>
      </c>
      <c r="C2" t="inlineStr">
        <is>
          <t>5 %-regelen overskredet: Avsetning på konto 2080 er 8,96 % (-4,8 MNOK mot 5,0 % sperre 2,68 MNOK)</t>
        </is>
      </c>
      <c r="D2" t="n">
        <v>2120000</v>
      </c>
      <c r="E2" t="inlineStr">
        <is>
          <t>T002</t>
        </is>
      </c>
      <c r="F2" t="inlineStr">
        <is>
          <t>Fremskynde strategiske IT- og labinvesteringer innen Q4</t>
        </is>
      </c>
      <c r="G2" t="inlineStr">
        <is>
          <t>Fakultetsdirektør</t>
        </is>
      </c>
      <c r="H2" t="inlineStr">
        <is>
          <t>Kritisk</t>
        </is>
      </c>
    </row>
    <row r="3">
      <c r="A3" t="inlineStr">
        <is>
          <t>UC2</t>
        </is>
      </c>
      <c r="B3" t="inlineStr">
        <is>
          <t>DFØ SRS 10</t>
        </is>
      </c>
      <c r="C3" t="inlineStr">
        <is>
          <t>Oppdrags-/bidragsinntekt feilaktig inntektsført før kostnadspåløp (motsatt sammenstilling)</t>
        </is>
      </c>
      <c r="D3" t="n">
        <v>2010000</v>
      </c>
      <c r="E3" t="inlineStr">
        <is>
          <t>T005</t>
        </is>
      </c>
      <c r="F3" t="inlineStr">
        <is>
          <t>Innføre månedlig automatisk avstemming mellom påløpte BOA-kostnader og konto 2900</t>
        </is>
      </c>
      <c r="G3" t="inlineStr">
        <is>
          <t>Prosjektcontroller</t>
        </is>
      </c>
      <c r="H3" t="inlineStr">
        <is>
          <t>Korrigert</t>
        </is>
      </c>
    </row>
    <row r="4">
      <c r="A4" t="inlineStr">
        <is>
          <t>UC3</t>
        </is>
      </c>
      <c r="B4" t="inlineStr">
        <is>
          <t>DFØ SRS 9</t>
        </is>
      </c>
      <c r="C4" t="inlineStr">
        <is>
          <t>Tapskontrakt på oppdrag EVU001: Merforbruk krever umiddelbar tapsavsetning</t>
        </is>
      </c>
      <c r="D4" t="n">
        <v>450000</v>
      </c>
      <c r="E4" t="inlineStr">
        <is>
          <t>T003</t>
        </is>
      </c>
      <c r="F4" t="inlineStr">
        <is>
          <t>Bokføre tapsavsetning på konto 7790 mot 2800; stramme timeføring på EVU</t>
        </is>
      </c>
      <c r="G4" t="inlineStr">
        <is>
          <t>Instituttleder</t>
        </is>
      </c>
      <c r="H4" t="inlineStr">
        <is>
          <t>Tapsført</t>
        </is>
      </c>
    </row>
    <row r="5">
      <c r="A5" t="inlineStr">
        <is>
          <t>UC4</t>
        </is>
      </c>
      <c r="B5" t="inlineStr">
        <is>
          <t>DFØ SRS 17</t>
        </is>
      </c>
      <c r="C5" t="inlineStr">
        <is>
          <t>Varige driftsmidler (lab/servere) feilaktig kostnadsført direkte på konto 6500</t>
        </is>
      </c>
      <c r="D5" t="n">
        <v>1200000</v>
      </c>
      <c r="E5" t="inlineStr">
        <is>
          <t>T001</t>
        </is>
      </c>
      <c r="F5" t="inlineStr">
        <is>
          <t>Omklassifisere og aktivere på konto 1200 i balansen med 5 års avskrivning</t>
        </is>
      </c>
      <c r="G5" t="inlineStr">
        <is>
          <t>Regnskapssjef</t>
        </is>
      </c>
      <c r="H5" t="inlineStr">
        <is>
          <t>Fullført</t>
        </is>
      </c>
    </row>
    <row r="6">
      <c r="A6" t="inlineStr">
        <is>
          <t>UC5</t>
        </is>
      </c>
      <c r="B6" t="inlineStr">
        <is>
          <t>FOA / LOA</t>
        </is>
      </c>
      <c r="C6" t="inlineStr">
        <is>
          <t>Konsulentanskaffelse bestilt over terskelverdi uten tilstrekkelig kunngjøring</t>
        </is>
      </c>
      <c r="D6" t="n">
        <v>620000</v>
      </c>
      <c r="E6" t="inlineStr">
        <is>
          <t>T004</t>
        </is>
      </c>
      <c r="F6" t="inlineStr">
        <is>
          <t>Protokollføre anskaffelsesavvik og innføre obligatorisk forhåndsgodkjenning</t>
        </is>
      </c>
      <c r="G6" t="inlineStr">
        <is>
          <t>Innkjøpsansvarlig</t>
        </is>
      </c>
      <c r="H6" t="inlineStr">
        <is>
          <t>Rutine endret</t>
        </is>
      </c>
    </row>
    <row r="7">
      <c r="A7" t="inlineStr">
        <is>
          <t>UC6</t>
        </is>
      </c>
      <c r="B7" t="inlineStr">
        <is>
          <t>Folketrygdloven</t>
        </is>
      </c>
      <c r="C7" t="inlineStr">
        <is>
          <t>Lønnsandel på 78,3 %; manglende oppfølging av utestående sykepengerefusjoner fra NAV</t>
        </is>
      </c>
      <c r="D7" t="n">
        <v>1150000</v>
      </c>
      <c r="E7" t="inlineStr">
        <is>
          <t>T006</t>
        </is>
      </c>
      <c r="F7" t="inlineStr">
        <is>
          <t>Etablere ukentlig purrerutine mot NAV på konto 1570 med innbetaling innen 45 dager</t>
        </is>
      </c>
      <c r="G7" t="inlineStr">
        <is>
          <t>HR- / Lønnscontroller</t>
        </is>
      </c>
      <c r="H7" t="inlineStr">
        <is>
          <t>Pågår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Frank Ellingsen</dc:creator>
  <dcterms:created xmlns:dcterms="http://purl.org/dc/terms/" xmlns:xsi="http://www.w3.org/2001/XMLSchema-instance" xsi:type="dcterms:W3CDTF">2026-09-22T08:29:37Z</dcterms:created>
  <dcterms:modified xmlns:dcterms="http://purl.org/dc/terms/" xmlns:xsi="http://www.w3.org/2001/XMLSchema-instance" xsi:type="dcterms:W3CDTF">2026-09-25T11:08:41Z</dcterms:modified>
  <cp:lastModifiedBy>Frank Ellingsen</cp:lastModifiedBy>
</cp:coreProperties>
</file>