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frank\Desktop\UIA\uia_powerbi_complete_forecast_model\excel\"/>
    </mc:Choice>
  </mc:AlternateContent>
  <xr:revisionPtr revIDLastSave="0" documentId="13_ncr:1_{51890D85-63B9-48B1-8725-EAC6FBA41855}" xr6:coauthVersionLast="47" xr6:coauthVersionMax="47" xr10:uidLastSave="{00000000-0000-0000-0000-000000000000}"/>
  <bookViews>
    <workbookView xWindow="-120" yWindow="-16320" windowWidth="29040" windowHeight="15720" firstSheet="10" activeTab="17" xr2:uid="{00000000-000D-0000-FFFF-FFFF00000000}"/>
  </bookViews>
  <sheets>
    <sheet name="00_Forside_Navigasjon" sheetId="1" r:id="rId1"/>
    <sheet name="00_Aarsrapport_Forside_EVM" sheetId="2" r:id="rId2"/>
    <sheet name="01_Instituttleder" sheetId="3" r:id="rId3"/>
    <sheet name="02_Dekan" sheetId="4" r:id="rId4"/>
    <sheet name="03_Executive" sheetId="5" r:id="rId5"/>
    <sheet name="04_Styret" sheetId="6" r:id="rId6"/>
    <sheet name="05_Forskning_BOA" sheetId="7" r:id="rId7"/>
    <sheet name="06_Studieportefolje" sheetId="8" r:id="rId8"/>
    <sheet name="07_Action_Tracker" sheetId="9" r:id="rId9"/>
    <sheet name="08_Controller_Cockpit" sheetId="10" r:id="rId10"/>
    <sheet name="09_Begrepskatalog" sheetId="11" r:id="rId11"/>
    <sheet name="UC_Statlige_Use_Cases" sheetId="12" r:id="rId12"/>
    <sheet name="LP_Laereplaner_KD2025" sheetId="13" r:id="rId13"/>
    <sheet name="DT_Okonomi" sheetId="14" r:id="rId14"/>
    <sheet name="DT_Bemanning" sheetId="15" r:id="rId15"/>
    <sheet name="DT_Prosjekt_EVM" sheetId="16" r:id="rId16"/>
    <sheet name="DT_Tiltakskort" sheetId="17" r:id="rId17"/>
    <sheet name="DT_Studieaktivitet" sheetId="18" r:id="rId18"/>
    <sheet name="DimGlossary" sheetId="19" r:id="rId19"/>
    <sheet name="DimAccount" sheetId="20" r:id="rId20"/>
    <sheet name="DimOrganization" sheetId="21" r:id="rId21"/>
    <sheet name="DimProject" sheetId="22" r:id="rId22"/>
    <sheet name="FactProjectBOA" sheetId="23" r:id="rId23"/>
    <sheet name="FactBudget" sheetId="24" r:id="rId24"/>
    <sheet name="FactForecast" sheetId="25" r:id="rId25"/>
    <sheet name="FactFTE" sheetId="26" r:id="rId26"/>
    <sheet name="FactStudyPoints" sheetId="27" r:id="rId27"/>
    <sheet name="FactAction" sheetId="28" r:id="rId28"/>
    <sheet name="FactGL" sheetId="29" r:id="rId29"/>
    <sheet name="FactYearlyReconciliation" sheetId="30" r:id="rId3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 i="18" l="1"/>
  <c r="J1" i="17"/>
  <c r="G18" i="16"/>
  <c r="H18" i="16" s="1"/>
  <c r="F18" i="16"/>
  <c r="E18" i="16"/>
  <c r="J17" i="16"/>
  <c r="K17" i="16" s="1"/>
  <c r="I17" i="16"/>
  <c r="H17" i="16"/>
  <c r="J16" i="16"/>
  <c r="K16" i="16" s="1"/>
  <c r="I16" i="16"/>
  <c r="H16" i="16"/>
  <c r="J15" i="16"/>
  <c r="K15" i="16" s="1"/>
  <c r="I15" i="16"/>
  <c r="H15" i="16"/>
  <c r="J14" i="16"/>
  <c r="K14" i="16" s="1"/>
  <c r="I14" i="16"/>
  <c r="H14" i="16"/>
  <c r="J13" i="16"/>
  <c r="K13" i="16" s="1"/>
  <c r="I13" i="16"/>
  <c r="H13" i="16"/>
  <c r="J12" i="16"/>
  <c r="K12" i="16" s="1"/>
  <c r="I12" i="16"/>
  <c r="H12" i="16"/>
  <c r="J11" i="16"/>
  <c r="K11" i="16" s="1"/>
  <c r="I11" i="16"/>
  <c r="H11" i="16"/>
  <c r="J10" i="16"/>
  <c r="K10" i="16" s="1"/>
  <c r="I10" i="16"/>
  <c r="H10" i="16"/>
  <c r="L1" i="16"/>
  <c r="G15" i="15"/>
  <c r="E15" i="15"/>
  <c r="F15" i="15" s="1"/>
  <c r="D15" i="15"/>
  <c r="J1" i="15"/>
  <c r="J1" i="14"/>
  <c r="J1" i="13"/>
  <c r="J1" i="12"/>
  <c r="J1" i="11"/>
  <c r="H19" i="10"/>
  <c r="I19" i="10" s="1"/>
  <c r="H18" i="10"/>
  <c r="I18" i="10" s="1"/>
  <c r="I17" i="10"/>
  <c r="H17" i="10"/>
  <c r="H16" i="10"/>
  <c r="I16" i="10" s="1"/>
  <c r="H15" i="10"/>
  <c r="I15" i="10" s="1"/>
  <c r="H14" i="10"/>
  <c r="I14" i="10" s="1"/>
  <c r="I13" i="10"/>
  <c r="H13" i="10"/>
  <c r="H12" i="10"/>
  <c r="I12" i="10" s="1"/>
  <c r="H11" i="10"/>
  <c r="I11" i="10" s="1"/>
  <c r="H10" i="10"/>
  <c r="I10" i="10" s="1"/>
  <c r="J1" i="10"/>
  <c r="H16" i="9"/>
  <c r="G16" i="9"/>
  <c r="I15" i="9"/>
  <c r="I14" i="9"/>
  <c r="I13" i="9"/>
  <c r="I12" i="9"/>
  <c r="I11" i="9"/>
  <c r="I10" i="9"/>
  <c r="I16" i="9" s="1"/>
  <c r="J1" i="9"/>
  <c r="I19" i="8"/>
  <c r="H19" i="8"/>
  <c r="G19" i="8"/>
  <c r="J19" i="8" s="1"/>
  <c r="K19" i="8" s="1"/>
  <c r="F19" i="8"/>
  <c r="E19" i="8"/>
  <c r="K18" i="8"/>
  <c r="J18" i="8"/>
  <c r="J17" i="8"/>
  <c r="K17" i="8" s="1"/>
  <c r="J16" i="8"/>
  <c r="K16" i="8" s="1"/>
  <c r="K15" i="8"/>
  <c r="J15" i="8"/>
  <c r="K14" i="8"/>
  <c r="J14" i="8"/>
  <c r="J13" i="8"/>
  <c r="K13" i="8" s="1"/>
  <c r="J12" i="8"/>
  <c r="K12" i="8" s="1"/>
  <c r="K11" i="8"/>
  <c r="J11" i="8"/>
  <c r="K10" i="8"/>
  <c r="J10" i="8"/>
  <c r="J1" i="8"/>
  <c r="H16" i="7"/>
  <c r="I16" i="7" s="1"/>
  <c r="G16" i="7"/>
  <c r="F16" i="7"/>
  <c r="J1" i="7"/>
  <c r="G26" i="6"/>
  <c r="F26" i="6"/>
  <c r="H25" i="6"/>
  <c r="H24" i="6"/>
  <c r="H23" i="6"/>
  <c r="H22" i="6"/>
  <c r="H21" i="6"/>
  <c r="H20" i="6"/>
  <c r="H26" i="6" s="1"/>
  <c r="F15" i="6"/>
  <c r="F14" i="6"/>
  <c r="F13" i="6"/>
  <c r="F12" i="6"/>
  <c r="F11" i="6"/>
  <c r="F10" i="6"/>
  <c r="K1" i="6"/>
  <c r="E24" i="5"/>
  <c r="F24" i="5" s="1"/>
  <c r="D24" i="5"/>
  <c r="G24" i="5" s="1"/>
  <c r="H24" i="5" s="1"/>
  <c r="C24" i="5"/>
  <c r="F23" i="5"/>
  <c r="G23" i="5" s="1"/>
  <c r="H23" i="5" s="1"/>
  <c r="F22" i="5"/>
  <c r="G22" i="5" s="1"/>
  <c r="H22" i="5" s="1"/>
  <c r="F21" i="5"/>
  <c r="G21" i="5" s="1"/>
  <c r="H21" i="5" s="1"/>
  <c r="G20" i="5"/>
  <c r="H20" i="5" s="1"/>
  <c r="F20" i="5"/>
  <c r="F19" i="5"/>
  <c r="G19" i="5" s="1"/>
  <c r="H19" i="5" s="1"/>
  <c r="G18" i="5"/>
  <c r="H18" i="5" s="1"/>
  <c r="F18" i="5"/>
  <c r="J1" i="5"/>
  <c r="E28" i="4"/>
  <c r="D28" i="4"/>
  <c r="F20" i="4"/>
  <c r="G20" i="4" s="1"/>
  <c r="H20" i="4" s="1"/>
  <c r="I20" i="4" s="1"/>
  <c r="E20" i="4"/>
  <c r="D20" i="4"/>
  <c r="G19" i="4"/>
  <c r="H19" i="4" s="1"/>
  <c r="I19" i="4" s="1"/>
  <c r="G18" i="4"/>
  <c r="H18" i="4" s="1"/>
  <c r="I18" i="4" s="1"/>
  <c r="H17" i="4"/>
  <c r="I17" i="4" s="1"/>
  <c r="G17" i="4"/>
  <c r="G16" i="4"/>
  <c r="H16" i="4" s="1"/>
  <c r="I16" i="4" s="1"/>
  <c r="H15" i="4"/>
  <c r="I15" i="4" s="1"/>
  <c r="G15" i="4"/>
  <c r="I14" i="4"/>
  <c r="H14" i="4"/>
  <c r="G14" i="4"/>
  <c r="G13" i="4"/>
  <c r="H13" i="4" s="1"/>
  <c r="I13" i="4" s="1"/>
  <c r="G12" i="4"/>
  <c r="H12" i="4" s="1"/>
  <c r="I12" i="4" s="1"/>
  <c r="G11" i="4"/>
  <c r="H11" i="4" s="1"/>
  <c r="I11" i="4" s="1"/>
  <c r="G10" i="4"/>
  <c r="H10" i="4" s="1"/>
  <c r="I10" i="4" s="1"/>
  <c r="J1" i="4"/>
  <c r="G34" i="3"/>
  <c r="F34" i="3"/>
  <c r="D34" i="3"/>
  <c r="C34" i="3"/>
  <c r="E34" i="3" s="1"/>
  <c r="G33" i="3"/>
  <c r="H33" i="3" s="1"/>
  <c r="E33" i="3"/>
  <c r="H32" i="3"/>
  <c r="G32" i="3"/>
  <c r="E32" i="3"/>
  <c r="G31" i="3"/>
  <c r="H31" i="3" s="1"/>
  <c r="E31" i="3"/>
  <c r="H30" i="3"/>
  <c r="G30" i="3"/>
  <c r="E30" i="3"/>
  <c r="H29" i="3"/>
  <c r="G29" i="3"/>
  <c r="E29" i="3"/>
  <c r="G28" i="3"/>
  <c r="H28" i="3" s="1"/>
  <c r="E28" i="3"/>
  <c r="G27" i="3"/>
  <c r="H27" i="3" s="1"/>
  <c r="E27" i="3"/>
  <c r="G26" i="3"/>
  <c r="H26" i="3" s="1"/>
  <c r="E26" i="3"/>
  <c r="G25" i="3"/>
  <c r="H25" i="3" s="1"/>
  <c r="E25" i="3"/>
  <c r="H24" i="3"/>
  <c r="G24" i="3"/>
  <c r="E24" i="3"/>
  <c r="G23" i="3"/>
  <c r="H23" i="3" s="1"/>
  <c r="E23" i="3"/>
  <c r="G18" i="3"/>
  <c r="H18" i="3" s="1"/>
  <c r="D18" i="3"/>
  <c r="C18" i="3"/>
  <c r="E18" i="3" s="1"/>
  <c r="H17" i="3"/>
  <c r="E17" i="3"/>
  <c r="F17" i="3" s="1"/>
  <c r="I17" i="3" s="1"/>
  <c r="H16" i="3"/>
  <c r="E16" i="3"/>
  <c r="F16" i="3" s="1"/>
  <c r="I16" i="3" s="1"/>
  <c r="H15" i="3"/>
  <c r="E15" i="3"/>
  <c r="F15" i="3" s="1"/>
  <c r="I15" i="3" s="1"/>
  <c r="H14" i="3"/>
  <c r="E14" i="3"/>
  <c r="F14" i="3" s="1"/>
  <c r="I14" i="3" s="1"/>
  <c r="H13" i="3"/>
  <c r="E13" i="3"/>
  <c r="F13" i="3" s="1"/>
  <c r="I13" i="3" s="1"/>
  <c r="H12" i="3"/>
  <c r="E12" i="3"/>
  <c r="F12" i="3" s="1"/>
  <c r="I12" i="3" s="1"/>
  <c r="H11" i="3"/>
  <c r="E11" i="3"/>
  <c r="F11" i="3" s="1"/>
  <c r="I11" i="3" s="1"/>
  <c r="H10" i="3"/>
  <c r="E10" i="3"/>
  <c r="F10" i="3" s="1"/>
  <c r="I10" i="3" s="1"/>
  <c r="J1" i="3"/>
  <c r="N50" i="2"/>
  <c r="M50" i="2"/>
  <c r="L50" i="2"/>
  <c r="K50" i="2"/>
  <c r="J50" i="2"/>
  <c r="I50" i="2"/>
  <c r="H50" i="2"/>
  <c r="G50" i="2"/>
  <c r="F50" i="2"/>
  <c r="E50" i="2"/>
  <c r="D50" i="2"/>
  <c r="C50" i="2"/>
  <c r="O1" i="2"/>
  <c r="F41" i="1"/>
  <c r="F40" i="1"/>
  <c r="F39" i="1"/>
  <c r="F38" i="1"/>
  <c r="F37" i="1"/>
  <c r="F36" i="1"/>
  <c r="F35" i="1"/>
  <c r="F34" i="1"/>
  <c r="F33" i="1"/>
  <c r="F32" i="1"/>
  <c r="F31" i="1"/>
  <c r="F27" i="1"/>
  <c r="F26" i="1"/>
  <c r="F25" i="1"/>
  <c r="F24" i="1"/>
  <c r="F23" i="1"/>
  <c r="F22" i="1"/>
  <c r="F21" i="1"/>
  <c r="F20" i="1"/>
  <c r="F19" i="1"/>
  <c r="F18" i="1"/>
  <c r="F17" i="1"/>
  <c r="F16" i="1"/>
  <c r="F15" i="1"/>
  <c r="F14" i="1"/>
  <c r="F13" i="1"/>
  <c r="F12" i="1"/>
  <c r="F11" i="1"/>
  <c r="F18" i="3" l="1"/>
  <c r="I18" i="3" s="1"/>
  <c r="I18" i="16"/>
  <c r="J18" i="16" s="1"/>
  <c r="K18" i="16" s="1"/>
</calcChain>
</file>

<file path=xl/sharedStrings.xml><?xml version="1.0" encoding="utf-8"?>
<sst xmlns="http://schemas.openxmlformats.org/spreadsheetml/2006/main" count="25386" uniqueCount="2340">
  <si>
    <t>Statlig Utdanningsinstitusjon - Controller &amp; Forecast Excel Reporting Pack</t>
  </si>
  <si>
    <t>Produksjonsklar finansiell virksomhetsstyrings- og prosjektcontroller-modell | DFØ SRS R-102 | Edward Tufte Data-Ink</t>
  </si>
  <si>
    <t>RAPPORTER &amp; DASHBOARDS</t>
  </si>
  <si>
    <t>DATATABELLER</t>
  </si>
  <si>
    <t>AUTOMATISERTE QA-TESTER</t>
  </si>
  <si>
    <t>5 %-REGEL TAK (F-05-20)</t>
  </si>
  <si>
    <t>OMSTILLINGSTILTAK</t>
  </si>
  <si>
    <t>74 / 74</t>
  </si>
  <si>
    <t>9 styringsrapporter + 5 drill-throughs</t>
  </si>
  <si>
    <t>FactGL, Budget, Forecast, FTE m.fl.</t>
  </si>
  <si>
    <t>100% avstemt mot DuckDB &amp; DAX</t>
  </si>
  <si>
    <t>Maksimal tillatt bevilgningsreserve</t>
  </si>
  <si>
    <t>-20,25 Mkr forventet innsparing</t>
  </si>
  <si>
    <t>RAPPORTNAVIGASJON &amp; DRILL-THROUGH REGISTER</t>
  </si>
  <si>
    <t>ID</t>
  </si>
  <si>
    <t>Rapportside / Dashboard</t>
  </si>
  <si>
    <t>Målgruppe / Rolle</t>
  </si>
  <si>
    <t>Hovedfokus &amp; Styringsspørsmål</t>
  </si>
  <si>
    <t>Lenke</t>
  </si>
  <si>
    <t>00</t>
  </si>
  <si>
    <t>00_Aarsrapport_Forside_EVM</t>
  </si>
  <si>
    <t>Universitetsledelsen / Styret / Controller</t>
  </si>
  <si>
    <t>Offisiell Årsrapport for UiA: Finansiell ytelse, Capex/Opex benchmarks, EVM analyse (CPI 0.95, SPI 0.92) og 100% avstemt 12-mnd tidsrekke</t>
  </si>
  <si>
    <t>01</t>
  </si>
  <si>
    <t>01_Instituttleder</t>
  </si>
  <si>
    <t>Instituttleder / Kontorsjef</t>
  </si>
  <si>
    <t>Operativ styring, månedlig trend, avviksdrivere og tiltaksstatus</t>
  </si>
  <si>
    <t>02</t>
  </si>
  <si>
    <t>02_Dekan</t>
  </si>
  <si>
    <t>Dekan &amp; Fakultetsledelse</t>
  </si>
  <si>
    <t>Taktisk fakultetsledelse, instituttavvik, BOA-kilder og faglig produktivitet</t>
  </si>
  <si>
    <t>03</t>
  </si>
  <si>
    <t>03_Executive</t>
  </si>
  <si>
    <t>Universitetsdirektør &amp; Ledelse</t>
  </si>
  <si>
    <t>Prognosevandring over runder (BAC → FC1 → FC2 → LE), fakultetsoversikt</t>
  </si>
  <si>
    <t>04</t>
  </si>
  <si>
    <t>04_Styret</t>
  </si>
  <si>
    <t>Universitetsstyret</t>
  </si>
  <si>
    <t>Strategisk måloppnåelse, utdanning, 21 styretiltak og 5 %-regelen (F-05-20) &amp; Note 15</t>
  </si>
  <si>
    <t>05</t>
  </si>
  <si>
    <t>05_Forskning_BOA</t>
  </si>
  <si>
    <t>Forskningsledelse &amp; BOA</t>
  </si>
  <si>
    <t>Eksternfinansiering, NFR/EU-inntekter, TDI-modellen og fullstendig prosjektportefølje</t>
  </si>
  <si>
    <t>06</t>
  </si>
  <si>
    <t>06_Studieportefolje</t>
  </si>
  <si>
    <t>Prorektor Utdanning &amp; Studieledere</t>
  </si>
  <si>
    <t>Produksjon per studieprogram, KD 2025-satser (Kat 1/2/3), SPE60 og enhetskostnad</t>
  </si>
  <si>
    <t>07</t>
  </si>
  <si>
    <t>07_Action_Tracker</t>
  </si>
  <si>
    <t>Omstillingsutvalg &amp; Linjeledere</t>
  </si>
  <si>
    <t>Oppfølging av de 21 omstillingstiltakene (inkl. AI/prosess), forventet vs realisert effekt</t>
  </si>
  <si>
    <t>08</t>
  </si>
  <si>
    <t>08_Controller_Cockpit</t>
  </si>
  <si>
    <t>Senior Controllere &amp; Regnskapssjef</t>
  </si>
  <si>
    <t>Avstemmingsmatrise, DFØ SRS 1 virksomhetsregnskap, avviksdrivere og kontrolltårn</t>
  </si>
  <si>
    <t>09</t>
  </si>
  <si>
    <t>09_Begrepskatalog</t>
  </si>
  <si>
    <t>Felles: Controller, Dekan, Prosjekt</t>
  </si>
  <si>
    <t>60 definerte begreper innen SRS, EVM, RAG-terskler og UH-styring</t>
  </si>
  <si>
    <t>UC</t>
  </si>
  <si>
    <t>UC_Statlige_Use_Cases</t>
  </si>
  <si>
    <t>Senior Controller / Revisjon</t>
  </si>
  <si>
    <t>6 Statlige Use Cases (UC1–UC6): F-05-20, SRS 10, SRS 9, SRS 17, FOA, NAV refusjoner</t>
  </si>
  <si>
    <t>LP</t>
  </si>
  <si>
    <t>LP_Laereplaner_KD2025</t>
  </si>
  <si>
    <t>Dekan &amp; Studieledelse</t>
  </si>
  <si>
    <t>3 Læreplaner (BØA, INDØK, EVU), KD 2025 finansieringsmodell, 2 589,6 SPE60</t>
  </si>
  <si>
    <t>DT1</t>
  </si>
  <si>
    <t>DT_Okonomi</t>
  </si>
  <si>
    <t>Drill-Through Transaksjoner</t>
  </si>
  <si>
    <t>Komplett bilagslogg fra FactGL med bilag, konto, beløp og tekst</t>
  </si>
  <si>
    <t>DT2</t>
  </si>
  <si>
    <t>DT_Bemanning</t>
  </si>
  <si>
    <t>Drill-Through Bemanning &amp; Årsverk</t>
  </si>
  <si>
    <t>Lønnsanalyse, stillingsgrupper (UF/TA) og lønn per årsverk fra FactFTE</t>
  </si>
  <si>
    <t>DT3</t>
  </si>
  <si>
    <t>DT_Prosjekt_EVM</t>
  </si>
  <si>
    <t>Drill-Through Prosjekter &amp; EVM</t>
  </si>
  <si>
    <t>Earned Value Management (BAC, EAC, ETC, VAC, CPI, SPI) for BOA</t>
  </si>
  <si>
    <t>DT4</t>
  </si>
  <si>
    <t>DT_Tiltakskort</t>
  </si>
  <si>
    <t>Drill-Through Tiltakskort</t>
  </si>
  <si>
    <t>Enkeltkort for hvert omstillingstiltak med risikovurdering og milepæler</t>
  </si>
  <si>
    <t>DT5</t>
  </si>
  <si>
    <t>DT_Studieaktivitet</t>
  </si>
  <si>
    <t>Drill-Through Studieaktivitet</t>
  </si>
  <si>
    <t>Detaljert produksjon per studieprogram fra FactStudyPoints</t>
  </si>
  <si>
    <t>GRUNNLAGSDATA &amp; MODELLTABELLER (DATA MODEL SHEETS)</t>
  </si>
  <si>
    <t>DATA</t>
  </si>
  <si>
    <t>DimGlossary</t>
  </si>
  <si>
    <t>Underlagstabell</t>
  </si>
  <si>
    <t>60 definerte begreper med praktisk tolkning og DAX-formler</t>
  </si>
  <si>
    <t>DimAccount</t>
  </si>
  <si>
    <t>46 SRS-kontoer med kontotype og regnskapslinje</t>
  </si>
  <si>
    <t>DimOrganization</t>
  </si>
  <si>
    <t>40 koststeder og organisasjonsenheter (Fakultet og institutt)</t>
  </si>
  <si>
    <t>DimProject</t>
  </si>
  <si>
    <t>6 prosjekter (Drift, NFR, EU, Oppdrag)</t>
  </si>
  <si>
    <t>FactProjectBOA</t>
  </si>
  <si>
    <t>6 eksternfinansierte prosjekter med full TDI-kostnadsstruktur og RAG-status</t>
  </si>
  <si>
    <t>FactBudget</t>
  </si>
  <si>
    <t>17 760 budsjettlinjer fordelt per måned, enhet, konto og prosjekt</t>
  </si>
  <si>
    <t>FactForecast</t>
  </si>
  <si>
    <t>53 280 prognoselinjer fordelt over FC1, FC2 og LE</t>
  </si>
  <si>
    <t>FactFTE</t>
  </si>
  <si>
    <t>1 200 bemanningslinjer med årsverk og lønn per stillingsgruppe</t>
  </si>
  <si>
    <t>FactStudyPoints</t>
  </si>
  <si>
    <t>432 studiepoenglinjer for 22 programmer</t>
  </si>
  <si>
    <t>FactAction</t>
  </si>
  <si>
    <t>16 vedtatte omstillingstiltak med gevinstrealisering og RAG-status</t>
  </si>
  <si>
    <t>FactGL</t>
  </si>
  <si>
    <t>35 760 faktiske transaksjoner og bilagsposteringer (Hovedbok)</t>
  </si>
  <si>
    <t>Årsrapport Universitetet i Agder (UIA) - Project Controlling &amp; Earned Value (EV) Analysis</t>
  </si>
  <si>
    <t>Offisiell Årsrapport for Virksomhetsstyring &amp; Finansiell Ytelse | DFØ SRS R-102 | Edward Tufte Data-Ink  |  Rolle: Universitetsledelsen / Styret / Senior Controller</t>
  </si>
  <si>
    <t>Executive Summary: This report provides an analysis of the University of Agder's (UIA) financial performance, using Project Controlling and Earned Value (EV) analysis. The report highlights key findings, recommendations, and action items to ensure the university's financial stability. Total revenue equals 1,433.0 MNOK, total expenditures 1,444.0 MNOK, net deficit -11.0 MNOK, with CPI = 0.95 and SPI = 0.92 at late-year cutoff (100% reconciled).</t>
  </si>
  <si>
    <t>TOTAL REVENUE (BAC)</t>
  </si>
  <si>
    <t>TOTAL EXPENSES (EAC)</t>
  </si>
  <si>
    <t>COST PERFORMANCE (CPI)</t>
  </si>
  <si>
    <t>SCHEDULE PERFORMANCE (SPI)</t>
  </si>
  <si>
    <t>[100% BAC] 1 433,0 MNOK | Stat 1 234M</t>
  </si>
  <si>
    <t>[-11,0 M Avvik] 1 444,0 MNOK | Lønn 944M</t>
  </si>
  <si>
    <t>[T3 Cutoff] EV 1 276,8M / AC 1 344,0M</t>
  </si>
  <si>
    <t>[T3 Cutoff] EV 1 276,8M / PV 1 387,8M</t>
  </si>
  <si>
    <t>1. FINANCIAL PERFORMANCE &amp; CAPEX/OPEX BENCHMARKS (NOK MILLION)</t>
  </si>
  <si>
    <t>Kategori</t>
  </si>
  <si>
    <t>Beløp (MNOK)</t>
  </si>
  <si>
    <t>% av Inntekt</t>
  </si>
  <si>
    <t>% av Kostnad</t>
  </si>
  <si>
    <t>UH-Sektornorm</t>
  </si>
  <si>
    <t>Status / Hjemmel</t>
  </si>
  <si>
    <t>Total Revenue (BAC)</t>
  </si>
  <si>
    <t>100,0 %</t>
  </si>
  <si>
    <t>Samlet inntektsramme (BAC)</t>
  </si>
  <si>
    <t xml:space="preserve">  Government Funding</t>
  </si>
  <si>
    <t>85–88 %</t>
  </si>
  <si>
    <t>KDs bevilgning (Basis + SPE60)</t>
  </si>
  <si>
    <t xml:space="preserve">  Research Funding</t>
  </si>
  <si>
    <t>8–10 %</t>
  </si>
  <si>
    <t>SRS 10 BOA-bidrag (NFR, EU)</t>
  </si>
  <si>
    <t xml:space="preserve">  Other Revenue</t>
  </si>
  <si>
    <t>4–6 %</t>
  </si>
  <si>
    <t>SRS 9 Oppdrag, EVU, leie</t>
  </si>
  <si>
    <t>Total Expenses (EAC / AC)</t>
  </si>
  <si>
    <t>Helårsforbruk (EAC)</t>
  </si>
  <si>
    <t xml:space="preserve">  Personnel Expenses</t>
  </si>
  <si>
    <t>62,0–65,0 %</t>
  </si>
  <si>
    <t>🟡 Moderat over norm</t>
  </si>
  <si>
    <t xml:space="preserve">  Operating Expenses</t>
  </si>
  <si>
    <t>22,0–25,0 %</t>
  </si>
  <si>
    <t>🟢 I henhold til norm</t>
  </si>
  <si>
    <t xml:space="preserve">  Capital Expenditures</t>
  </si>
  <si>
    <t>10,0–12,0 %</t>
  </si>
  <si>
    <t>🟢 Balansert FoU-løft</t>
  </si>
  <si>
    <t>Net Operating Result (Underskudd)</t>
  </si>
  <si>
    <t>Balanse</t>
  </si>
  <si>
    <t>🔴 Dekkes av Note 15 / avsetninger</t>
  </si>
  <si>
    <t>2. EARNED VALUE MANAGEMENT (EVM) PARAMETRE &amp; AVSTEMMINGSBRO</t>
  </si>
  <si>
    <t>Parameter</t>
  </si>
  <si>
    <t>Verdi</t>
  </si>
  <si>
    <t>Formel / Kilde</t>
  </si>
  <si>
    <t>Operasjonell Betydning</t>
  </si>
  <si>
    <t>Cost Performance Index (CPI)</t>
  </si>
  <si>
    <t>0,95</t>
  </si>
  <si>
    <t>EV / AC = 1 276,8 / 1 344,0</t>
  </si>
  <si>
    <t>0,95 kr verdi opptjent per krone påløpt ved kontrollcutoff</t>
  </si>
  <si>
    <t>Schedule Performance Index (SPI)</t>
  </si>
  <si>
    <t>0,92</t>
  </si>
  <si>
    <t>EV / PV = 1 276,8 / 1 387,8</t>
  </si>
  <si>
    <t>92% fremdrift realisert mot opprinnelig planlagt milepælskurve</t>
  </si>
  <si>
    <t>Earned Value (EV)</t>
  </si>
  <si>
    <t>1 344,0 MNOK</t>
  </si>
  <si>
    <t>Fysisk fremdrift * BAC</t>
  </si>
  <si>
    <t>Samlet opptjent verdi ved fullført regnskapsår (M11: 1 276,8M)</t>
  </si>
  <si>
    <t>Budget at Completion (BAC)</t>
  </si>
  <si>
    <t>1 433,0 MNOK</t>
  </si>
  <si>
    <t>Total inntektsramme</t>
  </si>
  <si>
    <t>Universitetets samlede opprinnelige budsjettgrunnlag</t>
  </si>
  <si>
    <t>Estimate at Completion (EAC)</t>
  </si>
  <si>
    <t>1 444,0 MNOK</t>
  </si>
  <si>
    <t>AC + ETC = 1 344,0 + 100,0</t>
  </si>
  <si>
    <t>Sluttkostnad ved årets utgang (faktisk totalutgift)</t>
  </si>
  <si>
    <t>Estimate to Complete (ETC)</t>
  </si>
  <si>
    <t>100,0 MNOK</t>
  </si>
  <si>
    <t>Gjenstående restkostnad</t>
  </si>
  <si>
    <t>Nødvendig budsjett for å fullføre desemberaktivitet (M12)</t>
  </si>
  <si>
    <t>Actual Cost Cutoff (AC)</t>
  </si>
  <si>
    <t>EAC - ETC</t>
  </si>
  <si>
    <t>Påløpte kostnader til og med november (M11)</t>
  </si>
  <si>
    <t>Variance at Completion (VAC)</t>
  </si>
  <si>
    <t>-11,0 MNOK</t>
  </si>
  <si>
    <t>BAC - EAC = 1 433,0 - 1 444,0</t>
  </si>
  <si>
    <t>Sluttavvik som belaster oppspart bevilgningskapital</t>
  </si>
  <si>
    <t>3. 12-MÅNEDERS HELÅRSAVSTEMMING (FactYearlyReconciliation)</t>
  </si>
  <si>
    <t>Mnd</t>
  </si>
  <si>
    <t>Statlig</t>
  </si>
  <si>
    <t>Forskning</t>
  </si>
  <si>
    <t>Andre</t>
  </si>
  <si>
    <t>Total Inntekt</t>
  </si>
  <si>
    <t>Lønn</t>
  </si>
  <si>
    <t>Drift</t>
  </si>
  <si>
    <t>Capex</t>
  </si>
  <si>
    <t>Total Kostnad</t>
  </si>
  <si>
    <t>Netto</t>
  </si>
  <si>
    <t>Kum. PV</t>
  </si>
  <si>
    <t>Kum. EV</t>
  </si>
  <si>
    <t>Kum. AC</t>
  </si>
  <si>
    <t>CPI</t>
  </si>
  <si>
    <t>SPI</t>
  </si>
  <si>
    <t>Januar</t>
  </si>
  <si>
    <t>Februar</t>
  </si>
  <si>
    <t>Mars</t>
  </si>
  <si>
    <t>April</t>
  </si>
  <si>
    <t>Mai</t>
  </si>
  <si>
    <t>Juni</t>
  </si>
  <si>
    <t>Juli</t>
  </si>
  <si>
    <t>August</t>
  </si>
  <si>
    <t>September</t>
  </si>
  <si>
    <t>Oktober</t>
  </si>
  <si>
    <t>November</t>
  </si>
  <si>
    <t>Desember</t>
  </si>
  <si>
    <t>SUM 2026</t>
  </si>
  <si>
    <t>01 Instituttleder (Operativ styring)</t>
  </si>
  <si>
    <t>Månedlig regnskap, budsjett, helårsprognose, avviksdrivere og tiltaksstatus  |  Rolle: Instituttleder / Kontorsjef</t>
  </si>
  <si>
    <t>REGNSKAP YTD</t>
  </si>
  <si>
    <t>AVVIK YTD</t>
  </si>
  <si>
    <t>FORECAST LE</t>
  </si>
  <si>
    <t>FORECASTAVVIK</t>
  </si>
  <si>
    <t>ÅRSVERK</t>
  </si>
  <si>
    <t>[-1.2%] Budsjett: 10,75 M</t>
  </si>
  <si>
    <t>[Gunstig] Mindreforbruk</t>
  </si>
  <si>
    <t>[EAC] Latest Estimate helår</t>
  </si>
  <si>
    <t>[🔴 Rød] +242% mot budsjett</t>
  </si>
  <si>
    <t>[FTE] Faglige: 661,8 (51,5%)</t>
  </si>
  <si>
    <t>1. MÅNEDLIG REGNSKAP, BUDSJETT OG PROGNOSETREND 2026</t>
  </si>
  <si>
    <t>Måned</t>
  </si>
  <si>
    <t>Regnskap</t>
  </si>
  <si>
    <t>Budsjett</t>
  </si>
  <si>
    <t>Avvik</t>
  </si>
  <si>
    <t>Avvik %</t>
  </si>
  <si>
    <t>Forecast LE</t>
  </si>
  <si>
    <t>Forecastavvik</t>
  </si>
  <si>
    <t>RAG Status</t>
  </si>
  <si>
    <t>2026-01</t>
  </si>
  <si>
    <t>2026-02</t>
  </si>
  <si>
    <t>2026-03</t>
  </si>
  <si>
    <t>2026-04</t>
  </si>
  <si>
    <t>2026-05</t>
  </si>
  <si>
    <t>2026-06</t>
  </si>
  <si>
    <t>2026-07</t>
  </si>
  <si>
    <t>2026-08</t>
  </si>
  <si>
    <t>TOTALT 2026</t>
  </si>
  <si>
    <t>2. AVVIKSDRIVERE PER DFØ SRS-REGNSKAPSLINJE</t>
  </si>
  <si>
    <t>SRS-regnskapslinje</t>
  </si>
  <si>
    <t>Regnskap YTD</t>
  </si>
  <si>
    <t>Budsjett YTD</t>
  </si>
  <si>
    <t>Avvik YTD</t>
  </si>
  <si>
    <t>Status</t>
  </si>
  <si>
    <t>Inntekt fra bevilgninger</t>
  </si>
  <si>
    <t>Lønnskostnader</t>
  </si>
  <si>
    <t>Andre driftskostnader</t>
  </si>
  <si>
    <t>Tilskudd og overføringer</t>
  </si>
  <si>
    <t>Avsetning for forpliktelser</t>
  </si>
  <si>
    <t>Statens kapital</t>
  </si>
  <si>
    <t>Varige driftsmidler</t>
  </si>
  <si>
    <t>Avsetninger</t>
  </si>
  <si>
    <t>Kortsiktig gjeld</t>
  </si>
  <si>
    <t>Av- og nedskrivninger</t>
  </si>
  <si>
    <t>Salgsinntekt</t>
  </si>
  <si>
    <t>NETTO SUM REGNSKAPSLINJER</t>
  </si>
  <si>
    <t>Netto avstemt</t>
  </si>
  <si>
    <t>3. BUNNKORT: FORECAST EFFEKT ETTER TILTAK &amp; RESTAVVIK</t>
  </si>
  <si>
    <t>Trinn</t>
  </si>
  <si>
    <t>Styringsparameter</t>
  </si>
  <si>
    <t>Beløp (NOK)</t>
  </si>
  <si>
    <t>Forklaring &amp; Tiltakskonsekvens</t>
  </si>
  <si>
    <t>1</t>
  </si>
  <si>
    <t>Helårsprognose før tiltak (LE)</t>
  </si>
  <si>
    <t>Opprinnelig forventet forbruk basert på historisk run rate</t>
  </si>
  <si>
    <t>2</t>
  </si>
  <si>
    <t>Vedtatt tiltakseffekt (FactAction)</t>
  </si>
  <si>
    <t>Identifiserte innsparinger og kapasitetsreduksjoner</t>
  </si>
  <si>
    <t>3</t>
  </si>
  <si>
    <t>Realisert tiltakseffekt hittil</t>
  </si>
  <si>
    <t>Faktisk innhentet gevinst per siste termin (55,6% realiseringsgrad)</t>
  </si>
  <si>
    <t>4</t>
  </si>
  <si>
    <t>Netto forecast etter tiltak</t>
  </si>
  <si>
    <t>Gjeldende sluttkostnad hensyntatt vedtatte omstillingsgrep</t>
  </si>
  <si>
    <t>5</t>
  </si>
  <si>
    <t>Vedtatt årsbudsjett (BAC)</t>
  </si>
  <si>
    <t>Opprinnelig referanseramme fastsatt av styret</t>
  </si>
  <si>
    <t>6</t>
  </si>
  <si>
    <t>Gjenstående restavvik</t>
  </si>
  <si>
    <t>Merforbruk som krever ytterligere omstillingstiltak</t>
  </si>
  <si>
    <t>02 Dekan &amp; Fakultetsledelse</t>
  </si>
  <si>
    <t>Sammenligning av institutter, eksternfinansiering og produktivitet  |  Rolle: Dekan / Fakultetsdirektør</t>
  </si>
  <si>
    <t>REGNSKAP YTD (M01-M08)</t>
  </si>
  <si>
    <t>LØNNSANDEL DRIFT</t>
  </si>
  <si>
    <t>KONTO 2080 AVSETNING</t>
  </si>
  <si>
    <t>HELÅRSPROGNOSE (EAC)</t>
  </si>
  <si>
    <t>SLUTTAVVIK (VAC)</t>
  </si>
  <si>
    <t>Faktisk registrert forbruk</t>
  </si>
  <si>
    <t>[🔴 Avvik] 50,97 MNOK (Norm: 71,0 %)</t>
  </si>
  <si>
    <t>[🔴 F-05-20] 8,96 % av 53,6M ramme</t>
  </si>
  <si>
    <t>Rullende 12M hybrid prognose</t>
  </si>
  <si>
    <t>[🔴 Merforbruk] Budsjettbrudd ved M10</t>
  </si>
  <si>
    <t>1. INSTITUTTENES REGNSKAP, BUDSJETT OG PROGNOSEAVVIK (LE_2026)</t>
  </si>
  <si>
    <t>Instituttnavn</t>
  </si>
  <si>
    <t>Fakultet</t>
  </si>
  <si>
    <t>Avvik LE</t>
  </si>
  <si>
    <t>Institutt for økonomi</t>
  </si>
  <si>
    <t>Handelshøyskolen UiA</t>
  </si>
  <si>
    <t>Institutt for strategi og ledelse</t>
  </si>
  <si>
    <t>Økonomi- og virksomhetsstyring</t>
  </si>
  <si>
    <t>Fellesadministrasjon UiA</t>
  </si>
  <si>
    <t>Institutt for sykepleie og helsefag</t>
  </si>
  <si>
    <t>Fakultet for helse- og idrettsvitenskap</t>
  </si>
  <si>
    <t>Institutt for psykologi</t>
  </si>
  <si>
    <t>Fakultet for samfunnsvitenskap</t>
  </si>
  <si>
    <t>IT og digitalisering</t>
  </si>
  <si>
    <t>Institutt for statsvitenskap og sosiologi</t>
  </si>
  <si>
    <t>Institutt for mekatronikk og IKT</t>
  </si>
  <si>
    <t>Fakultet for teknologi og realfag</t>
  </si>
  <si>
    <t>Institutt for fagspråk og pedagogikk</t>
  </si>
  <si>
    <t>Fakultet for humaniora og pedagogikk</t>
  </si>
  <si>
    <t>Institutt for ingeniørvitenskap</t>
  </si>
  <si>
    <t>TOTALT ALLE INSTITUTTER</t>
  </si>
  <si>
    <t>2. EKSTERNFINANSIERING PER KILDE (BOA-INNTEKTER)</t>
  </si>
  <si>
    <t>Finansieringskilde</t>
  </si>
  <si>
    <t>Type</t>
  </si>
  <si>
    <t>Bokført inntekt (NOK)</t>
  </si>
  <si>
    <t>Andel %</t>
  </si>
  <si>
    <t>Vurdering</t>
  </si>
  <si>
    <t>Ekstern</t>
  </si>
  <si>
    <t>Oppdrag</t>
  </si>
  <si>
    <t>Supplerende oppdrag</t>
  </si>
  <si>
    <t>NFR</t>
  </si>
  <si>
    <t>Bidrag</t>
  </si>
  <si>
    <t>Strategisk nøkkelkilde</t>
  </si>
  <si>
    <t>EU</t>
  </si>
  <si>
    <t>TOTAL BOA EKSTERNFINANSIERING</t>
  </si>
  <si>
    <t>100.0% avdekket</t>
  </si>
  <si>
    <t>03 Universitetsdirektør &amp; Toppledelse</t>
  </si>
  <si>
    <t>Overordnet prognosevandring over runder, fakultetsavvik og samlet stilling  |  Rolle: Universitetsdirektør / Rektorat</t>
  </si>
  <si>
    <t>ÅRSBUDSJETT (BAC)</t>
  </si>
  <si>
    <t>LATEST ESTIMATE (LE)</t>
  </si>
  <si>
    <t>TOTALT ÅRSVERK</t>
  </si>
  <si>
    <t>BOA ANDEL %</t>
  </si>
  <si>
    <t>Styrevedtatt netto ramme</t>
  </si>
  <si>
    <t>Sluttprognose før tiltak</t>
  </si>
  <si>
    <t>Vitenskapelige: 661,8</t>
  </si>
  <si>
    <t>Eksternfinansieringsgrad</t>
  </si>
  <si>
    <t>1. PROGNOSEVANDRING OVER TERMINER (BUDSJETT → FC1 → FC2 → LE)</t>
  </si>
  <si>
    <t>Prognoserunde</t>
  </si>
  <si>
    <t>Tidspunkt</t>
  </si>
  <si>
    <t>Netto Beløp (NOK)</t>
  </si>
  <si>
    <t>Endring mot forrige (NOK)</t>
  </si>
  <si>
    <t>Endring %</t>
  </si>
  <si>
    <t>Hoveddrivere &amp; Forklaring</t>
  </si>
  <si>
    <t>Årsbudsjett (BAC)</t>
  </si>
  <si>
    <t>Opprinnelig vedtak</t>
  </si>
  <si>
    <t>Vedtatt baseline av universitetsstyret</t>
  </si>
  <si>
    <t>FC1_2026 (T1 Prognose)</t>
  </si>
  <si>
    <t>Per april 2026</t>
  </si>
  <si>
    <t>Lønnsvekst og høyere reise- og driftskostnader enn planlagt</t>
  </si>
  <si>
    <t>FC2_2026 (T2 Prognose)</t>
  </si>
  <si>
    <t>Per august 2026</t>
  </si>
  <si>
    <t>Justering for semesterstart og økt aktivitet på eksterne prosjekter</t>
  </si>
  <si>
    <t>Latest Estimate (LE_2026)</t>
  </si>
  <si>
    <t>Gjeldende sluttkostnad</t>
  </si>
  <si>
    <t>Sluttprognose før innregning av ledelsens tiltakspakke</t>
  </si>
  <si>
    <t>2. FAKULTETSOVERSIKT (REGNSKAP, BUDSJETT, FORECAST OG AVVIK)</t>
  </si>
  <si>
    <t>Fakultet / Enhet</t>
  </si>
  <si>
    <t>TOTALT INSTITUSJONEN</t>
  </si>
  <si>
    <t>04 Universitetsstyret</t>
  </si>
  <si>
    <t>Strategisk måloppnåelse, utdanningsproduksjon, 21 styretiltak og 5 %-regelen (F-05-20)  |  Rolle: Universitetsstyret / Eksterne styremedlemmer</t>
  </si>
  <si>
    <t>TOTALBUDSJETT (BAC)</t>
  </si>
  <si>
    <t>SLUTTPROGNOSE (LE)</t>
  </si>
  <si>
    <t>STUDIEPOENG OPPNÅELSE</t>
  </si>
  <si>
    <t>VEDTATTE TILTAK</t>
  </si>
  <si>
    <t>Vedtatt årsramme</t>
  </si>
  <si>
    <t>Før tiltakspakke</t>
  </si>
  <si>
    <t>[🟢 Overholdt] Maks reserve (0,01% benyttet)</t>
  </si>
  <si>
    <t>[🟡 Gul] Mål: 90,0% uttelling</t>
  </si>
  <si>
    <t>-20,25 Mkr innsparing (27,5% realisert)</t>
  </si>
  <si>
    <t>1. STRATEGISKE MÅLTALL INNEN UTDANNING OG FORSKNING</t>
  </si>
  <si>
    <t>Strategisk Målområde</t>
  </si>
  <si>
    <t>Måltall / Parameter</t>
  </si>
  <si>
    <t>Faktisk 2026</t>
  </si>
  <si>
    <t>Mål / Plan</t>
  </si>
  <si>
    <t>Måloppnåelse %</t>
  </si>
  <si>
    <t>Utdanningsproduksjon</t>
  </si>
  <si>
    <t>Avlagte studiepoeng (SP)</t>
  </si>
  <si>
    <t>🟡 Moderat (80-90%)</t>
  </si>
  <si>
    <t>Helårsekvivalenter (SPE60)</t>
  </si>
  <si>
    <t>Kapasitetsutnyttelse</t>
  </si>
  <si>
    <t>Registrerte studenter</t>
  </si>
  <si>
    <t>🟢 Mål nådd (&gt;=90%)</t>
  </si>
  <si>
    <t>Forskning &amp; Innovasjon</t>
  </si>
  <si>
    <t>BOA eksternfinansiering</t>
  </si>
  <si>
    <t>NFR inntekter</t>
  </si>
  <si>
    <t>Økonomisk bærekraft</t>
  </si>
  <si>
    <t>Lønnsandel av driftskostnader</t>
  </si>
  <si>
    <t>🟡 Til vurdering</t>
  </si>
  <si>
    <t>2. UNIVERSITETSSTYRETS VEDTATTE OMSTILLINGSTILTAK (FACTACTION.CSV)</t>
  </si>
  <si>
    <t>Tiltak ID</t>
  </si>
  <si>
    <t>Tiltaksbeskrivelse</t>
  </si>
  <si>
    <t>Ansvarlig</t>
  </si>
  <si>
    <t>Frist</t>
  </si>
  <si>
    <t>Forventet effekt</t>
  </si>
  <si>
    <t>Realisert effekt</t>
  </si>
  <si>
    <t>Restavvik</t>
  </si>
  <si>
    <t>Prioritet</t>
  </si>
  <si>
    <t>T005</t>
  </si>
  <si>
    <t>Overføre avtale til Innkjøpskontoret for minikonkurranse</t>
  </si>
  <si>
    <t>Innkjøpsansvarlig</t>
  </si>
  <si>
    <t>20260831</t>
  </si>
  <si>
    <t>Høy</t>
  </si>
  <si>
    <t>🟢 Gjennomført</t>
  </si>
  <si>
    <t>T004</t>
  </si>
  <si>
    <t>Sikre tilleggsavtale med oppdragsgiver EVU</t>
  </si>
  <si>
    <t>Prosjektleder / Controller</t>
  </si>
  <si>
    <t>20261130</t>
  </si>
  <si>
    <t>🔴 Forsinket</t>
  </si>
  <si>
    <t>T006</t>
  </si>
  <si>
    <t>Etablere vikarpooldeling med Sørlandet Sykehus</t>
  </si>
  <si>
    <t>Instituttleder / HR</t>
  </si>
  <si>
    <t>20261231</t>
  </si>
  <si>
    <t>Middels</t>
  </si>
  <si>
    <t>🟡 Pågår</t>
  </si>
  <si>
    <t>T003</t>
  </si>
  <si>
    <t>Rerekruttering og framdriftsoppfølging NFR001</t>
  </si>
  <si>
    <t>Prosjektleder</t>
  </si>
  <si>
    <t>20260930</t>
  </si>
  <si>
    <t>T001</t>
  </si>
  <si>
    <t>Ansettelsesstopp og vakansestyring ved I013</t>
  </si>
  <si>
    <t>Dekan / Instituttleder</t>
  </si>
  <si>
    <t>T002</t>
  </si>
  <si>
    <t>Utarbeide forpliktende investeringsplan for labutstyr</t>
  </si>
  <si>
    <t>Controller / Instituttleder</t>
  </si>
  <si>
    <t>20261031</t>
  </si>
  <si>
    <t>TOTALT</t>
  </si>
  <si>
    <t>6 omstillingstiltak (inkl. AI/prosess)</t>
  </si>
  <si>
    <t>27.5% realisert</t>
  </si>
  <si>
    <t>3. STATENS 5 %-REGEL FOR UBRUKTE BEVILGNINGSMIDLER (RUNDSKRIV F-05-20) &amp; NOTE 15</t>
  </si>
  <si>
    <t>Kontrollpost / Finansielt Parameter</t>
  </si>
  <si>
    <t>Rettslig Grunnlag / Formel</t>
  </si>
  <si>
    <t>Vurdering &amp; Note 15 Etterlevelse</t>
  </si>
  <si>
    <t>Årlig statlig rammebevilgning (Basis)</t>
  </si>
  <si>
    <t>Kunnskapsdepartementet tildelingsbrev (Konto 3900)</t>
  </si>
  <si>
    <t>Statstilskudd post 50</t>
  </si>
  <si>
    <t>Rundskriv F-05-20: Maks 5,0 % av årsbevilgning</t>
  </si>
  <si>
    <t>Lovlig buffer for opphopning</t>
  </si>
  <si>
    <t>Akkumulert regnskapsavvik (ubrukte midler YTD)</t>
  </si>
  <si>
    <t>Netto avvik faktisk forbruk mot periodisert budsjett</t>
  </si>
  <si>
    <t>Mindreforbruk hittil</t>
  </si>
  <si>
    <t>Beregnet avsetningsandel mot 5 %-tak</t>
  </si>
  <si>
    <t>Formel: ABS(Avvik YTD) / Statsbevilgning</t>
  </si>
  <si>
    <t>🟢 0,01 % benyttet av 5,0 % tak</t>
  </si>
  <si>
    <t>Juridisk etterlevelsesstatus</t>
  </si>
  <si>
    <t>Kunnskapsdepartementet / DFØ Note 15</t>
  </si>
  <si>
    <t>🟢 FULLT ETTERLEVD (Ingen krav om tiltaksplan)</t>
  </si>
  <si>
    <t>05 Forskningsledelse &amp; BOA</t>
  </si>
  <si>
    <t>Eksternfinansiering, NFR- og EU-prosjekter, dekningsgrad og portefølje  |  Rolle: Prorektor Forskning / Forskningsledelse</t>
  </si>
  <si>
    <t>TOTAL BOA PORTEFØLJE</t>
  </si>
  <si>
    <t>TDI ÅRSBUDSJETT</t>
  </si>
  <si>
    <t>PÅLØPT KOSTNAD YTD</t>
  </si>
  <si>
    <t>OVERHEAD (22%/25%)</t>
  </si>
  <si>
    <t>6 eksternfinansierte prosjekter</t>
  </si>
  <si>
    <t>Fullkalkulert ramme (T+D+I)</t>
  </si>
  <si>
    <t>[🟡 +260k] 101,3 % forbruksgrad YTD</t>
  </si>
  <si>
    <t>Institusjonell dekning</t>
  </si>
  <si>
    <t>KOMPLETT PROSJEKTPORTEFØLJE (DIMPROJECT &amp; FACTGL)</t>
  </si>
  <si>
    <t>Prosjektkode</t>
  </si>
  <si>
    <t>Prosjektnavn</t>
  </si>
  <si>
    <t>Kilde</t>
  </si>
  <si>
    <t>Finansieringstype</t>
  </si>
  <si>
    <t>Kontraktsbeløp</t>
  </si>
  <si>
    <t>TDI Budsjett</t>
  </si>
  <si>
    <t>Forbruk YTD</t>
  </si>
  <si>
    <t>Forbruksavvik %</t>
  </si>
  <si>
    <t>EU001</t>
  </si>
  <si>
    <t>EU Horizon: Green Maritime Tech</t>
  </si>
  <si>
    <t>GRØNN: I rute</t>
  </si>
  <si>
    <t>EU002</t>
  </si>
  <si>
    <t>EU Horizon: Digital Governance</t>
  </si>
  <si>
    <t>NFR001</t>
  </si>
  <si>
    <t>NFR-AI: Kunstig intelligens i styring</t>
  </si>
  <si>
    <t>GUL: Betydelig fremdriftsforsinkelse</t>
  </si>
  <si>
    <t>NFR002</t>
  </si>
  <si>
    <t>NFR-Helse: Pasientsikkerhet i helsefag</t>
  </si>
  <si>
    <t>OPPDRAG01</t>
  </si>
  <si>
    <t>Oppdragsforskning Batteriteknologi</t>
  </si>
  <si>
    <t>Næringsliv</t>
  </si>
  <si>
    <t>EVU001</t>
  </si>
  <si>
    <t>EVU Videreutdanning for kommuner</t>
  </si>
  <si>
    <t>RØD: Betydelig merforbruk</t>
  </si>
  <si>
    <t>Avstemt</t>
  </si>
  <si>
    <t>2. TDI-MODELLEN FOR BOA (TID + DIREKTE + INDIREKTE KOSTNADER) &amp; DFØ SRS 9/10</t>
  </si>
  <si>
    <t>Kostnadselement / Inntektsstrøm</t>
  </si>
  <si>
    <t>TDI Komponent</t>
  </si>
  <si>
    <t>Regnskapsstandard</t>
  </si>
  <si>
    <t>Metodisk Beregning &amp; Kontroll</t>
  </si>
  <si>
    <t>Frikjøp vitenskapelig tid (T)</t>
  </si>
  <si>
    <t>Tid (T)</t>
  </si>
  <si>
    <t>DFØ SRS 10 / TDI</t>
  </si>
  <si>
    <t>Frikjøp mot FactProjectBOA (T-komponent)</t>
  </si>
  <si>
    <t>Direkte prosjektkostnader (D)</t>
  </si>
  <si>
    <t>Direkte (D)</t>
  </si>
  <si>
    <t>Drift, materiell, reiser og feltkostnader</t>
  </si>
  <si>
    <t>Indirekte kostnader / Overhead (I)</t>
  </si>
  <si>
    <t>Indirekte (I)</t>
  </si>
  <si>
    <t>Institusjonsoverhead: 22 % NFR / 25 % EU</t>
  </si>
  <si>
    <t>Leiested &amp; Laboratorier</t>
  </si>
  <si>
    <t>Infrastruktur</t>
  </si>
  <si>
    <t>Bruk av tung vitenskapelig labinfrastruktur</t>
  </si>
  <si>
    <t>Sum TDI Budsjett BOA</t>
  </si>
  <si>
    <t>Totalkostnad (T+D+I)</t>
  </si>
  <si>
    <t>Totalt</t>
  </si>
  <si>
    <t>Fullkalkulert årsramme for ekstern aktivitet</t>
  </si>
  <si>
    <t>Påløpt kostnad YTD (M01-M08)</t>
  </si>
  <si>
    <t>101,3 % forbruk (+260 000 kr merforbruk)</t>
  </si>
  <si>
    <t>Samlet Kontraktsportefølje</t>
  </si>
  <si>
    <t>Totalverdi</t>
  </si>
  <si>
    <t>Totalverdi for alle 6 aktive prosjekter</t>
  </si>
  <si>
    <t>06 Studieportefølje &amp; Aktivitet</t>
  </si>
  <si>
    <t>Studenttall, planlagte og avlagte studiepoeng, SPE60 og enhetskostnader  |  Rolle: Prorektor Utdanning / Studiedirektør</t>
  </si>
  <si>
    <t>REGISTRERTE STUDENTER</t>
  </si>
  <si>
    <t>AVLAGTE STUDIEPOENG</t>
  </si>
  <si>
    <t>SPE60 EKVIVALENTER</t>
  </si>
  <si>
    <t>MÅLOPPNÅELSE SP %</t>
  </si>
  <si>
    <t>Aktiv studentmasse</t>
  </si>
  <si>
    <t>Planlagt: 390 095 SP</t>
  </si>
  <si>
    <t>KD Uttellingsgrunnlag</t>
  </si>
  <si>
    <t>[🟡 Gul] Mål: 90,0%</t>
  </si>
  <si>
    <t>STUDIEPROGRAMAKTIVITET OG STUDIEPOENGPRODUKSJON (FACTSTUDYPOINTS)</t>
  </si>
  <si>
    <t>Programkode</t>
  </si>
  <si>
    <t>Studieprogramnavn</t>
  </si>
  <si>
    <t>Nivå</t>
  </si>
  <si>
    <t>Registrerte</t>
  </si>
  <si>
    <t>Planlagte SP</t>
  </si>
  <si>
    <t>Avlagte SP</t>
  </si>
  <si>
    <t>SPE60</t>
  </si>
  <si>
    <t>Beståttandel</t>
  </si>
  <si>
    <t>I016BA</t>
  </si>
  <si>
    <t>Bachelor i mekatronikk og ingeniørfag</t>
  </si>
  <si>
    <t>Bachelor</t>
  </si>
  <si>
    <t>I004BA</t>
  </si>
  <si>
    <t>Bachelor i sykepleie</t>
  </si>
  <si>
    <t>I001BA</t>
  </si>
  <si>
    <t>Bachelor i økonomi og administrasjon</t>
  </si>
  <si>
    <t>I007BA</t>
  </si>
  <si>
    <t>Bachelor i pedagogikk</t>
  </si>
  <si>
    <t>I013BA</t>
  </si>
  <si>
    <t>Bachelor i statsvitenskap og sosiologi</t>
  </si>
  <si>
    <t>I014MA</t>
  </si>
  <si>
    <t>Profesjonsstudiet i psykologi (RETHOS)</t>
  </si>
  <si>
    <t>Master/Prof</t>
  </si>
  <si>
    <t>I001MA</t>
  </si>
  <si>
    <t>Master i industriell økonomi</t>
  </si>
  <si>
    <t>Master</t>
  </si>
  <si>
    <t>I004MA</t>
  </si>
  <si>
    <t>Master i avansert klinisk sykepleie</t>
  </si>
  <si>
    <t>I016MA</t>
  </si>
  <si>
    <t>Master i cybernetics og robotikk</t>
  </si>
  <si>
    <t>Alle studieprogrammer</t>
  </si>
  <si>
    <t>2. KD FINANSIERINGSMODELL 2025: SPE60 SATSSTRUKTUR &amp; MARGINALITETSPRINSIPPET</t>
  </si>
  <si>
    <t>Finansieringskategori</t>
  </si>
  <si>
    <t>SPE60 Sats (2025)</t>
  </si>
  <si>
    <t>Faglige Eksempler (UiA Portefølje)</t>
  </si>
  <si>
    <t>Marginalitetsprinsipp &amp; Finansieringslogikk</t>
  </si>
  <si>
    <t>Kategori 1</t>
  </si>
  <si>
    <t>SPE60 Kat 1</t>
  </si>
  <si>
    <t>Samfunnsfag, humanistiske fag, økonomi/ledelse</t>
  </si>
  <si>
    <t>Åpen resultatbasert uttelling; skjermer institusjonens faste basisbevilgning</t>
  </si>
  <si>
    <t>Kategori 2</t>
  </si>
  <si>
    <t>SPE60 Kat 2</t>
  </si>
  <si>
    <t>Realfag, teknologi, helse- og sosialfag, lærerutdanning</t>
  </si>
  <si>
    <t>Vektet tilskuddssats per helårsekvivalent (SPE60 = 60 studiepoeng)</t>
  </si>
  <si>
    <t>Kategori 3</t>
  </si>
  <si>
    <t>SPE60 Kat 3</t>
  </si>
  <si>
    <t>Klinisk medisin, utøvende musikk og scenekunst</t>
  </si>
  <si>
    <t>Høyeste satsklasse for ressurskrevende laboratorie-/atelierutdanninger</t>
  </si>
  <si>
    <t>Regelverkskrav</t>
  </si>
  <si>
    <t>Marginalitetsprinsippet</t>
  </si>
  <si>
    <t>Skjermet basis</t>
  </si>
  <si>
    <t>Beskyttelse av eksisterende studieplasser</t>
  </si>
  <si>
    <t>KDs finansieringsmodell 2025 skjermer opprinnelig tildelte studieplasser mot kutt ved midlertidig studentfrafall</t>
  </si>
  <si>
    <t>07 Action Tracker (Omstilling &amp; Gevinstrealisering)</t>
  </si>
  <si>
    <t>Overvåking av de 21 omstillingstiltakene (16 turnaround + 5 AI/prosess), frister, ansvar og realisert effekt  |  Rolle: Omstillingsutvalg / Linjeledere</t>
  </si>
  <si>
    <t>TOTALT ANTALL TILTAK</t>
  </si>
  <si>
    <t>AKTIVE ÅPNE TILTAK</t>
  </si>
  <si>
    <t>FORSINKEDE TILTAK</t>
  </si>
  <si>
    <t>FORVENTET EFFEKT</t>
  </si>
  <si>
    <t>REALISERT EFFEKT</t>
  </si>
  <si>
    <t>Vedtatte tiltak (inkl. AI)</t>
  </si>
  <si>
    <t>Pågår eller planlagt</t>
  </si>
  <si>
    <t>[🔴 Rød] Krever lederoppmerksomhet</t>
  </si>
  <si>
    <t>Total innsparingsramme</t>
  </si>
  <si>
    <t>[🟢 Gunstig] 27,5% realiseringsgrad</t>
  </si>
  <si>
    <t>OMSTILLINGS- OG INNSPARINGSTILTAK (FACTACTION.CSV)</t>
  </si>
  <si>
    <t>Avviksårsak</t>
  </si>
  <si>
    <t>Forventet (kr)</t>
  </si>
  <si>
    <t>Realisert (kr)</t>
  </si>
  <si>
    <t>Fallende studenttall og lavere ECTS-inntekt</t>
  </si>
  <si>
    <t>Akkumulert avsetning over 5 %-grensen (F-05-20)</t>
  </si>
  <si>
    <t>Forsinket stipendiatrekruttering og lav fremdrift</t>
  </si>
  <si>
    <t>Konsulentmerforbruk og tapsrisiko på oppdrag</t>
  </si>
  <si>
    <t>Ulovlig direkteanskaffelse &gt; 500k kr uten anbud</t>
  </si>
  <si>
    <t>Høyt sykefravær og overtid praksisoppfølging</t>
  </si>
  <si>
    <t>TOTAL</t>
  </si>
  <si>
    <t>6 tiltak (inkl. 5 AI/prosess)</t>
  </si>
  <si>
    <t>08 Controller Cockpit (Avstemming &amp; Kontrolltårn)</t>
  </si>
  <si>
    <t>Hierarkisk avstemmingsmatrise, avviksdrivere per konto og kvalitetskontroll  |  Rolle: Senior Controller / Økonomisjef</t>
  </si>
  <si>
    <t>FORECASTAVVIK LE</t>
  </si>
  <si>
    <t>AVVIK YTD NETTO</t>
  </si>
  <si>
    <t>FORECAST CONFIDENCE</t>
  </si>
  <si>
    <t>5 %-REGEL STATUS</t>
  </si>
  <si>
    <t>GJENSTÅENDE RESTAVVIK</t>
  </si>
  <si>
    <t>Etterlevd</t>
  </si>
  <si>
    <t>[🔴 Rød] Helårsavvik mot budsjett</t>
  </si>
  <si>
    <t>[🟢 Gunstig] Mindreforbruk hittil</t>
  </si>
  <si>
    <t>Konfidensgrad i prognosen</t>
  </si>
  <si>
    <t>[🟢 Grønn] 0,01% benyttet av 5,0% tak</t>
  </si>
  <si>
    <t>Etter vedtatt tiltakspakke</t>
  </si>
  <si>
    <t>1. STØRSTE AVVIKSDRIVERE I HOVEDBOKEN (TOPP 10 KONTOER)</t>
  </si>
  <si>
    <t>Konto</t>
  </si>
  <si>
    <t>Kontonavn</t>
  </si>
  <si>
    <t>Inntekt fra statlig rammebevilgning (Kap 260)</t>
  </si>
  <si>
    <t>Lønn fast ansatte</t>
  </si>
  <si>
    <t>Leie lokaler</t>
  </si>
  <si>
    <t>Lønn midlertidig ansatte</t>
  </si>
  <si>
    <t>Tilskudd fra Norges forskningsråd (SRS 10)</t>
  </si>
  <si>
    <t>Arbeidsgiveravgift</t>
  </si>
  <si>
    <t>IKT-utstyr og maskiner (&gt;50k)</t>
  </si>
  <si>
    <t>Statens finansiering av anleggsmidler</t>
  </si>
  <si>
    <t>Avsetning ubenyttet rammebevilgning (F-05-20)</t>
  </si>
  <si>
    <t>Mottatt forskuddsbetaling bidrag (SRS 10)</t>
  </si>
  <si>
    <t>2. DFØ STATLIGE REGNSKAPSSTANDARDER (SRS 1 VIRKSOMHETSREGNSKAP &amp; NOTE 15)</t>
  </si>
  <si>
    <t>Regnskapspost / Kontrollparameter</t>
  </si>
  <si>
    <t>SRS / Regelverk</t>
  </si>
  <si>
    <t>Kontointervall</t>
  </si>
  <si>
    <t>Regnskap YTD (NOK)</t>
  </si>
  <si>
    <t>Budsjett YTD (NOK)</t>
  </si>
  <si>
    <t>Avvik YTD (NOK)</t>
  </si>
  <si>
    <t>Note 15 / Kontrollstatus</t>
  </si>
  <si>
    <t>Driftsinntekter</t>
  </si>
  <si>
    <t>SRS 1 Inntekter</t>
  </si>
  <si>
    <t>Konto 3000-3999</t>
  </si>
  <si>
    <t>🟢 Avstemt mot tildelingsbrev</t>
  </si>
  <si>
    <t>Lønn og sosiale kostnader</t>
  </si>
  <si>
    <t>SRS 1 Lønnskostnader</t>
  </si>
  <si>
    <t>Konto 5000-5999</t>
  </si>
  <si>
    <t>🟢 68,97 % lønnsandel (normalnivå)</t>
  </si>
  <si>
    <t>SRS 17 Anleggsmidler</t>
  </si>
  <si>
    <t>Konto 6000-6050</t>
  </si>
  <si>
    <t>🟢 Lineære avskrivninger iht. SRS 17</t>
  </si>
  <si>
    <t>SRS 1 Driftskostnader</t>
  </si>
  <si>
    <t>Konto 6100-7999</t>
  </si>
  <si>
    <t>🟢 Energi, husleie og IKT-lisenser</t>
  </si>
  <si>
    <t>Netto driftsresultat</t>
  </si>
  <si>
    <t>SRS 1 Virksomhetsregnskap</t>
  </si>
  <si>
    <t>Konto 3000-8999</t>
  </si>
  <si>
    <t>🟢 Mindreforbruk YTD (-0,01 %)</t>
  </si>
  <si>
    <t>Statens 5 %-regel tak</t>
  </si>
  <si>
    <t>Rundskriv F-05-20</t>
  </si>
  <si>
    <t>Konto 3900 (5,0 %)</t>
  </si>
  <si>
    <t>🟢 Maksimalt tillatt avsetning</t>
  </si>
  <si>
    <t>Status etterlevelse 5 %-regel</t>
  </si>
  <si>
    <t>KD / Note 15</t>
  </si>
  <si>
    <t>Netto avvik vs tak</t>
  </si>
  <si>
    <t>🟢 FULLT ETTERLEVD (Ingen innskjerping)</t>
  </si>
  <si>
    <t>09 Begrepskatalog &amp; Metodikk (Glossary)</t>
  </si>
  <si>
    <t>UiA Økonomistyringsleksikon - 60 definerte begreper for controller, ledelse og prosjekt  |  Rolle: Felles referanseordbok for UH-sektoren</t>
  </si>
  <si>
    <t>DEFINERTE BEGREPER</t>
  </si>
  <si>
    <t>FAGLIGE KATEGORIER</t>
  </si>
  <si>
    <t>EAC SLUTTKOSTNAD</t>
  </si>
  <si>
    <t>RAG TERSKELNIVÅER</t>
  </si>
  <si>
    <t>REGNSKAPSSTANDARD</t>
  </si>
  <si>
    <t>DFØ SRS</t>
  </si>
  <si>
    <t>DimGlossary.csv</t>
  </si>
  <si>
    <t>SRS, EVM, BOA, FTE, RAG</t>
  </si>
  <si>
    <t>Gjeldende Latest Estimate</t>
  </si>
  <si>
    <t>🟢 &lt;=2% | 🟡 2-5% | 🔴 &gt;5%</t>
  </si>
  <si>
    <t>Statlig opptjeningsregnskap</t>
  </si>
  <si>
    <t>KOMPLETT BEGREPSOVERSIKT MED PRAKTISK TOLKNING OG DAX-FORMLER</t>
  </si>
  <si>
    <t>Begrep</t>
  </si>
  <si>
    <t>Fullt Navn</t>
  </si>
  <si>
    <t>Definisjon (DFØ SRS / EVM)</t>
  </si>
  <si>
    <t>Praktisk Controller-tolkning</t>
  </si>
  <si>
    <t>Formel / DAX</t>
  </si>
  <si>
    <t>Rollekontekst</t>
  </si>
  <si>
    <t>Relevant Rapport</t>
  </si>
  <si>
    <t>Actual</t>
  </si>
  <si>
    <t>Faktisk bokført regnskap</t>
  </si>
  <si>
    <t>01 Regnskap &amp; Sektor</t>
  </si>
  <si>
    <t>Faktisk påløpte inntekter og kostnader registrert i virksomhetens hovedbok (FactGL).</t>
  </si>
  <si>
    <t>Brukes som fasit for historisk ressursbruk og måles mot periodisert budsjett og prognose.</t>
  </si>
  <si>
    <t>SUM(FactGL[Belop_signert])</t>
  </si>
  <si>
    <t>Alle roller</t>
  </si>
  <si>
    <t>08 Controller Cockpit</t>
  </si>
  <si>
    <t>Artskonto</t>
  </si>
  <si>
    <t>Standard artskonto</t>
  </si>
  <si>
    <t>Firesifret tallkode som spesifiserer transaksjonens økonomiske art iht. DFØ standard kontoplan.</t>
  </si>
  <si>
    <t>Gjør det mulig å drille ned fra overordnede regnskapslinjer til spesifikke kostnadsbærere som fastlønn eller reise.</t>
  </si>
  <si>
    <t>DimAccount[Konto]</t>
  </si>
  <si>
    <t>Controller</t>
  </si>
  <si>
    <t>Avskrivninger</t>
  </si>
  <si>
    <t>Verdireduksjon anleggsmidler</t>
  </si>
  <si>
    <t>Periodisering av anskaffelseskost over driftsmidlets økonomiske levetid iht. SRS 17.</t>
  </si>
  <si>
    <t>Påvirker institusjonens driftsresultat, men medfører ingen direkte likviditetsutgang i perioden.</t>
  </si>
  <si>
    <t>CALCULATE([Regnskap], DimAccount[SRS_regnskapslinje]="Avskrivninger")</t>
  </si>
  <si>
    <t>Ledelse / Styret</t>
  </si>
  <si>
    <t>03 Executive</t>
  </si>
  <si>
    <t>Akkumulert regnskapsavvik</t>
  </si>
  <si>
    <t>03 Prognose &amp; Avvik</t>
  </si>
  <si>
    <t>Differansen mellom akkumulert regnskap og akkumulert periodisert budsjett fra januar til nå.</t>
  </si>
  <si>
    <t>Negativt fortegn på kostnader betyr mindreforbruk (gunstig), mens positivt betyr merforbruk (ugunstig).</t>
  </si>
  <si>
    <t>[Regnskap YTD] - [Budsjett YTD]</t>
  </si>
  <si>
    <t>Avvik YTD RAG Status</t>
  </si>
  <si>
    <t>RAG-status regnskapsavvik</t>
  </si>
  <si>
    <t>07 RAG &amp; Farger</t>
  </si>
  <si>
    <t>Trafikklysindikator for akkumulert avvik målt mot budsjett.</t>
  </si>
  <si>
    <t>Rød hvis merforbruk &gt; 5%, Gul ved 2-5%, Grønn ved &lt;= 2% avvik.</t>
  </si>
  <si>
    <t>SWITCH(TRUE(), [Avvik YTD %] &gt; 0.05, "🔴 Rød (&gt;5%)", [Avvik YTD %] &gt;= 0.02, "🟡 Gul (2-5%)", "🟢 Grønn (&lt;=2%)")</t>
  </si>
  <si>
    <t>Controller / Dekan</t>
  </si>
  <si>
    <t>BAC</t>
  </si>
  <si>
    <t>Budget at Completion</t>
  </si>
  <si>
    <t>02 Prosjektcontrolling (EVM)</t>
  </si>
  <si>
    <t>Den opprinnelige vedtatte totale kostnadsrammen for prosjektet eller regnskapsåret.</t>
  </si>
  <si>
    <t>Utgjør referansegrunnlaget (baseline) som all fremdrift og sluttkostnad måles mot.</t>
  </si>
  <si>
    <t>[Aarsbudsjett]</t>
  </si>
  <si>
    <t>Project Controller / Dekan</t>
  </si>
  <si>
    <t>DT Prosjekt EVM</t>
  </si>
  <si>
    <t>Bevilgningsinntekt</t>
  </si>
  <si>
    <t>Statlig rammebevilgning</t>
  </si>
  <si>
    <t>Ordinær bevilgning fra Kunnskapsdepartementet over statsbudsjettets Post 50.</t>
  </si>
  <si>
    <t>Periodiseres etter SRS 10 slik at inntekt inntektsføres i takt med virksomhetens påløpte kostnader.</t>
  </si>
  <si>
    <t>CALCULATE(-[Regnskap], DimAccount[Konto] IN {"3000","3010","3020","3030"})</t>
  </si>
  <si>
    <t>Styret / Ledelse</t>
  </si>
  <si>
    <t>04 Styret</t>
  </si>
  <si>
    <t>BFV</t>
  </si>
  <si>
    <t>Bevilgningsfinansiert virksomhet</t>
  </si>
  <si>
    <t>Institusjonens kjerneaktivitet (undervisning og grunnforskning) dekket av statstilskuddet.</t>
  </si>
  <si>
    <t>Krever stram rammeoppfølging fordi statstilskuddet har et fast tak som ikke kan overskrides.</t>
  </si>
  <si>
    <t>DimProject[Finansieringstype] = "Drift"</t>
  </si>
  <si>
    <t>Bidragsforskning</t>
  </si>
  <si>
    <t>Eksternfinansierte prosjekter hvor finansieringskilden ikke krever en kommersiell motytelse.</t>
  </si>
  <si>
    <t>Typiske bidragsytere er Norges forskningsråd og EU,  inntektsføres i takt med fremdrift etter SRS 11.</t>
  </si>
  <si>
    <t>DimProject[Finansieringstype] = "Bidrag"</t>
  </si>
  <si>
    <t>Forskningsledelse</t>
  </si>
  <si>
    <t>05 Forskning &amp; BOA</t>
  </si>
  <si>
    <t>BOA</t>
  </si>
  <si>
    <t>Bidrags- og oppdragsfinansiert aktivitet</t>
  </si>
  <si>
    <t>Samlet betegnelse på all eksternt finansiert forskning, utvikling og oppdragsvirksomhet.</t>
  </si>
  <si>
    <t>Viktig strategisk vekstområde som øker institusjonens faglige volum og finansielle handlingsrom.</t>
  </si>
  <si>
    <t>[BOA inntekter]</t>
  </si>
  <si>
    <t>BOA-finansieringsandel %</t>
  </si>
  <si>
    <t>Andel av institusjonens totale inntekter som stammer fra eksterne BOA-prosjekter.</t>
  </si>
  <si>
    <t>Måler institusjonens evne til å hente konkurranseutsatt forskningsfinansiering (nasjonalt mål: &gt; 2.5%).</t>
  </si>
  <si>
    <t>DIVIDE([BOA inntekter], [Inntekter])</t>
  </si>
  <si>
    <t>Budget</t>
  </si>
  <si>
    <t>Vedtatt årsbudsjett</t>
  </si>
  <si>
    <t>Den økonomiske handlingsplanen vedtatt av universitetsstyret før årets start.</t>
  </si>
  <si>
    <t>Låses som baseline (BAC) og fordeles per måned, enhet, konto og prosjekt.</t>
  </si>
  <si>
    <t>SUM(FactBudget[BudsjettBelop])</t>
  </si>
  <si>
    <t>Controller Cockpit</t>
  </si>
  <si>
    <t>Avstemmings- og kontrollpanel</t>
  </si>
  <si>
    <t>08 Teknisk &amp; Modell</t>
  </si>
  <si>
    <t>Helhetlig kontrollpanel for regnskapsavstemming, feilsøking og avviksdrivere i kontoplanen.</t>
  </si>
  <si>
    <t>Brukes av controller før månedsslutt for å avdekke feilføringer, manglende periodiseringer og ubalanser.</t>
  </si>
  <si>
    <t>Rapportside 08</t>
  </si>
  <si>
    <t>Data-Ink Ratio</t>
  </si>
  <si>
    <t>Edward Tuftes designprinsipp</t>
  </si>
  <si>
    <t>Prinsipp om å maksimere andelen informasjonsbærende elementer i visuelle fremstillinger.</t>
  </si>
  <si>
    <t>Fjern unødvendige rutenett, tunge skygger, 3D-effekter og dekorative ikoner for å skape krystallklare rapporter.</t>
  </si>
  <si>
    <t>Data-Ink / Total-Ink</t>
  </si>
  <si>
    <t>Alle dashboards</t>
  </si>
  <si>
    <t>DAX</t>
  </si>
  <si>
    <t>Data Analysis Expressions</t>
  </si>
  <si>
    <t>Formel- og beregningsspråk i Power BI, Fabric og Analysis Services.</t>
  </si>
  <si>
    <t>Benyttes til å definere forretningslogikk, rullende tidsserier, EVM-beregninger og RAG-status dynamisk.</t>
  </si>
  <si>
    <t>Stjernemodell formler</t>
  </si>
  <si>
    <t>Controller / BI-utvikler</t>
  </si>
  <si>
    <t>TMDL Model</t>
  </si>
  <si>
    <t>Dekan</t>
  </si>
  <si>
    <t>Fakultetsleder</t>
  </si>
  <si>
    <t>Øverste faglige og administrative leder for et helt fakultet med underliggende institutter.</t>
  </si>
  <si>
    <t>Fokuserer på fakultetets samlede økonomiske balanse, lærerressurser og studieproduksjon.</t>
  </si>
  <si>
    <t>Rapportside 02</t>
  </si>
  <si>
    <t>02 Dekan &amp; Fakultet</t>
  </si>
  <si>
    <t>DFØ</t>
  </si>
  <si>
    <t>Direktoratet for forvaltning og øk.styring</t>
  </si>
  <si>
    <t>Statens fagorgan for økonomistyring, regnskapsstandarder (SRS) og felles kontoplan.</t>
  </si>
  <si>
    <t>Utformer retningslinjene som ligger til grunn for kontoplan R-102 og regnskapsavleggelsen.</t>
  </si>
  <si>
    <t>Regelverk</t>
  </si>
  <si>
    <t>Kontoplan (Dimensjon)</t>
  </si>
  <si>
    <t>Dimensjonstabell med 46 standardkontoer fordelt på kontoklasser og SRS-regnskapslinjer.</t>
  </si>
  <si>
    <t>Knyttes til FactGL, FactBudget, FactForecast og FactAction med 1:* relasjoner.</t>
  </si>
  <si>
    <t>DimAccount.csv</t>
  </si>
  <si>
    <t>Organisasjonsstruktur (Dimensjon)</t>
  </si>
  <si>
    <t>Dimensjonstabell med 74 koststeder fordelt på 6 fakulteter/enheter og 25 institutter.</t>
  </si>
  <si>
    <t>Danner grunnlaget for organisasjonshierarkiet (Fakultet -&gt; Institutt -&gt; Koststed).</t>
  </si>
  <si>
    <t>DimOrganization.csv</t>
  </si>
  <si>
    <t>01 Instituttleder</t>
  </si>
  <si>
    <t>Drill-down</t>
  </si>
  <si>
    <t>Hierarkisk navigasjon</t>
  </si>
  <si>
    <t>Interaktiv navigasjon fra et aggregert nivå ned til underliggende komponenter i samme visual.</t>
  </si>
  <si>
    <t>Lar brukeren gå fra fakultetstotal ned til institutt og enkeltkoststeder i matrisen.</t>
  </si>
  <si>
    <t>Hierarkisk visualisering</t>
  </si>
  <si>
    <t>Drill-through</t>
  </si>
  <si>
    <t>Dybdenavigasjon med filterkontekst</t>
  </si>
  <si>
    <t>Navigasjon til en egen detaljrapport der filterkonteksten fra avsenderrapporten bevares.</t>
  </si>
  <si>
    <t>Eksempelvis å klikke på et prosjekt i lederdashboardet og hoppe til DT Prosjektdetaljer.</t>
  </si>
  <si>
    <t>Rapportsider DT1-DT5</t>
  </si>
  <si>
    <t>Drill-Through</t>
  </si>
  <si>
    <t>EAC</t>
  </si>
  <si>
    <t>Estimate at Completion</t>
  </si>
  <si>
    <t>Det oppdaterte forventede totalsluttresultatet for prosjektet eller regnskapsåret.</t>
  </si>
  <si>
    <t>Tilsvarer Latest Estimate (LE) og sammenlignes direkte mot opprinnelig ramme (BAC) for å avdekke overskridelser.</t>
  </si>
  <si>
    <t>[Forecast aarsbelop]</t>
  </si>
  <si>
    <t>ETC</t>
  </si>
  <si>
    <t>Estimate to Complete</t>
  </si>
  <si>
    <t>Forventet gjenstående kostnad fra nåværende tidspunkt og frem til fullføring.</t>
  </si>
  <si>
    <t>Nødvendig for likviditetsstyring og vurdering av om prosjektet vil kreve ekstratildeling.</t>
  </si>
  <si>
    <t>[EAC] - [Regnskap YTD]</t>
  </si>
  <si>
    <t>Project Controller</t>
  </si>
  <si>
    <t>EVU</t>
  </si>
  <si>
    <t>Etter- og videreutdanning</t>
  </si>
  <si>
    <t>Kommersiell oppdragsutdanning for næringsliv og offentlige etater som betales av kunden.</t>
  </si>
  <si>
    <t>Inntektsføres som oppdragsaktivitet etter SRS 12 og krever full kostnadsdekning.</t>
  </si>
  <si>
    <t>Konto 3600-3620</t>
  </si>
  <si>
    <t>EVM</t>
  </si>
  <si>
    <t>Earned Value Management</t>
  </si>
  <si>
    <t>Internasjonal metode for prosjektstyring som integrerer omfang, tid og påløpte kostnader.</t>
  </si>
  <si>
    <t>Gir tidlige varsler om prosjektavvik gjennom nøkkeltall som BAC, EAC, ETC og VAC.</t>
  </si>
  <si>
    <t>Prosjektcontrolling</t>
  </si>
  <si>
    <t>EVM Sluttavvik RAG Status</t>
  </si>
  <si>
    <t>RAG-status prosjektavvik</t>
  </si>
  <si>
    <t>Trafikklysstatus for sluttavviket (VAC) i BOA-prosjekter.</t>
  </si>
  <si>
    <t>Grønn hvis under budsjett (VAC &gt;= 0), Gul ved moderat avvik (opptil -5%), Rød ved kritisk sprekk (&lt;-5%).</t>
  </si>
  <si>
    <t>SWITCH(TRUE(), [VAC] &gt;= 0, "🟢 Under budsjett", [VAC %] &gt;= -0.05, "🟡 Moderat overskridelse", "🔴 Kritisk overskridelse")</t>
  </si>
  <si>
    <t>Omstillingstiltak (Fakta)</t>
  </si>
  <si>
    <t>06 Omstilling &amp; Tiltak</t>
  </si>
  <si>
    <t>Faktatabell med 16 identifiserte ledelsestiltak for kostnadsreduksjon og gevinstrealisering.</t>
  </si>
  <si>
    <t>Inneholder forventet og realisert effekt, tiltaksansvarlig, frist, risikovurdering og status.</t>
  </si>
  <si>
    <t>FactAction.csv</t>
  </si>
  <si>
    <t>Ledelse / Controller</t>
  </si>
  <si>
    <t>07 Action Tracker</t>
  </si>
  <si>
    <t>Månedsbudsjett (Fakta)</t>
  </si>
  <si>
    <t>Faktatabell med 17 760 periodiserte budsjettlinjer per måned, org, konto og prosjekt.</t>
  </si>
  <si>
    <t>Danner grunnlaget for budsjettoppfølging og BAC.</t>
  </si>
  <si>
    <t>FactBudget.csv</t>
  </si>
  <si>
    <t>Rullende prognose (Fakta)</t>
  </si>
  <si>
    <t>Faktatabell med 53 280 prognoselinjer fordelt på versjonene FC1, FC2 og LE.</t>
  </si>
  <si>
    <t>Inneholder prognosebeløp og sannsynlighetsvekting for usikkerhetsstyring.</t>
  </si>
  <si>
    <t>FactForecast.csv</t>
  </si>
  <si>
    <t>Controller / Ledelse</t>
  </si>
  <si>
    <t>Årsverk (Fakta)</t>
  </si>
  <si>
    <t>04 Bemanning &amp; Kapasitet</t>
  </si>
  <si>
    <t>Faktatabell med 1 440 månedlige bemanningsregistreringer per enhet og stillingsgruppe.</t>
  </si>
  <si>
    <t>Brukes til å beregne totalårsverk, faglige årsverk og lønn per årsverk.</t>
  </si>
  <si>
    <t>FactFTE.csv</t>
  </si>
  <si>
    <t>HR / Dekan</t>
  </si>
  <si>
    <t>DT Bemanning</t>
  </si>
  <si>
    <t>Hovedbok transaksjoner (Fakta)</t>
  </si>
  <si>
    <t>Faktatabell med 35 760 bokførte transaksjoner med bilagsnummer, posteringsdato og signert beløp.</t>
  </si>
  <si>
    <t>Grunnlaget for regnskapsavstemming og historiske actuals.</t>
  </si>
  <si>
    <t>FactGL.csv</t>
  </si>
  <si>
    <t>DT Økonomi</t>
  </si>
  <si>
    <t>Studieproduksjon (Fakta)</t>
  </si>
  <si>
    <t>05 Utdanningsproduksjon</t>
  </si>
  <si>
    <t>Faktatabell med 432 månedlige registreringer av studenter, planlagte/avlagte studiepoeng og SPE60.</t>
  </si>
  <si>
    <t>Understøtter finansieringsberegninger og dimensjonering av studieporteføljen.</t>
  </si>
  <si>
    <t>FactStudyPoints.csv</t>
  </si>
  <si>
    <t>Utdanningsledelse</t>
  </si>
  <si>
    <t>06 Studieportefølje</t>
  </si>
  <si>
    <t>Faglig andel %</t>
  </si>
  <si>
    <t>Vitenskapelig bemanningsandel</t>
  </si>
  <si>
    <t>Andelen av den samlede bemanningen som utgjøres av undervisnings- og forskerstillinger (UF).</t>
  </si>
  <si>
    <t>Bør overstige 50-55% for å sikre at ressursene primært kanaliseres til institusjonens kjerneoppgaver.</t>
  </si>
  <si>
    <t>DIVIDE([Faglige aarsverk], [Aarsverk])</t>
  </si>
  <si>
    <t>Dekan / Styret</t>
  </si>
  <si>
    <t>FC1 / FC2</t>
  </si>
  <si>
    <t>Rullende tertialprognoser</t>
  </si>
  <si>
    <t>Periodiske prognoserapporteringer gjennomført etter tertial 1 (april) og tertial 2 (august).</t>
  </si>
  <si>
    <t>Viser hvordan helårsforventningen utvikler seg gjennom budsjettåret etter hvert som usikkerhet reduseres.</t>
  </si>
  <si>
    <t>DimForecastVersion[Versjon]</t>
  </si>
  <si>
    <t>Forventet avvik ved årsslutt</t>
  </si>
  <si>
    <t>Differansen mellom gjeldende helårsprognose (LE) og vedtatt årsbudsjett.</t>
  </si>
  <si>
    <t>Viser det forventede mer- eller mindreforbruket før eventuelle korrigerende omstillingstiltak iverksettes.</t>
  </si>
  <si>
    <t>[Forecast aarsbelop] - [Aarsbudsjett]</t>
  </si>
  <si>
    <t>Forecast RAG Status</t>
  </si>
  <si>
    <t>RAG-status helårsprognose</t>
  </si>
  <si>
    <t>Trafikklysstatus for forventet helårsavvik målt mot budsjett.</t>
  </si>
  <si>
    <t>Rød hvis prognosen overstiger budsjettet med &gt; 5%, Gul ved 2-5%, Grønn ved &lt;= 2% overskridelse.</t>
  </si>
  <si>
    <t>SWITCH(TRUE(), [Forecastavvik %] &gt; 0.05, "🔴 Rød (&gt;5%)", [Forecastavvik %] &gt;= 0.02, "🟡 Gul (2-5%)", "🟢 Grønn (&lt;=2%)")</t>
  </si>
  <si>
    <t>FTE</t>
  </si>
  <si>
    <t>Full-Time Equivalent / Årsverk</t>
  </si>
  <si>
    <t>Standardisert måleenhet for arbeidsinnsats tilsvarende én 100% stilling i ett år (1950 arbeidstimer).</t>
  </si>
  <si>
    <t>Måles som et snapshot ved slutten av hver måned for å unngå summeringsfeil.</t>
  </si>
  <si>
    <t>[Aarsverk]</t>
  </si>
  <si>
    <t>HR / Ledelse</t>
  </si>
  <si>
    <t>Instituttleder</t>
  </si>
  <si>
    <t>Leder av grunnenhet</t>
  </si>
  <si>
    <t>Øverste administrative og faglige leder for et institutt med direkte budsjett- og personalansvar.</t>
  </si>
  <si>
    <t>Fokuserer på månedsavvik, lærerkapasitet, sykemeldinger, sensorkostnader og lokale tiltak.</t>
  </si>
  <si>
    <t>Rapportside 01</t>
  </si>
  <si>
    <t>KD</t>
  </si>
  <si>
    <t>Kunnskapsdepartementet</t>
  </si>
  <si>
    <t>Overordnet statlig departement som fastsetter rammer, mål og bevilgninger for universitetssektoren.</t>
  </si>
  <si>
    <t>Utsteder det årlige tildelingsbrevet som fastlegger institusjonens økonomiske rammer.</t>
  </si>
  <si>
    <t>Statlig eier</t>
  </si>
  <si>
    <t>Kostnad per SPE60</t>
  </si>
  <si>
    <t>Enhetskostnad per helårsstudent</t>
  </si>
  <si>
    <t>Totale drifts- og personalkostnader dividert med antall produserte SPE60.</t>
  </si>
  <si>
    <t>Avdekker kostnadseffektiviteten i utdanningstilbudet,  høye tall indikerer for små studentkull eller høy ressursbruk.</t>
  </si>
  <si>
    <t>DIVIDE([Faktisk kostnader], [SPE60])</t>
  </si>
  <si>
    <t>Dekan / Utdanningsledelse</t>
  </si>
  <si>
    <t>LE</t>
  </si>
  <si>
    <t>Latest Estimate</t>
  </si>
  <si>
    <t>Den nyeste gjeldende helårsprognosen (i modellen referert til som LE_2026).</t>
  </si>
  <si>
    <t>Representerer ledelsens beste nåværende estimat for sluttresultatet ved regnskapsårets utgang.</t>
  </si>
  <si>
    <t>CALCULATE([Gjeldende forecast], DimForecastVersion[Versjon]="LE_2026")</t>
  </si>
  <si>
    <t>Lønnsandel %</t>
  </si>
  <si>
    <t>Personalkostnadsandel</t>
  </si>
  <si>
    <t>Personalkostnader uttrykt som en prosentandel av institusjonens samlede driftskostnader.</t>
  </si>
  <si>
    <t>Typisk 65-72% i UH-sektoren,  den viktigste enkeltfaktoren for økonomisk bærekraft.</t>
  </si>
  <si>
    <t>DIVIDE([Faktisk lonnskostnader], [Faktisk kostnader])</t>
  </si>
  <si>
    <t>Dekan / Ledelse</t>
  </si>
  <si>
    <t>Norges forskningsråd</t>
  </si>
  <si>
    <t>Nasjonalt organ for finansiering av forskningsprosjekter etter søknad og fagfellevurdering.</t>
  </si>
  <si>
    <t>Største eksterne bidragsyter i modellen,  inntekter føres på konto 3400-3419.</t>
  </si>
  <si>
    <t>DimProject[Finansieringskilde] = "NFR"</t>
  </si>
  <si>
    <t>Oppdragsforskning</t>
  </si>
  <si>
    <t>Aktivitet utført for eksterne oppdragsgivere med krav om definerte leveranser og kommersielle vilkår.</t>
  </si>
  <si>
    <t>Skal prises til markedsverdi med full dekning av direkte kostnader og overhead iht. EØS-statsstøtteregler.</t>
  </si>
  <si>
    <t>DimProject[Finansieringstype] = "Oppdrag"</t>
  </si>
  <si>
    <t>PBIP</t>
  </si>
  <si>
    <t>Power BI Project</t>
  </si>
  <si>
    <t>Mappebasert kildetekstformat for Power BI som skiller semantisk modell (TMDL) og rapport (PBIR).</t>
  </si>
  <si>
    <t>Gjør det mulig å versjonskontrollere Power BI i Git, kjøre automatisert testing og samarbeide i team.</t>
  </si>
  <si>
    <t>Mappestruktur</t>
  </si>
  <si>
    <t>BI-utvikler</t>
  </si>
  <si>
    <t>Repo root</t>
  </si>
  <si>
    <t>PBIR</t>
  </si>
  <si>
    <t>Power BI Enhanced Report Format</t>
  </si>
  <si>
    <t>Deklarativt JSON-format for Power BI-rapporter som definerer alle visuals, rader og formater.</t>
  </si>
  <si>
    <t>Sikrer at rapportbygging kan automatiseres via skript og valideres med CLI-verktøy.</t>
  </si>
  <si>
    <t>UIA-Controller-Prosjekt.Report</t>
  </si>
  <si>
    <t>PBIR Definition</t>
  </si>
  <si>
    <t>RAG</t>
  </si>
  <si>
    <t>Red-Amber-Green</t>
  </si>
  <si>
    <t>Trafikklysmetodikk for visuell styring og avvikshåndtering.</t>
  </si>
  <si>
    <t>Retter ledelsens oppmerksomhet mot de få kritiske områdene som krever umiddelbar handling.</t>
  </si>
  <si>
    <t>RAG-mål</t>
  </si>
  <si>
    <t>Realiseringsgrad %</t>
  </si>
  <si>
    <t>Gevinstrealiseringsgrad</t>
  </si>
  <si>
    <t>Forholdet mellom faktisk oppnådd innsparing og planlagt innsparing for et omstillingstiltak.</t>
  </si>
  <si>
    <t>Måler om tiltakene leverer den forventede økonomiske effekten i praksis.</t>
  </si>
  <si>
    <t>DIVIDE([Realisert tiltakseffekt], [Forventet tiltakseffekt])</t>
  </si>
  <si>
    <t>Gjenværende risikogap</t>
  </si>
  <si>
    <t>Det økonomiske avviket som fortsatt gjenstår etter at effekten av alle godkjente tiltak er trukket fra.</t>
  </si>
  <si>
    <t>Viser det udekkede gapet som må håndteres dersom budsjettmålet skal nås.</t>
  </si>
  <si>
    <t>[Forecast etter tiltak] - [Aarsbudsjett]</t>
  </si>
  <si>
    <t>Studiepoengekvivalenter</t>
  </si>
  <si>
    <t>Normalisert måleenhet tilsvarende 60 avlagte studiepoeng (en helårsstudent).</t>
  </si>
  <si>
    <t>Primær driver i Kunnskapsdepartementets resultatbaserte bevilgningssystem.</t>
  </si>
  <si>
    <t>DIVIDE([Avlagte studiepoeng], 60)</t>
  </si>
  <si>
    <t>Utdanningsledelse / Dekan</t>
  </si>
  <si>
    <t>SRS</t>
  </si>
  <si>
    <t>Statlige regnskapsstandarder</t>
  </si>
  <si>
    <t>Prinsipper for periodisert regnskapsføring i statlige virksomheter fastsatt av Finansdepartementet/DFØ.</t>
  </si>
  <si>
    <t>Sikrer at ressursforbruk og inntekter synliggjøres i samme regnskapsperiode uavhengig av kontantstrøm.</t>
  </si>
  <si>
    <t>Studiepoeng måloppnåelse %</t>
  </si>
  <si>
    <t>Eksamensproduksjonsgrad</t>
  </si>
  <si>
    <t>Faktisk avlagte studiepoeng sammenlignet med planlagt studiepoengproduksjon.</t>
  </si>
  <si>
    <t>Måler undervisningsavdelingenes evne til å oppfylle oppdragsmålet og unngå inntektsbortfall.</t>
  </si>
  <si>
    <t>DIVIDE([Avlagte studiepoeng], [Planlagte studiepoeng])</t>
  </si>
  <si>
    <t>TA</t>
  </si>
  <si>
    <t>Teknisk-administrativ bemanning</t>
  </si>
  <si>
    <t>Fellesbetegnelse på ansatte innen administrasjon, IT, bibliotek, drift, HR og økonomi.</t>
  </si>
  <si>
    <t>Viktig støttefunksjon som skal dimensjoneres proporsjonalt med fagmiljøenes størrelse.</t>
  </si>
  <si>
    <t>DimPositionGroup[Stillingskategori]="Teknisk-administrativ"</t>
  </si>
  <si>
    <t>TDI</t>
  </si>
  <si>
    <t>Totalkostnadsmodellen</t>
  </si>
  <si>
    <t>Nasjonale retningslinjer for beregning av direkte og indirekte kostnader (overhead) i BOA-prosjekter.</t>
  </si>
  <si>
    <t>Sikrer at eksterne oppdragsgivere betaler en rettmessig andel av institusjonens felles infrastruktur.</t>
  </si>
  <si>
    <t>Tiltak RAG Status</t>
  </si>
  <si>
    <t>RAG-status omstillingstiltak</t>
  </si>
  <si>
    <t>Visuell status for fremdriften på ledelsens innsparingstiltak.</t>
  </si>
  <si>
    <t>Grønn ved gjennomført, Gul ved pågående, Rød ved forsinket, Grå ved planlagt.</t>
  </si>
  <si>
    <t>SWITCH(FactAction[Status], "Gjennomført", "🟢 Gjennomført", "Pågår", "🟡 Pågår", "Forsinket", "🔴 Forsinket", "⚪ Planlagt")</t>
  </si>
  <si>
    <t>TMDL</t>
  </si>
  <si>
    <t>Tabular Model Definition Language</t>
  </si>
  <si>
    <t>Tekstbasert formateringsspråk for Power BI semantiske modeller.</t>
  </si>
  <si>
    <t>Erstatter monolittiske Model.bim-filer med modulære, lesbare `.tmdl`-filer.</t>
  </si>
  <si>
    <t>UIA-Controller-Prosjekt.SemanticModel</t>
  </si>
  <si>
    <t>UF</t>
  </si>
  <si>
    <t>Undervisning og forskning</t>
  </si>
  <si>
    <t>Vitenskapelige ansatte som professor, førsteamanuensis, postdoktor og stipendiater.</t>
  </si>
  <si>
    <t>Kjernearbeidskraften som leverer utdanning, veiledning og forskningsresultater.</t>
  </si>
  <si>
    <t>DimPositionGroup[Stillingskategori]="Vitenskapelig"</t>
  </si>
  <si>
    <t>VAC</t>
  </si>
  <si>
    <t>Variance at Completion</t>
  </si>
  <si>
    <t>Forventet sluttavvik ved prosjektets fullføring beregnet som BAC minus EAC.</t>
  </si>
  <si>
    <t>Positiv verdi angir mindreforbruk/besparelse, mens negativ verdi angir kostnadsoverskridelse.</t>
  </si>
  <si>
    <t>[BAC] - [EAC]</t>
  </si>
  <si>
    <t>VAC %</t>
  </si>
  <si>
    <t>Sluttavvik prosent</t>
  </si>
  <si>
    <t>Relativt forventet sluttavvik målt i prosent av opprinnelig budsjettramme.</t>
  </si>
  <si>
    <t>Brukes til å rangere og prioritere oppfølging av prosjekter etter risikograd.</t>
  </si>
  <si>
    <t>DIVIDE([VAC], [BAC])</t>
  </si>
  <si>
    <t>YTD</t>
  </si>
  <si>
    <t>Year to Date</t>
  </si>
  <si>
    <t>Akkumulert beløp fra regnskapsårets begynnelse (1. januar) og frem til rapporteringsdato.</t>
  </si>
  <si>
    <t>Eliminerer tilfeldige månedssvingninger og gir et mer stabilt bilde av den økonomiske utviklingen.</t>
  </si>
  <si>
    <t>TOTALYTD([Regnskap], DimDate[Dato])</t>
  </si>
  <si>
    <t>UC Statlig Regelverkskontroll (UC1–UC6)</t>
  </si>
  <si>
    <t>Statlige regnskapsstandarder (SRS), F-05-20 5 %-regel, anskaffelser og refusjonsstyring  |  Rolle: Senior Controller / Regelverksrevisjon</t>
  </si>
  <si>
    <t>F-05-20 AVSETNING</t>
  </si>
  <si>
    <t>SRS 10 PERIODISERING</t>
  </si>
  <si>
    <t>SRS 17 AKTIVERT</t>
  </si>
  <si>
    <t>UTESTÅENDE REFUSJONER</t>
  </si>
  <si>
    <t>[🔴 Rød (&gt;5%)] 8,96 % av 53,6M ramme</t>
  </si>
  <si>
    <t>Konto 2900 forskudd</t>
  </si>
  <si>
    <t>Overført fra drift til 1200</t>
  </si>
  <si>
    <t>NAV sykepenger/permisjon</t>
  </si>
  <si>
    <t>1. OVERSIKT OVER DE 6 STATLIGE USE CASENE (UC1–UC6) &amp; REGELVERKSETTERLEVELSE</t>
  </si>
  <si>
    <t>Use Case</t>
  </si>
  <si>
    <t>Rettslig Standard</t>
  </si>
  <si>
    <t>Kjerneavvik / Problemstilling</t>
  </si>
  <si>
    <t>Finansielt Omfang</t>
  </si>
  <si>
    <t>Forankret Styringstiltak</t>
  </si>
  <si>
    <t>Ansvarlig Rolle</t>
  </si>
  <si>
    <t>UC1</t>
  </si>
  <si>
    <t>5 %-regelen overskredet: Avsetning på konto 2080 er 8,96 % (-4,8 MNOK mot 5,0 % sperre 2,68 MNOK)</t>
  </si>
  <si>
    <t>Fremskynde strategiske investeringer og utstyrsanskaffelser innen Q4</t>
  </si>
  <si>
    <t>Fakultetsdirektør</t>
  </si>
  <si>
    <t>🔴 Kritisk</t>
  </si>
  <si>
    <t>UC2</t>
  </si>
  <si>
    <t>DFØ SRS 10</t>
  </si>
  <si>
    <t>Oppdrags-/bidragsinntekt feilaktig inntektsført før kostnadspåløp (motsatt sammenstilling)</t>
  </si>
  <si>
    <t>Innføre månedlig automatisk avstemming mellom påløpte BOA-kostnader og konto 2900</t>
  </si>
  <si>
    <t>Prosjektcontroller</t>
  </si>
  <si>
    <t>🟡 Korrigert</t>
  </si>
  <si>
    <t>UC3</t>
  </si>
  <si>
    <t>DFØ SRS 9</t>
  </si>
  <si>
    <t>Tapskontrakt på oppdrag EVU001: Merforbruk krever umiddelbar tapsavsetning</t>
  </si>
  <si>
    <t>Bokføre tapsavsetning på konto 7790 mot 2800; stramme timeføring på EVU</t>
  </si>
  <si>
    <t>🔴 Tapsført</t>
  </si>
  <si>
    <t>UC4</t>
  </si>
  <si>
    <t>DFØ SRS 17</t>
  </si>
  <si>
    <t>Varige driftsmidler (lab/servere) feilaktig kostnadsført direkte på konto 6500</t>
  </si>
  <si>
    <t>Omklassifisere og aktivere på konto 1200 i balansen med 5 års avskrivning</t>
  </si>
  <si>
    <t>Regnskapssjef</t>
  </si>
  <si>
    <t>🟢 Fullført</t>
  </si>
  <si>
    <t>UC5</t>
  </si>
  <si>
    <t>FOA / LOA</t>
  </si>
  <si>
    <t>Konsulentanskaffelse bestilt over terskelverdi uten tilstrekkelig kunngjøring</t>
  </si>
  <si>
    <t>Protokollføre anskaffelsesavvik og innføre obligatorisk forhåndsgodkjenning</t>
  </si>
  <si>
    <t>🟡 Rutine endret</t>
  </si>
  <si>
    <t>UC6</t>
  </si>
  <si>
    <t>Folketrygdloven</t>
  </si>
  <si>
    <t>Lønnsandel på 78,3 %; manglende oppfølging av utestående sykepengerefusjoner fra NAV</t>
  </si>
  <si>
    <t>Etablere ukentlig purrerutine mot NAV på konto 1570 med innbetaling innen 45 dager</t>
  </si>
  <si>
    <t>HR- / Lønnscontroller</t>
  </si>
  <si>
    <t>LP Læreplaner, Budsjettering &amp; KD 2025 Finansieringsmodell</t>
  </si>
  <si>
    <t>Læreplanportefølje (BØA, INDØK, EVU), 2 589,6 SPE60 og KDs finansieringskategorier  |  Rolle: Dekan / Studieledelse / Controller</t>
  </si>
  <si>
    <t>SAMLET SPE60 PRODUKSJON</t>
  </si>
  <si>
    <t>BEREGNET BFE INNTEKT</t>
  </si>
  <si>
    <t>KATEGORI 1 (HELSE/TEK)</t>
  </si>
  <si>
    <t>KATEGORI 2 (HUM/SAMF/ØK)</t>
  </si>
  <si>
    <t>GJENNOMFØRINGSGRAD</t>
  </si>
  <si>
    <t>336 945 avlagte studiepoeng</t>
  </si>
  <si>
    <t>Resultatbasert tildeling</t>
  </si>
  <si>
    <t>803,9 SPE60 @ 89 200 kr</t>
  </si>
  <si>
    <t>1 785,7 SPE60 @ 58 400 kr</t>
  </si>
  <si>
    <t>[🟡 Moderat] Mål: 90,0 %</t>
  </si>
  <si>
    <t>1. KUNNSKAPSDEPARTEMENTETS FINANSIERINGSMODELL 2025 (SPE60 KATEGORIER)</t>
  </si>
  <si>
    <t>Studieområder &amp; Fagprofil</t>
  </si>
  <si>
    <t>Sats per SPE60 (NOK)</t>
  </si>
  <si>
    <t>Avlagte SPE60</t>
  </si>
  <si>
    <t>Beregnet BFE Inntekt (NOK)</t>
  </si>
  <si>
    <t>Finansieringsandel %</t>
  </si>
  <si>
    <t>Merknad / Etterslep</t>
  </si>
  <si>
    <t>Helse- og sosialfag, ingeniør, teknologi, realfag</t>
  </si>
  <si>
    <t>Høyeste sats; kompensasjon for kostbare laboratorier</t>
  </si>
  <si>
    <t>Humaniora, samfunnsvitenskap, økonomi, lærerutdanning</t>
  </si>
  <si>
    <t>Hovedvolum; basis for breddestudiene</t>
  </si>
  <si>
    <t>Etter- og videreutdanning (EVU) og eksterne oppdrag</t>
  </si>
  <si>
    <t>Selvfinansiert; 100 % oppdrags- eller egenbetaling</t>
  </si>
  <si>
    <t>Hele institusjonens studieproduksjon (BFE)</t>
  </si>
  <si>
    <t>Vektet gjennomsnittlig sats per SPE60</t>
  </si>
  <si>
    <t>2. DE TRE LÆREPLANENE &amp; DIMENSJONERINGSSTATUS (UIA CASE DATA)</t>
  </si>
  <si>
    <t>Læreplan / Program</t>
  </si>
  <si>
    <t>Studiekode</t>
  </si>
  <si>
    <t>KD Kategori</t>
  </si>
  <si>
    <t>Normert ECTS</t>
  </si>
  <si>
    <t>Studenter</t>
  </si>
  <si>
    <t>Gjennomføring %</t>
  </si>
  <si>
    <t>Bachelor i Økonomi og Administrasjon (BØA)</t>
  </si>
  <si>
    <t>BØA100</t>
  </si>
  <si>
    <t>Bachelor (3 år)</t>
  </si>
  <si>
    <t>🟢 Høy etterspørsel</t>
  </si>
  <si>
    <t>Master i Industriell Økonomi og Teknologiledelse (INDØK)</t>
  </si>
  <si>
    <t>INDØK200</t>
  </si>
  <si>
    <t>Master (2 år)</t>
  </si>
  <si>
    <t>🟢 Høy sats &amp; labdekning</t>
  </si>
  <si>
    <t>Executive Master i Offentlig Styring og Ledelse (EVU)</t>
  </si>
  <si>
    <t>EVU300</t>
  </si>
  <si>
    <t>Videreutdanning (1 år)</t>
  </si>
  <si>
    <t>🟡 Krav om tapsavsetning (SRS 9)</t>
  </si>
  <si>
    <t>DT Økonomidetalj (Bilagslogg)</t>
  </si>
  <si>
    <t>Transaksjons- og bilagslogg fra FactGL (35 760 poster) med avstemming  |  Rolle: Drill-Through Transaksjonskontroll</t>
  </si>
  <si>
    <t>TOTALT BOKFØRT REGNSKAP</t>
  </si>
  <si>
    <t>SUM INNTEKTER</t>
  </si>
  <si>
    <t>SUM KOSTNADER</t>
  </si>
  <si>
    <t>ANTALL BILAG</t>
  </si>
  <si>
    <t>SUM(FactGL[Belop])</t>
  </si>
  <si>
    <t>Konto 5000-8999</t>
  </si>
  <si>
    <t>Transaksjoner i FactGL</t>
  </si>
  <si>
    <t>TRANSAKSJONSLOGG UTVALG (DE 100 STØRSTE POSTERINGENE)</t>
  </si>
  <si>
    <t>Transaksjons-ID</t>
  </si>
  <si>
    <t>Dato</t>
  </si>
  <si>
    <t>Organisasjon</t>
  </si>
  <si>
    <t>Prosjekt</t>
  </si>
  <si>
    <t>Posteringstekst</t>
  </si>
  <si>
    <t>Use Case Referanse</t>
  </si>
  <si>
    <t>TX10695</t>
  </si>
  <si>
    <t>20260801</t>
  </si>
  <si>
    <t>I016K1</t>
  </si>
  <si>
    <t>DRIFT</t>
  </si>
  <si>
    <t>Avsetning ubenyttet rammebevilgning (F-05-20 &gt; 5%)</t>
  </si>
  <si>
    <t>Use Case 1: F-05-20 Avsetning</t>
  </si>
  <si>
    <t>TX10328</t>
  </si>
  <si>
    <t>20260401</t>
  </si>
  <si>
    <t>TX10264</t>
  </si>
  <si>
    <t>20260301</t>
  </si>
  <si>
    <t>I020K1</t>
  </si>
  <si>
    <t>INV001</t>
  </si>
  <si>
    <t>Use Case 4: SRS 17 Motkonto</t>
  </si>
  <si>
    <t>TX10263</t>
  </si>
  <si>
    <t>Kjøp av ny serverpark (Aktivert SRS 17)</t>
  </si>
  <si>
    <t>Use Case 4: SRS 17 Aktivering</t>
  </si>
  <si>
    <t>TX10417</t>
  </si>
  <si>
    <t>20260501</t>
  </si>
  <si>
    <t>Konsulentbistand lab-PLS (Avvik FOA del II)</t>
  </si>
  <si>
    <t>Use Case 5: FOA Anskaffelsesavvik</t>
  </si>
  <si>
    <t>TX10444</t>
  </si>
  <si>
    <t>20260601</t>
  </si>
  <si>
    <t>I001K1</t>
  </si>
  <si>
    <t>Månedslønn faste ansatte</t>
  </si>
  <si>
    <t>Lønn/Drift</t>
  </si>
  <si>
    <t>TX10355</t>
  </si>
  <si>
    <t>TX10342</t>
  </si>
  <si>
    <t>I019K1</t>
  </si>
  <si>
    <t>TX10011</t>
  </si>
  <si>
    <t>20260101</t>
  </si>
  <si>
    <t>I002K1</t>
  </si>
  <si>
    <t>TX10251</t>
  </si>
  <si>
    <t>TX10715</t>
  </si>
  <si>
    <t>TX10076</t>
  </si>
  <si>
    <t>TX10437</t>
  </si>
  <si>
    <t>TX10030</t>
  </si>
  <si>
    <t>I007K1</t>
  </si>
  <si>
    <t>TX10232</t>
  </si>
  <si>
    <t>TX10322</t>
  </si>
  <si>
    <t>TX10001</t>
  </si>
  <si>
    <t>TX10214</t>
  </si>
  <si>
    <t>I013K1</t>
  </si>
  <si>
    <t>TX10169</t>
  </si>
  <si>
    <t>20260201</t>
  </si>
  <si>
    <t>TX10242</t>
  </si>
  <si>
    <t>I017K1</t>
  </si>
  <si>
    <t>TX10500</t>
  </si>
  <si>
    <t>I014K1</t>
  </si>
  <si>
    <t>TX10601</t>
  </si>
  <si>
    <t>20260701</t>
  </si>
  <si>
    <t>TX10402</t>
  </si>
  <si>
    <t>TX10039</t>
  </si>
  <si>
    <t>TX10662</t>
  </si>
  <si>
    <t>TX10365</t>
  </si>
  <si>
    <t>TX10175</t>
  </si>
  <si>
    <t>TX10163</t>
  </si>
  <si>
    <t>TX10611</t>
  </si>
  <si>
    <t>TX10709</t>
  </si>
  <si>
    <t>TX10348</t>
  </si>
  <si>
    <t>TX10521</t>
  </si>
  <si>
    <t>TX10422</t>
  </si>
  <si>
    <t>TX10478</t>
  </si>
  <si>
    <t>TX10633</t>
  </si>
  <si>
    <t>TX10088</t>
  </si>
  <si>
    <t>TX10626</t>
  </si>
  <si>
    <t>TX10082</t>
  </si>
  <si>
    <t>TX10295</t>
  </si>
  <si>
    <t>TX10620</t>
  </si>
  <si>
    <t>TX10411</t>
  </si>
  <si>
    <t>TX10205</t>
  </si>
  <si>
    <t>TX10126</t>
  </si>
  <si>
    <t>TX10266</t>
  </si>
  <si>
    <t>TX10511</t>
  </si>
  <si>
    <t>TX10223</t>
  </si>
  <si>
    <t>TX10545</t>
  </si>
  <si>
    <t>TX10135</t>
  </si>
  <si>
    <t>TX10107</t>
  </si>
  <si>
    <t>I004K1</t>
  </si>
  <si>
    <t>TX10117</t>
  </si>
  <si>
    <t>TX10532</t>
  </si>
  <si>
    <t>TX10700</t>
  </si>
  <si>
    <t>TX10333</t>
  </si>
  <si>
    <t>TX10057</t>
  </si>
  <si>
    <t>TX10285</t>
  </si>
  <si>
    <t>TX10643</t>
  </si>
  <si>
    <t>TX10020</t>
  </si>
  <si>
    <t>TX10276</t>
  </si>
  <si>
    <t>TX10374</t>
  </si>
  <si>
    <t>TX10313</t>
  </si>
  <si>
    <t>TX10304</t>
  </si>
  <si>
    <t>TX10592</t>
  </si>
  <si>
    <t>TX10257</t>
  </si>
  <si>
    <t>TX10465</t>
  </si>
  <si>
    <t>TX10393</t>
  </si>
  <si>
    <t>TX10583</t>
  </si>
  <si>
    <t>TX10154</t>
  </si>
  <si>
    <t>TX10454</t>
  </si>
  <si>
    <t>TX10489</t>
  </si>
  <si>
    <t>TX10384</t>
  </si>
  <si>
    <t>TX10194</t>
  </si>
  <si>
    <t>TX10564</t>
  </si>
  <si>
    <t>TX10671</t>
  </si>
  <si>
    <t>TX10689</t>
  </si>
  <si>
    <t>TX10574</t>
  </si>
  <si>
    <t>TX10680</t>
  </si>
  <si>
    <t>TX10555</t>
  </si>
  <si>
    <t>TX10185</t>
  </si>
  <si>
    <t>TX10144</t>
  </si>
  <si>
    <t>TX10048</t>
  </si>
  <si>
    <t>TX10067</t>
  </si>
  <si>
    <t>TX10652</t>
  </si>
  <si>
    <t>TX10538</t>
  </si>
  <si>
    <t>TX10431</t>
  </si>
  <si>
    <t>TX10098</t>
  </si>
  <si>
    <t>TX10464</t>
  </si>
  <si>
    <t>I002K2</t>
  </si>
  <si>
    <t>SRS 9 Kortsiktig tapsavsetning balanse</t>
  </si>
  <si>
    <t>Use Case 3: SRS 9 Balanse</t>
  </si>
  <si>
    <t>TX10510</t>
  </si>
  <si>
    <t>I014K2</t>
  </si>
  <si>
    <t>TX10487</t>
  </si>
  <si>
    <t>I007K2</t>
  </si>
  <si>
    <t>SRS 9 Avsetning for forventet tap på oppdrag</t>
  </si>
  <si>
    <t>Use Case 3: SRS 9 Tapsavsetning</t>
  </si>
  <si>
    <t>TX10488</t>
  </si>
  <si>
    <t>TX10463</t>
  </si>
  <si>
    <t>TX10530</t>
  </si>
  <si>
    <t>I017K2</t>
  </si>
  <si>
    <t>TX10476</t>
  </si>
  <si>
    <t>I004K2</t>
  </si>
  <si>
    <t>TX10509</t>
  </si>
  <si>
    <t>TX10499</t>
  </si>
  <si>
    <t>I013K2</t>
  </si>
  <si>
    <t>TX10477</t>
  </si>
  <si>
    <t>TX10531</t>
  </si>
  <si>
    <t>TX10498</t>
  </si>
  <si>
    <t>TX10066</t>
  </si>
  <si>
    <t>I016K2</t>
  </si>
  <si>
    <t>Reduksjon mottatt forskuddsbetaling bidrag</t>
  </si>
  <si>
    <t>Use Case 2: SRS 10 Balanse</t>
  </si>
  <si>
    <t>TX10065</t>
  </si>
  <si>
    <t>SRS 10 Inntektsføring bidrag</t>
  </si>
  <si>
    <t>Use Case 2: SRS 10 Motsatt sammenstilling</t>
  </si>
  <si>
    <t>TX10275</t>
  </si>
  <si>
    <t>I001K2</t>
  </si>
  <si>
    <t>DT Bemanning &amp; Årsverk</t>
  </si>
  <si>
    <t>Lønnsanalyse, stillingsgrupper (UF/TA) og lønn per årsverk fra FactFTE  |  Rolle: Drill-Through Personalkontroll</t>
  </si>
  <si>
    <t>VITENSKAPELIGE (UF)</t>
  </si>
  <si>
    <t>TEKNISK-ADM (TA)</t>
  </si>
  <si>
    <t>LØNNSKOSTNADER</t>
  </si>
  <si>
    <t>Siste rapporteringsmåned</t>
  </si>
  <si>
    <t>51,5% av total bemanning</t>
  </si>
  <si>
    <t>48,5% av total bemanning</t>
  </si>
  <si>
    <t>69,0% av driftskostnader</t>
  </si>
  <si>
    <t>BEMANNING OG LØNNSKOSTNADER PER STILLINGSGRUPPE (FACTFTE)</t>
  </si>
  <si>
    <t>Stillingsgruppe</t>
  </si>
  <si>
    <t>Årsverk (Sum)</t>
  </si>
  <si>
    <t>Faglige Årsverk</t>
  </si>
  <si>
    <t>Andel av årsverk %</t>
  </si>
  <si>
    <t>Førsteamanuensis / Førstelektor</t>
  </si>
  <si>
    <t>Vitenskapelig</t>
  </si>
  <si>
    <t>Professor / Dosent</t>
  </si>
  <si>
    <t>Stipendiat / Postdoktor</t>
  </si>
  <si>
    <t>Rekruttering</t>
  </si>
  <si>
    <t>Administrativt ansatt / Controller</t>
  </si>
  <si>
    <t>Teknisk-administrativ</t>
  </si>
  <si>
    <t>Ingeniør / Lab-tekniker</t>
  </si>
  <si>
    <t>Alle stillingsgrupper</t>
  </si>
  <si>
    <t>DT Prosjektdetaljer &amp; EVM (Earned Value Management)</t>
  </si>
  <si>
    <t>Fremdrifts- og kostnadskontroll med BAC, EAC, ETC, VAC og RAG-avvik  |  Rolle: Project Controller / BOA-ledelse</t>
  </si>
  <si>
    <t>TOTAL BAC (BUDSJETT)</t>
  </si>
  <si>
    <t>SLUTTKOSTNAD EAC</t>
  </si>
  <si>
    <t>HELÅRSAVVIK VAC</t>
  </si>
  <si>
    <t>KOSTNADSINDEKS CPI</t>
  </si>
  <si>
    <t>Baseline ramme</t>
  </si>
  <si>
    <t>Latest Estimate LE</t>
  </si>
  <si>
    <t>[🔴 Rød] Overskridelse</t>
  </si>
  <si>
    <t>BAC / EAC effektivitet</t>
  </si>
  <si>
    <t>EARNED VALUE MANAGEMENT (EVM) MATRISE FOR PROSJEKTPORTEFØLJEN</t>
  </si>
  <si>
    <t>Finansiering</t>
  </si>
  <si>
    <t>BAC (Budsjett)</t>
  </si>
  <si>
    <t>AC (Regnskap)</t>
  </si>
  <si>
    <t>EAC (Sluttkostnad)</t>
  </si>
  <si>
    <t>ETC (Gjenstående)</t>
  </si>
  <si>
    <t>VAC (Sluttavvik)</t>
  </si>
  <si>
    <t>EVM RAG Status</t>
  </si>
  <si>
    <t>Investeringsprogram IKT/Campus 2026</t>
  </si>
  <si>
    <t>Bevilgning</t>
  </si>
  <si>
    <t>Ordinær rammedrift</t>
  </si>
  <si>
    <t>TOTAL EVM PORTEFØLJE</t>
  </si>
  <si>
    <t>DT Tiltaksdetaljer &amp; Risikostyring</t>
  </si>
  <si>
    <t>Enkeltkort og risikovurdering for de 21 omstillingstiltakene (inkl. AI/prosess)  |  Rolle: Drill-Through Risikostyring</t>
  </si>
  <si>
    <t>TOTALT VEDTATT</t>
  </si>
  <si>
    <t>REALISERT HITTIL</t>
  </si>
  <si>
    <t>GJENSTÅENDE RISIKO</t>
  </si>
  <si>
    <t>HØYRISIKO TILTAK</t>
  </si>
  <si>
    <t>21 tiltak (inkl. AI)</t>
  </si>
  <si>
    <t>Realisert per nå</t>
  </si>
  <si>
    <t>Restbeløp som må innhentes</t>
  </si>
  <si>
    <t>[🔴 Forsinket] Kritiske tiltak</t>
  </si>
  <si>
    <t>DETALJERT TILTAKSOVERSIKT (FACTACTION.CSV)</t>
  </si>
  <si>
    <t>Org</t>
  </si>
  <si>
    <t>Start</t>
  </si>
  <si>
    <t>Forventet</t>
  </si>
  <si>
    <t>Realisert</t>
  </si>
  <si>
    <t>Pågår</t>
  </si>
  <si>
    <t>Gjennomført</t>
  </si>
  <si>
    <t>Forsinket</t>
  </si>
  <si>
    <t>20260515</t>
  </si>
  <si>
    <t>DT Studieaktivitet (Månedlig produksjon)</t>
  </si>
  <si>
    <t>Månedlig studenttall, planlagte og avlagte studiepoeng fra FactStudyPoints  |  Rolle: Drill-Through Utdanningsanalyse</t>
  </si>
  <si>
    <t>PLANLAGTE SP</t>
  </si>
  <si>
    <t>AVLAGTE SP</t>
  </si>
  <si>
    <t>GJENNOMSNITTLIG MÅLOPPNÅELSE</t>
  </si>
  <si>
    <t>Årsplan for porteføljen</t>
  </si>
  <si>
    <t>Faktisk eksamensresultat</t>
  </si>
  <si>
    <t>Helårsstudenter</t>
  </si>
  <si>
    <t>Resultatgrad</t>
  </si>
  <si>
    <t>MÅNEDLIG AKTIVITETSLOGG (FACTSTUDYPOINTS UTVALG)</t>
  </si>
  <si>
    <t>Beståttandel %</t>
  </si>
  <si>
    <t>BegrepID</t>
  </si>
  <si>
    <t>FulltNavn</t>
  </si>
  <si>
    <t>Definisjon</t>
  </si>
  <si>
    <t>PraktiskTolkning</t>
  </si>
  <si>
    <t>FormelDAX</t>
  </si>
  <si>
    <t>RolleKontekst</t>
  </si>
  <si>
    <t>RelevantRapport</t>
  </si>
  <si>
    <t>StandardKonto3</t>
  </si>
  <si>
    <t>Kontoklasse</t>
  </si>
  <si>
    <t>Kontogruppe</t>
  </si>
  <si>
    <t>Kontotype</t>
  </si>
  <si>
    <t>SRS_regnskapslinje</t>
  </si>
  <si>
    <t>AktuellFor</t>
  </si>
  <si>
    <t>Eiendeler</t>
  </si>
  <si>
    <t>SRS/Alle</t>
  </si>
  <si>
    <t>Gjeld/Kapital</t>
  </si>
  <si>
    <t>Avsetning for forventet tap på oppdrag (SRS 9)</t>
  </si>
  <si>
    <t>Salgsinntekt tjenester, avgiftspliktig</t>
  </si>
  <si>
    <t>Inntekt</t>
  </si>
  <si>
    <t>Salgsinntekt tjenester, avgiftsfri</t>
  </si>
  <si>
    <t>Tilskudd fra andre statlige virksomheter</t>
  </si>
  <si>
    <t>Tilskudd fra EU Horisont Europa (SRS 10)</t>
  </si>
  <si>
    <t>Oppdragsinntekt fra næringsliv (SRS 9)</t>
  </si>
  <si>
    <t>Kostnad</t>
  </si>
  <si>
    <t>Overtid fast ansatte</t>
  </si>
  <si>
    <t>Feriepenger</t>
  </si>
  <si>
    <t>Pensjonspremie til SPK</t>
  </si>
  <si>
    <t>Refusjon av sykepenger</t>
  </si>
  <si>
    <t>Refusjon av foreldrepenger</t>
  </si>
  <si>
    <t>Ordinære avskrivninger IKT og utstyr (SRS 17)</t>
  </si>
  <si>
    <t>Leie av datasystemer og lisenser</t>
  </si>
  <si>
    <t>Konsulenttjenester programvare/IKT (FOA)</t>
  </si>
  <si>
    <t>Andre konsulenttjenester (FOA del II)</t>
  </si>
  <si>
    <t>Innleie av vikarer og undervisningstimer</t>
  </si>
  <si>
    <t>Kontorrekvisita og labutstyr &lt;50k</t>
  </si>
  <si>
    <t>Reisekostnader</t>
  </si>
  <si>
    <t>Avsetning for tap på oppdragskontrakter (SRS 9)</t>
  </si>
  <si>
    <t>Organisasjonsnokkel</t>
  </si>
  <si>
    <t>Fakultetsnavn</t>
  </si>
  <si>
    <t>Institutt</t>
  </si>
  <si>
    <t>Koststed</t>
  </si>
  <si>
    <t>Koststednavn</t>
  </si>
  <si>
    <t>Koststedtype</t>
  </si>
  <si>
    <t>FAK-HH</t>
  </si>
  <si>
    <t>I001</t>
  </si>
  <si>
    <t>Institutt for økonomi - drift</t>
  </si>
  <si>
    <t>Institutt for økonomi - prosjekt</t>
  </si>
  <si>
    <t>I002</t>
  </si>
  <si>
    <t>Institutt for strategi og ledelse - drift</t>
  </si>
  <si>
    <t>Institutt for strategi og ledelse - prosjekt</t>
  </si>
  <si>
    <t>FAK-HI</t>
  </si>
  <si>
    <t>I004</t>
  </si>
  <si>
    <t>Institutt for sykepleie og helsefag - drift</t>
  </si>
  <si>
    <t>Institutt for sykepleie og helsefag - prosjekt</t>
  </si>
  <si>
    <t>FAK-HP</t>
  </si>
  <si>
    <t>I007</t>
  </si>
  <si>
    <t>Institutt for fagspråk og pedagogikk - drift</t>
  </si>
  <si>
    <t>Institutt for fagspråk og pedagogikk - prosjekt</t>
  </si>
  <si>
    <t>FAK-SV</t>
  </si>
  <si>
    <t>I013</t>
  </si>
  <si>
    <t>Institutt for statsvitenskap og sosiologi - drift</t>
  </si>
  <si>
    <t>Institutt for statsvitenskap og sosiologi - prosjekt</t>
  </si>
  <si>
    <t>I014</t>
  </si>
  <si>
    <t>Institutt for psykologi - drift</t>
  </si>
  <si>
    <t>Institutt for psykologi - prosjekt</t>
  </si>
  <si>
    <t>FAK-TR</t>
  </si>
  <si>
    <t>I016</t>
  </si>
  <si>
    <t>Institutt for mekatronikk og IKT - drift</t>
  </si>
  <si>
    <t>Institutt for mekatronikk og IKT - prosjekt</t>
  </si>
  <si>
    <t>I017</t>
  </si>
  <si>
    <t>Institutt for ingeniørvitenskap - drift</t>
  </si>
  <si>
    <t>Institutt for ingeniørvitenskap - prosjekt</t>
  </si>
  <si>
    <t>FEL-ADM</t>
  </si>
  <si>
    <t>I019</t>
  </si>
  <si>
    <t>Økonomi- og virksomhetsstyring - drift</t>
  </si>
  <si>
    <t>I020</t>
  </si>
  <si>
    <t>IT og digitalisering - drift</t>
  </si>
  <si>
    <t>Prosjektkategori</t>
  </si>
  <si>
    <t>Investering</t>
  </si>
  <si>
    <t>Utdanning</t>
  </si>
  <si>
    <t>Kontraktsbelop</t>
  </si>
  <si>
    <t>Frikjop</t>
  </si>
  <si>
    <t>DirekteDrift</t>
  </si>
  <si>
    <t>Overhead</t>
  </si>
  <si>
    <t>Leiested</t>
  </si>
  <si>
    <t>PåløptKostnad</t>
  </si>
  <si>
    <t>Inntektsført</t>
  </si>
  <si>
    <t>Dekningsgrad</t>
  </si>
  <si>
    <t>%TidGått</t>
  </si>
  <si>
    <t>%BudsjettForbrukt</t>
  </si>
  <si>
    <t>Forbruksavvik</t>
  </si>
  <si>
    <t>RAG_Status</t>
  </si>
  <si>
    <t>StatusMerknad</t>
  </si>
  <si>
    <t>Forsinket stipendiatrekruttering og lav fremdrift. Tiltak T003 iverksatt.</t>
  </si>
  <si>
    <t>I rute iht. prosjektplan og milepæler.</t>
  </si>
  <si>
    <t>Green Maritime Tech i rute for Horizon Europe.</t>
  </si>
  <si>
    <t>Digital Governance i rute for Horizon Europe.</t>
  </si>
  <si>
    <t>Konsulentmerforbruk og tapsrisiko (SRS 9). Tapsavsetning konto 7790/2800. Tiltak T004.</t>
  </si>
  <si>
    <t>Batteriteknologi oppdrag i henhold til leveranseplan.</t>
  </si>
  <si>
    <t>DatoNokkel</t>
  </si>
  <si>
    <t>BudsjettBelop</t>
  </si>
  <si>
    <t>Scenario</t>
  </si>
  <si>
    <t>BUD2026</t>
  </si>
  <si>
    <t>FC1_2026</t>
  </si>
  <si>
    <t>FC2_2026</t>
  </si>
  <si>
    <t>LE_2026</t>
  </si>
  <si>
    <t>PROG2027</t>
  </si>
  <si>
    <t>PROG2028</t>
  </si>
  <si>
    <t>PROG2029</t>
  </si>
  <si>
    <t>ForecastBelop</t>
  </si>
  <si>
    <t>Versjon</t>
  </si>
  <si>
    <t>Sannsynlighet</t>
  </si>
  <si>
    <t>Modelltype</t>
  </si>
  <si>
    <t>Merknad</t>
  </si>
  <si>
    <t>Ridge Regression</t>
  </si>
  <si>
    <t>Kalibrert UiA Rullende Prognose</t>
  </si>
  <si>
    <t>Aarsverk</t>
  </si>
  <si>
    <t>FagligeAarsverk</t>
  </si>
  <si>
    <t>PROF</t>
  </si>
  <si>
    <t>FORST</t>
  </si>
  <si>
    <t>REKR</t>
  </si>
  <si>
    <t>ADM</t>
  </si>
  <si>
    <t>TEK</t>
  </si>
  <si>
    <t>Studieprogram</t>
  </si>
  <si>
    <t>Studiekategori</t>
  </si>
  <si>
    <t>RegistrerteStudenter</t>
  </si>
  <si>
    <t>PlanlagteStudiepoeng</t>
  </si>
  <si>
    <t>AvlagteStudiepoeng</t>
  </si>
  <si>
    <t>BestattAndel</t>
  </si>
  <si>
    <t>SatsPerSPE60</t>
  </si>
  <si>
    <t>BeregnetInntekt</t>
  </si>
  <si>
    <t>TiltakID</t>
  </si>
  <si>
    <t>Avviksarsak</t>
  </si>
  <si>
    <t>AnsvarligRolle</t>
  </si>
  <si>
    <t>StartDatoNokkel</t>
  </si>
  <si>
    <t>FristDatoNokkel</t>
  </si>
  <si>
    <t>ForventetEffekt</t>
  </si>
  <si>
    <t>RealisertEffekt</t>
  </si>
  <si>
    <t>UseCasesRef</t>
  </si>
  <si>
    <t>Use Case: Fallende studiepoeng</t>
  </si>
  <si>
    <t>Use Case 1: F-05-20 Avsetningskontroll</t>
  </si>
  <si>
    <t>Use Case 2: SRS 10 Prosjektkontroll</t>
  </si>
  <si>
    <t>Use Case 3: SRS 9 Tapsoppfølging</t>
  </si>
  <si>
    <t>Use Case 5: FOA Innkjøpsavvik</t>
  </si>
  <si>
    <t>Use Case 6: Lønnsavvik</t>
  </si>
  <si>
    <t>Belop</t>
  </si>
  <si>
    <t>Tekst</t>
  </si>
  <si>
    <t>TransaksjonsID</t>
  </si>
  <si>
    <t>TX10002</t>
  </si>
  <si>
    <t>Pensjonspremie SPK</t>
  </si>
  <si>
    <t>TX10003</t>
  </si>
  <si>
    <t>Husleie og lokaler</t>
  </si>
  <si>
    <t>TX10004</t>
  </si>
  <si>
    <t>Drift/Lokaler</t>
  </si>
  <si>
    <t>IKT lisenser og datasystemer</t>
  </si>
  <si>
    <t>TX10005</t>
  </si>
  <si>
    <t>Drift/IKT</t>
  </si>
  <si>
    <t>Reise og diett</t>
  </si>
  <si>
    <t>TX10006</t>
  </si>
  <si>
    <t>Drift/Reise</t>
  </si>
  <si>
    <t>Prosjektlønn forsker/stipendiat</t>
  </si>
  <si>
    <t>TX10007</t>
  </si>
  <si>
    <t>BOA/Lønn</t>
  </si>
  <si>
    <t>Prosjektdrift og laboratoriemateriell</t>
  </si>
  <si>
    <t>TX10008</t>
  </si>
  <si>
    <t>BOA/Drift</t>
  </si>
  <si>
    <t>TX10009</t>
  </si>
  <si>
    <t>TX10010</t>
  </si>
  <si>
    <t>TX10012</t>
  </si>
  <si>
    <t>TX10013</t>
  </si>
  <si>
    <t>TX10014</t>
  </si>
  <si>
    <t>TX10015</t>
  </si>
  <si>
    <t>TX10016</t>
  </si>
  <si>
    <t>TX10017</t>
  </si>
  <si>
    <t>TX10018</t>
  </si>
  <si>
    <t>Oppdragsfaktura EVU</t>
  </si>
  <si>
    <t>TX10019</t>
  </si>
  <si>
    <t>Use Case 3: SRS 9 Inntekt</t>
  </si>
  <si>
    <t>TX10021</t>
  </si>
  <si>
    <t>TX10022</t>
  </si>
  <si>
    <t>TX10023</t>
  </si>
  <si>
    <t>TX10024</t>
  </si>
  <si>
    <t>TX10025</t>
  </si>
  <si>
    <t>Overtid praksisoppfølging</t>
  </si>
  <si>
    <t>TX10026</t>
  </si>
  <si>
    <t>Use Case 6: Overtid/Sykdom</t>
  </si>
  <si>
    <t>TX10027</t>
  </si>
  <si>
    <t>TX10028</t>
  </si>
  <si>
    <t>TX10029</t>
  </si>
  <si>
    <t>TX10031</t>
  </si>
  <si>
    <t>TX10032</t>
  </si>
  <si>
    <t>TX10033</t>
  </si>
  <si>
    <t>TX10034</t>
  </si>
  <si>
    <t>TX10035</t>
  </si>
  <si>
    <t>TX10036</t>
  </si>
  <si>
    <t>TX10037</t>
  </si>
  <si>
    <t>TX10038</t>
  </si>
  <si>
    <t>TX10040</t>
  </si>
  <si>
    <t>TX10041</t>
  </si>
  <si>
    <t>TX10042</t>
  </si>
  <si>
    <t>TX10043</t>
  </si>
  <si>
    <t>TX10044</t>
  </si>
  <si>
    <t>TX10045</t>
  </si>
  <si>
    <t>TX10046</t>
  </si>
  <si>
    <t>TX10047</t>
  </si>
  <si>
    <t>TX10049</t>
  </si>
  <si>
    <t>TX10050</t>
  </si>
  <si>
    <t>TX10051</t>
  </si>
  <si>
    <t>TX10052</t>
  </si>
  <si>
    <t>TX10053</t>
  </si>
  <si>
    <t>TX10054</t>
  </si>
  <si>
    <t>TX10055</t>
  </si>
  <si>
    <t>TX10056</t>
  </si>
  <si>
    <t>TX10058</t>
  </si>
  <si>
    <t>TX10059</t>
  </si>
  <si>
    <t>TX10060</t>
  </si>
  <si>
    <t>TX10061</t>
  </si>
  <si>
    <t>TX10062</t>
  </si>
  <si>
    <t>TX10063</t>
  </si>
  <si>
    <t>TX10064</t>
  </si>
  <si>
    <t>TX10068</t>
  </si>
  <si>
    <t>TX10069</t>
  </si>
  <si>
    <t>TX10070</t>
  </si>
  <si>
    <t>TX10071</t>
  </si>
  <si>
    <t>TX10072</t>
  </si>
  <si>
    <t>TX10073</t>
  </si>
  <si>
    <t>TX10074</t>
  </si>
  <si>
    <t>TX10075</t>
  </si>
  <si>
    <t>TX10077</t>
  </si>
  <si>
    <t>TX10078</t>
  </si>
  <si>
    <t>TX10079</t>
  </si>
  <si>
    <t>TX10080</t>
  </si>
  <si>
    <t>TX10081</t>
  </si>
  <si>
    <t>TX10083</t>
  </si>
  <si>
    <t>TX10084</t>
  </si>
  <si>
    <t>TX10085</t>
  </si>
  <si>
    <t>TX10086</t>
  </si>
  <si>
    <t>TX10087</t>
  </si>
  <si>
    <t>TX10089</t>
  </si>
  <si>
    <t>TX10090</t>
  </si>
  <si>
    <t>TX10091</t>
  </si>
  <si>
    <t>TX10092</t>
  </si>
  <si>
    <t>TX10093</t>
  </si>
  <si>
    <t>TX10094</t>
  </si>
  <si>
    <t>TX10095</t>
  </si>
  <si>
    <t>TX10096</t>
  </si>
  <si>
    <t>TX10097</t>
  </si>
  <si>
    <t>TX10099</t>
  </si>
  <si>
    <t>TX10100</t>
  </si>
  <si>
    <t>TX10101</t>
  </si>
  <si>
    <t>TX10102</t>
  </si>
  <si>
    <t>TX10103</t>
  </si>
  <si>
    <t>TX10104</t>
  </si>
  <si>
    <t>TX10105</t>
  </si>
  <si>
    <t>TX10106</t>
  </si>
  <si>
    <t>TX10108</t>
  </si>
  <si>
    <t>TX10109</t>
  </si>
  <si>
    <t>TX10110</t>
  </si>
  <si>
    <t>TX10111</t>
  </si>
  <si>
    <t>TX10112</t>
  </si>
  <si>
    <t>TX10113</t>
  </si>
  <si>
    <t>TX10114</t>
  </si>
  <si>
    <t>TX10115</t>
  </si>
  <si>
    <t>TX10116</t>
  </si>
  <si>
    <t>TX10118</t>
  </si>
  <si>
    <t>TX10119</t>
  </si>
  <si>
    <t>TX10120</t>
  </si>
  <si>
    <t>TX10121</t>
  </si>
  <si>
    <t>TX10122</t>
  </si>
  <si>
    <t>TX10123</t>
  </si>
  <si>
    <t>TX10124</t>
  </si>
  <si>
    <t>TX10125</t>
  </si>
  <si>
    <t>TX10127</t>
  </si>
  <si>
    <t>TX10128</t>
  </si>
  <si>
    <t>TX10129</t>
  </si>
  <si>
    <t>TX10130</t>
  </si>
  <si>
    <t>TX10131</t>
  </si>
  <si>
    <t>TX10132</t>
  </si>
  <si>
    <t>TX10133</t>
  </si>
  <si>
    <t>TX10134</t>
  </si>
  <si>
    <t>TX10136</t>
  </si>
  <si>
    <t>TX10137</t>
  </si>
  <si>
    <t>TX10138</t>
  </si>
  <si>
    <t>TX10139</t>
  </si>
  <si>
    <t>TX10140</t>
  </si>
  <si>
    <t>TX10141</t>
  </si>
  <si>
    <t>TX10142</t>
  </si>
  <si>
    <t>TX10143</t>
  </si>
  <si>
    <t>TX10145</t>
  </si>
  <si>
    <t>TX10146</t>
  </si>
  <si>
    <t>TX10147</t>
  </si>
  <si>
    <t>TX10148</t>
  </si>
  <si>
    <t>TX10149</t>
  </si>
  <si>
    <t>TX10150</t>
  </si>
  <si>
    <t>TX10151</t>
  </si>
  <si>
    <t>TX10152</t>
  </si>
  <si>
    <t>TX10153</t>
  </si>
  <si>
    <t>TX10155</t>
  </si>
  <si>
    <t>TX10156</t>
  </si>
  <si>
    <t>TX10157</t>
  </si>
  <si>
    <t>TX10158</t>
  </si>
  <si>
    <t>TX10159</t>
  </si>
  <si>
    <t>TX10160</t>
  </si>
  <si>
    <t>TX10161</t>
  </si>
  <si>
    <t>TX10162</t>
  </si>
  <si>
    <t>TX10164</t>
  </si>
  <si>
    <t>TX10165</t>
  </si>
  <si>
    <t>TX10166</t>
  </si>
  <si>
    <t>TX10167</t>
  </si>
  <si>
    <t>TX10168</t>
  </si>
  <si>
    <t>TX10170</t>
  </si>
  <si>
    <t>TX10171</t>
  </si>
  <si>
    <t>TX10172</t>
  </si>
  <si>
    <t>TX10173</t>
  </si>
  <si>
    <t>TX10174</t>
  </si>
  <si>
    <t>TX10176</t>
  </si>
  <si>
    <t>TX10177</t>
  </si>
  <si>
    <t>TX10178</t>
  </si>
  <si>
    <t>TX10179</t>
  </si>
  <si>
    <t>TX10180</t>
  </si>
  <si>
    <t>TX10181</t>
  </si>
  <si>
    <t>TX10182</t>
  </si>
  <si>
    <t>TX10183</t>
  </si>
  <si>
    <t>TX10184</t>
  </si>
  <si>
    <t>TX10186</t>
  </si>
  <si>
    <t>TX10187</t>
  </si>
  <si>
    <t>TX10188</t>
  </si>
  <si>
    <t>TX10189</t>
  </si>
  <si>
    <t>TX10190</t>
  </si>
  <si>
    <t>TX10191</t>
  </si>
  <si>
    <t>TX10192</t>
  </si>
  <si>
    <t>TX10193</t>
  </si>
  <si>
    <t>TX10195</t>
  </si>
  <si>
    <t>TX10196</t>
  </si>
  <si>
    <t>TX10197</t>
  </si>
  <si>
    <t>TX10198</t>
  </si>
  <si>
    <t>TX10199</t>
  </si>
  <si>
    <t>TX10200</t>
  </si>
  <si>
    <t>Refusjon sykepenger NAV</t>
  </si>
  <si>
    <t>TX10201</t>
  </si>
  <si>
    <t>Use Case 6: NAV Refusjon</t>
  </si>
  <si>
    <t>TX10202</t>
  </si>
  <si>
    <t>TX10203</t>
  </si>
  <si>
    <t>TX10204</t>
  </si>
  <si>
    <t>TX10206</t>
  </si>
  <si>
    <t>TX10207</t>
  </si>
  <si>
    <t>TX10208</t>
  </si>
  <si>
    <t>TX10209</t>
  </si>
  <si>
    <t>TX10210</t>
  </si>
  <si>
    <t>TX10211</t>
  </si>
  <si>
    <t>TX10212</t>
  </si>
  <si>
    <t>TX10213</t>
  </si>
  <si>
    <t>TX10215</t>
  </si>
  <si>
    <t>TX10216</t>
  </si>
  <si>
    <t>TX10217</t>
  </si>
  <si>
    <t>TX10218</t>
  </si>
  <si>
    <t>TX10219</t>
  </si>
  <si>
    <t>TX10220</t>
  </si>
  <si>
    <t>TX10221</t>
  </si>
  <si>
    <t>TX10222</t>
  </si>
  <si>
    <t>TX10224</t>
  </si>
  <si>
    <t>TX10225</t>
  </si>
  <si>
    <t>TX10226</t>
  </si>
  <si>
    <t>TX10227</t>
  </si>
  <si>
    <t>TX10228</t>
  </si>
  <si>
    <t>TX10229</t>
  </si>
  <si>
    <t>TX10230</t>
  </si>
  <si>
    <t>TX10231</t>
  </si>
  <si>
    <t>TX10233</t>
  </si>
  <si>
    <t>TX10234</t>
  </si>
  <si>
    <t>TX10235</t>
  </si>
  <si>
    <t>TX10236</t>
  </si>
  <si>
    <t>TX10237</t>
  </si>
  <si>
    <t>TX10238</t>
  </si>
  <si>
    <t>TX10239</t>
  </si>
  <si>
    <t>TX10240</t>
  </si>
  <si>
    <t>TX10241</t>
  </si>
  <si>
    <t>TX10243</t>
  </si>
  <si>
    <t>TX10244</t>
  </si>
  <si>
    <t>TX10245</t>
  </si>
  <si>
    <t>TX10246</t>
  </si>
  <si>
    <t>TX10247</t>
  </si>
  <si>
    <t>TX10248</t>
  </si>
  <si>
    <t>TX10249</t>
  </si>
  <si>
    <t>TX10250</t>
  </si>
  <si>
    <t>TX10252</t>
  </si>
  <si>
    <t>TX10253</t>
  </si>
  <si>
    <t>TX10254</t>
  </si>
  <si>
    <t>TX10255</t>
  </si>
  <si>
    <t>TX10256</t>
  </si>
  <si>
    <t>TX10258</t>
  </si>
  <si>
    <t>TX10259</t>
  </si>
  <si>
    <t>TX10260</t>
  </si>
  <si>
    <t>TX10261</t>
  </si>
  <si>
    <t>TX10262</t>
  </si>
  <si>
    <t>Månedlig avskrivning serverpark (5 år)</t>
  </si>
  <si>
    <t>TX10265</t>
  </si>
  <si>
    <t>Use Case 4: SRS 17 Avskrivning</t>
  </si>
  <si>
    <t>TX10267</t>
  </si>
  <si>
    <t>TX10268</t>
  </si>
  <si>
    <t>TX10269</t>
  </si>
  <si>
    <t>TX10270</t>
  </si>
  <si>
    <t>TX10271</t>
  </si>
  <si>
    <t>TX10272</t>
  </si>
  <si>
    <t>TX10273</t>
  </si>
  <si>
    <t>TX10274</t>
  </si>
  <si>
    <t>TX10277</t>
  </si>
  <si>
    <t>TX10278</t>
  </si>
  <si>
    <t>TX10279</t>
  </si>
  <si>
    <t>TX10280</t>
  </si>
  <si>
    <t>TX10281</t>
  </si>
  <si>
    <t>TX10282</t>
  </si>
  <si>
    <t>TX10283</t>
  </si>
  <si>
    <t>TX10284</t>
  </si>
  <si>
    <t>TX10286</t>
  </si>
  <si>
    <t>TX10287</t>
  </si>
  <si>
    <t>TX10288</t>
  </si>
  <si>
    <t>TX10289</t>
  </si>
  <si>
    <t>TX10290</t>
  </si>
  <si>
    <t>TX10291</t>
  </si>
  <si>
    <t>TX10292</t>
  </si>
  <si>
    <t>TX10293</t>
  </si>
  <si>
    <t>TX10294</t>
  </si>
  <si>
    <t>TX10296</t>
  </si>
  <si>
    <t>TX10297</t>
  </si>
  <si>
    <t>TX10298</t>
  </si>
  <si>
    <t>TX10299</t>
  </si>
  <si>
    <t>TX10300</t>
  </si>
  <si>
    <t>TX10301</t>
  </si>
  <si>
    <t>TX10302</t>
  </si>
  <si>
    <t>TX10303</t>
  </si>
  <si>
    <t>TX10305</t>
  </si>
  <si>
    <t>TX10306</t>
  </si>
  <si>
    <t>TX10307</t>
  </si>
  <si>
    <t>TX10308</t>
  </si>
  <si>
    <t>TX10309</t>
  </si>
  <si>
    <t>TX10310</t>
  </si>
  <si>
    <t>TX10311</t>
  </si>
  <si>
    <t>TX10312</t>
  </si>
  <si>
    <t>TX10314</t>
  </si>
  <si>
    <t>TX10315</t>
  </si>
  <si>
    <t>TX10316</t>
  </si>
  <si>
    <t>TX10317</t>
  </si>
  <si>
    <t>TX10318</t>
  </si>
  <si>
    <t>TX10319</t>
  </si>
  <si>
    <t>TX10320</t>
  </si>
  <si>
    <t>TX10321</t>
  </si>
  <si>
    <t>TX10323</t>
  </si>
  <si>
    <t>TX10324</t>
  </si>
  <si>
    <t>TX10325</t>
  </si>
  <si>
    <t>TX10326</t>
  </si>
  <si>
    <t>TX10327</t>
  </si>
  <si>
    <t>TX10329</t>
  </si>
  <si>
    <t>TX10330</t>
  </si>
  <si>
    <t>TX10331</t>
  </si>
  <si>
    <t>TX10332</t>
  </si>
  <si>
    <t>TX10334</t>
  </si>
  <si>
    <t>TX10335</t>
  </si>
  <si>
    <t>TX10336</t>
  </si>
  <si>
    <t>TX10337</t>
  </si>
  <si>
    <t>TX10338</t>
  </si>
  <si>
    <t>TX10339</t>
  </si>
  <si>
    <t>TX10340</t>
  </si>
  <si>
    <t>TX10341</t>
  </si>
  <si>
    <t>TX10343</t>
  </si>
  <si>
    <t>TX10344</t>
  </si>
  <si>
    <t>TX10345</t>
  </si>
  <si>
    <t>TX10346</t>
  </si>
  <si>
    <t>TX10347</t>
  </si>
  <si>
    <t>TX10349</t>
  </si>
  <si>
    <t>TX10350</t>
  </si>
  <si>
    <t>TX10351</t>
  </si>
  <si>
    <t>TX10352</t>
  </si>
  <si>
    <t>TX10353</t>
  </si>
  <si>
    <t>TX10354</t>
  </si>
  <si>
    <t>TX10356</t>
  </si>
  <si>
    <t>TX10357</t>
  </si>
  <si>
    <t>TX10358</t>
  </si>
  <si>
    <t>TX10359</t>
  </si>
  <si>
    <t>TX10360</t>
  </si>
  <si>
    <t>TX10361</t>
  </si>
  <si>
    <t>TX10362</t>
  </si>
  <si>
    <t>TX10363</t>
  </si>
  <si>
    <t>TX10364</t>
  </si>
  <si>
    <t>TX10366</t>
  </si>
  <si>
    <t>TX10367</t>
  </si>
  <si>
    <t>TX10368</t>
  </si>
  <si>
    <t>TX10369</t>
  </si>
  <si>
    <t>TX10370</t>
  </si>
  <si>
    <t>TX10371</t>
  </si>
  <si>
    <t>TX10372</t>
  </si>
  <si>
    <t>TX10373</t>
  </si>
  <si>
    <t>TX10375</t>
  </si>
  <si>
    <t>TX10376</t>
  </si>
  <si>
    <t>TX10377</t>
  </si>
  <si>
    <t>TX10378</t>
  </si>
  <si>
    <t>TX10379</t>
  </si>
  <si>
    <t>TX10380</t>
  </si>
  <si>
    <t>TX10381</t>
  </si>
  <si>
    <t>TX10382</t>
  </si>
  <si>
    <t>TX10383</t>
  </si>
  <si>
    <t>TX10385</t>
  </si>
  <si>
    <t>TX10386</t>
  </si>
  <si>
    <t>TX10387</t>
  </si>
  <si>
    <t>TX10388</t>
  </si>
  <si>
    <t>TX10389</t>
  </si>
  <si>
    <t>TX10390</t>
  </si>
  <si>
    <t>TX10391</t>
  </si>
  <si>
    <t>TX10392</t>
  </si>
  <si>
    <t>TX10394</t>
  </si>
  <si>
    <t>TX10395</t>
  </si>
  <si>
    <t>TX10396</t>
  </si>
  <si>
    <t>TX10397</t>
  </si>
  <si>
    <t>TX10398</t>
  </si>
  <si>
    <t>TX10399</t>
  </si>
  <si>
    <t>TX10400</t>
  </si>
  <si>
    <t>TX10401</t>
  </si>
  <si>
    <t>TX10403</t>
  </si>
  <si>
    <t>TX10404</t>
  </si>
  <si>
    <t>TX10405</t>
  </si>
  <si>
    <t>TX10406</t>
  </si>
  <si>
    <t>TX10407</t>
  </si>
  <si>
    <t>TX10408</t>
  </si>
  <si>
    <t>TX10409</t>
  </si>
  <si>
    <t>TX10410</t>
  </si>
  <si>
    <t>TX10412</t>
  </si>
  <si>
    <t>TX10413</t>
  </si>
  <si>
    <t>TX10414</t>
  </si>
  <si>
    <t>TX10415</t>
  </si>
  <si>
    <t>TX10416</t>
  </si>
  <si>
    <t>TX10418</t>
  </si>
  <si>
    <t>TX10419</t>
  </si>
  <si>
    <t>TX10420</t>
  </si>
  <si>
    <t>TX10421</t>
  </si>
  <si>
    <t>TX10423</t>
  </si>
  <si>
    <t>TX10424</t>
  </si>
  <si>
    <t>TX10425</t>
  </si>
  <si>
    <t>TX10426</t>
  </si>
  <si>
    <t>TX10427</t>
  </si>
  <si>
    <t>TX10428</t>
  </si>
  <si>
    <t>TX10429</t>
  </si>
  <si>
    <t>TX10430</t>
  </si>
  <si>
    <t>TX10432</t>
  </si>
  <si>
    <t>TX10433</t>
  </si>
  <si>
    <t>TX10434</t>
  </si>
  <si>
    <t>TX10435</t>
  </si>
  <si>
    <t>TX10436</t>
  </si>
  <si>
    <t>TX10438</t>
  </si>
  <si>
    <t>TX10439</t>
  </si>
  <si>
    <t>TX10440</t>
  </si>
  <si>
    <t>TX10441</t>
  </si>
  <si>
    <t>TX10442</t>
  </si>
  <si>
    <t>TX10443</t>
  </si>
  <si>
    <t>TX10445</t>
  </si>
  <si>
    <t>TX10446</t>
  </si>
  <si>
    <t>TX10447</t>
  </si>
  <si>
    <t>TX10448</t>
  </si>
  <si>
    <t>TX10449</t>
  </si>
  <si>
    <t>TX10450</t>
  </si>
  <si>
    <t>TX10451</t>
  </si>
  <si>
    <t>TX10452</t>
  </si>
  <si>
    <t>TX10453</t>
  </si>
  <si>
    <t>TX10455</t>
  </si>
  <si>
    <t>TX10456</t>
  </si>
  <si>
    <t>TX10457</t>
  </si>
  <si>
    <t>TX10458</t>
  </si>
  <si>
    <t>TX10459</t>
  </si>
  <si>
    <t>TX10460</t>
  </si>
  <si>
    <t>TX10461</t>
  </si>
  <si>
    <t>TX10462</t>
  </si>
  <si>
    <t>TX10466</t>
  </si>
  <si>
    <t>TX10467</t>
  </si>
  <si>
    <t>TX10468</t>
  </si>
  <si>
    <t>TX10469</t>
  </si>
  <si>
    <t>TX10470</t>
  </si>
  <si>
    <t>TX10471</t>
  </si>
  <si>
    <t>TX10472</t>
  </si>
  <si>
    <t>TX10473</t>
  </si>
  <si>
    <t>TX10474</t>
  </si>
  <si>
    <t>TX10475</t>
  </si>
  <si>
    <t>TX10479</t>
  </si>
  <si>
    <t>TX10480</t>
  </si>
  <si>
    <t>TX10481</t>
  </si>
  <si>
    <t>TX10482</t>
  </si>
  <si>
    <t>TX10483</t>
  </si>
  <si>
    <t>TX10484</t>
  </si>
  <si>
    <t>TX10485</t>
  </si>
  <si>
    <t>TX10486</t>
  </si>
  <si>
    <t>TX10490</t>
  </si>
  <si>
    <t>TX10491</t>
  </si>
  <si>
    <t>TX10492</t>
  </si>
  <si>
    <t>TX10493</t>
  </si>
  <si>
    <t>TX10494</t>
  </si>
  <si>
    <t>TX10495</t>
  </si>
  <si>
    <t>TX10496</t>
  </si>
  <si>
    <t>TX10497</t>
  </si>
  <si>
    <t>TX10501</t>
  </si>
  <si>
    <t>TX10502</t>
  </si>
  <si>
    <t>TX10503</t>
  </si>
  <si>
    <t>TX10504</t>
  </si>
  <si>
    <t>TX10505</t>
  </si>
  <si>
    <t>TX10506</t>
  </si>
  <si>
    <t>TX10507</t>
  </si>
  <si>
    <t>TX10508</t>
  </si>
  <si>
    <t>TX10512</t>
  </si>
  <si>
    <t>TX10513</t>
  </si>
  <si>
    <t>TX10514</t>
  </si>
  <si>
    <t>TX10515</t>
  </si>
  <si>
    <t>TX10516</t>
  </si>
  <si>
    <t>TX10517</t>
  </si>
  <si>
    <t>TX10518</t>
  </si>
  <si>
    <t>TX10519</t>
  </si>
  <si>
    <t>TX10520</t>
  </si>
  <si>
    <t>TX10522</t>
  </si>
  <si>
    <t>TX10523</t>
  </si>
  <si>
    <t>TX10524</t>
  </si>
  <si>
    <t>TX10525</t>
  </si>
  <si>
    <t>TX10526</t>
  </si>
  <si>
    <t>TX10527</t>
  </si>
  <si>
    <t>TX10528</t>
  </si>
  <si>
    <t>TX10529</t>
  </si>
  <si>
    <t>TX10533</t>
  </si>
  <si>
    <t>TX10534</t>
  </si>
  <si>
    <t>TX10535</t>
  </si>
  <si>
    <t>TX10536</t>
  </si>
  <si>
    <t>TX10537</t>
  </si>
  <si>
    <t>TX10539</t>
  </si>
  <si>
    <t>TX10540</t>
  </si>
  <si>
    <t>TX10541</t>
  </si>
  <si>
    <t>TX10542</t>
  </si>
  <si>
    <t>TX10543</t>
  </si>
  <si>
    <t>TX10544</t>
  </si>
  <si>
    <t>TX10546</t>
  </si>
  <si>
    <t>TX10547</t>
  </si>
  <si>
    <t>TX10548</t>
  </si>
  <si>
    <t>TX10549</t>
  </si>
  <si>
    <t>TX10550</t>
  </si>
  <si>
    <t>TX10551</t>
  </si>
  <si>
    <t>TX10552</t>
  </si>
  <si>
    <t>TX10553</t>
  </si>
  <si>
    <t>TX10554</t>
  </si>
  <si>
    <t>TX10556</t>
  </si>
  <si>
    <t>TX10557</t>
  </si>
  <si>
    <t>TX10558</t>
  </si>
  <si>
    <t>TX10559</t>
  </si>
  <si>
    <t>TX10560</t>
  </si>
  <si>
    <t>TX10561</t>
  </si>
  <si>
    <t>TX10562</t>
  </si>
  <si>
    <t>TX10563</t>
  </si>
  <si>
    <t>TX10565</t>
  </si>
  <si>
    <t>TX10566</t>
  </si>
  <si>
    <t>TX10567</t>
  </si>
  <si>
    <t>TX10568</t>
  </si>
  <si>
    <t>TX10569</t>
  </si>
  <si>
    <t>TX10570</t>
  </si>
  <si>
    <t>TX10571</t>
  </si>
  <si>
    <t>TX10572</t>
  </si>
  <si>
    <t>TX10573</t>
  </si>
  <si>
    <t>TX10575</t>
  </si>
  <si>
    <t>TX10576</t>
  </si>
  <si>
    <t>TX10577</t>
  </si>
  <si>
    <t>TX10578</t>
  </si>
  <si>
    <t>TX10579</t>
  </si>
  <si>
    <t>TX10580</t>
  </si>
  <si>
    <t>TX10581</t>
  </si>
  <si>
    <t>TX10582</t>
  </si>
  <si>
    <t>TX10584</t>
  </si>
  <si>
    <t>TX10585</t>
  </si>
  <si>
    <t>TX10586</t>
  </si>
  <si>
    <t>TX10587</t>
  </si>
  <si>
    <t>TX10588</t>
  </si>
  <si>
    <t>TX10589</t>
  </si>
  <si>
    <t>TX10590</t>
  </si>
  <si>
    <t>TX10591</t>
  </si>
  <si>
    <t>TX10593</t>
  </si>
  <si>
    <t>TX10594</t>
  </si>
  <si>
    <t>TX10595</t>
  </si>
  <si>
    <t>TX10596</t>
  </si>
  <si>
    <t>TX10597</t>
  </si>
  <si>
    <t>TX10598</t>
  </si>
  <si>
    <t>TX10599</t>
  </si>
  <si>
    <t>TX10600</t>
  </si>
  <si>
    <t>TX10602</t>
  </si>
  <si>
    <t>TX10603</t>
  </si>
  <si>
    <t>TX10604</t>
  </si>
  <si>
    <t>TX10605</t>
  </si>
  <si>
    <t>TX10606</t>
  </si>
  <si>
    <t>TX10607</t>
  </si>
  <si>
    <t>TX10608</t>
  </si>
  <si>
    <t>TX10609</t>
  </si>
  <si>
    <t>TX10610</t>
  </si>
  <si>
    <t>TX10612</t>
  </si>
  <si>
    <t>TX10613</t>
  </si>
  <si>
    <t>TX10614</t>
  </si>
  <si>
    <t>TX10615</t>
  </si>
  <si>
    <t>TX10616</t>
  </si>
  <si>
    <t>TX10617</t>
  </si>
  <si>
    <t>TX10618</t>
  </si>
  <si>
    <t>TX10619</t>
  </si>
  <si>
    <t>TX10621</t>
  </si>
  <si>
    <t>TX10622</t>
  </si>
  <si>
    <t>TX10623</t>
  </si>
  <si>
    <t>TX10624</t>
  </si>
  <si>
    <t>TX10625</t>
  </si>
  <si>
    <t>TX10627</t>
  </si>
  <si>
    <t>TX10628</t>
  </si>
  <si>
    <t>TX10629</t>
  </si>
  <si>
    <t>TX10630</t>
  </si>
  <si>
    <t>TX10631</t>
  </si>
  <si>
    <t>TX10632</t>
  </si>
  <si>
    <t>TX10634</t>
  </si>
  <si>
    <t>TX10635</t>
  </si>
  <si>
    <t>TX10636</t>
  </si>
  <si>
    <t>TX10637</t>
  </si>
  <si>
    <t>TX10638</t>
  </si>
  <si>
    <t>TX10639</t>
  </si>
  <si>
    <t>TX10640</t>
  </si>
  <si>
    <t>TX10641</t>
  </si>
  <si>
    <t>TX10642</t>
  </si>
  <si>
    <t>TX10644</t>
  </si>
  <si>
    <t>TX10645</t>
  </si>
  <si>
    <t>TX10646</t>
  </si>
  <si>
    <t>TX10647</t>
  </si>
  <si>
    <t>TX10648</t>
  </si>
  <si>
    <t>TX10649</t>
  </si>
  <si>
    <t>TX10650</t>
  </si>
  <si>
    <t>TX10651</t>
  </si>
  <si>
    <t>TX10653</t>
  </si>
  <si>
    <t>TX10654</t>
  </si>
  <si>
    <t>TX10655</t>
  </si>
  <si>
    <t>TX10656</t>
  </si>
  <si>
    <t>TX10657</t>
  </si>
  <si>
    <t>TX10658</t>
  </si>
  <si>
    <t>TX10659</t>
  </si>
  <si>
    <t>TX10660</t>
  </si>
  <si>
    <t>TX10661</t>
  </si>
  <si>
    <t>TX10663</t>
  </si>
  <si>
    <t>TX10664</t>
  </si>
  <si>
    <t>TX10665</t>
  </si>
  <si>
    <t>TX10666</t>
  </si>
  <si>
    <t>TX10667</t>
  </si>
  <si>
    <t>TX10668</t>
  </si>
  <si>
    <t>TX10669</t>
  </si>
  <si>
    <t>TX10670</t>
  </si>
  <si>
    <t>TX10672</t>
  </si>
  <si>
    <t>TX10673</t>
  </si>
  <si>
    <t>TX10674</t>
  </si>
  <si>
    <t>TX10675</t>
  </si>
  <si>
    <t>TX10676</t>
  </si>
  <si>
    <t>TX10677</t>
  </si>
  <si>
    <t>TX10678</t>
  </si>
  <si>
    <t>TX10679</t>
  </si>
  <si>
    <t>TX10681</t>
  </si>
  <si>
    <t>TX10682</t>
  </si>
  <si>
    <t>TX10683</t>
  </si>
  <si>
    <t>TX10684</t>
  </si>
  <si>
    <t>TX10685</t>
  </si>
  <si>
    <t>TX10686</t>
  </si>
  <si>
    <t>TX10687</t>
  </si>
  <si>
    <t>TX10688</t>
  </si>
  <si>
    <t>TX10690</t>
  </si>
  <si>
    <t>TX10691</t>
  </si>
  <si>
    <t>TX10692</t>
  </si>
  <si>
    <t>TX10693</t>
  </si>
  <si>
    <t>TX10694</t>
  </si>
  <si>
    <t>TX10696</t>
  </si>
  <si>
    <t>TX10697</t>
  </si>
  <si>
    <t>TX10698</t>
  </si>
  <si>
    <t>TX10699</t>
  </si>
  <si>
    <t>TX10701</t>
  </si>
  <si>
    <t>TX10702</t>
  </si>
  <si>
    <t>TX10703</t>
  </si>
  <si>
    <t>TX10704</t>
  </si>
  <si>
    <t>TX10705</t>
  </si>
  <si>
    <t>TX10706</t>
  </si>
  <si>
    <t>TX10707</t>
  </si>
  <si>
    <t>TX10708</t>
  </si>
  <si>
    <t>TX10710</t>
  </si>
  <si>
    <t>TX10711</t>
  </si>
  <si>
    <t>TX10712</t>
  </si>
  <si>
    <t>TX10713</t>
  </si>
  <si>
    <t>TX10714</t>
  </si>
  <si>
    <t>TX10716</t>
  </si>
  <si>
    <t>TX10717</t>
  </si>
  <si>
    <t>TX10718</t>
  </si>
  <si>
    <t>TX10719</t>
  </si>
  <si>
    <t>TX10720</t>
  </si>
  <si>
    <t>TX10721</t>
  </si>
  <si>
    <t>MndNr</t>
  </si>
  <si>
    <t>Maaned</t>
  </si>
  <si>
    <t>StatligBevilgning</t>
  </si>
  <si>
    <t>Forskningsinntekter</t>
  </si>
  <si>
    <t>AndreInntekter</t>
  </si>
  <si>
    <t>Lonnskostnader</t>
  </si>
  <si>
    <t>Driftskostnader</t>
  </si>
  <si>
    <t>InvesteringerCapex</t>
  </si>
  <si>
    <t>PlanlagtVerdi_PV</t>
  </si>
  <si>
    <t>OpptjentVerdi_EV</t>
  </si>
  <si>
    <t>FaktiskKostnad_AC</t>
  </si>
  <si>
    <t>TotalInntekt</t>
  </si>
  <si>
    <t>TotalKostnad</t>
  </si>
  <si>
    <t>NettoResultat</t>
  </si>
  <si>
    <t>Kumulativ_Inntekt</t>
  </si>
  <si>
    <t>Kumulativ_Kostnad</t>
  </si>
  <si>
    <t>Kumulativ_PV</t>
  </si>
  <si>
    <t>Kumulativ_EV</t>
  </si>
  <si>
    <t>Kumulativ_AC</t>
  </si>
  <si>
    <t>Kumulativ_CPI</t>
  </si>
  <si>
    <t>Kumulativ_SPI</t>
  </si>
  <si>
    <t>Kumulativ_CV</t>
  </si>
  <si>
    <t>Kumulativ_SV</t>
  </si>
  <si>
    <t>102,8</t>
  </si>
  <si>
    <t>8,5</t>
  </si>
  <si>
    <t>5,8</t>
  </si>
  <si>
    <t>76,5</t>
  </si>
  <si>
    <t>27,5</t>
  </si>
  <si>
    <t>10,5</t>
  </si>
  <si>
    <t>121,0</t>
  </si>
  <si>
    <t>111,0</t>
  </si>
  <si>
    <t>114,5</t>
  </si>
  <si>
    <t>117,1</t>
  </si>
  <si>
    <t>2,6</t>
  </si>
  <si>
    <t>0,969</t>
  </si>
  <si>
    <t>0,917</t>
  </si>
  <si>
    <t>-3,5</t>
  </si>
  <si>
    <t>-10,0</t>
  </si>
  <si>
    <t>9,2</t>
  </si>
  <si>
    <t>7,5</t>
  </si>
  <si>
    <t>77,0</t>
  </si>
  <si>
    <t>26,5</t>
  </si>
  <si>
    <t>11,0</t>
  </si>
  <si>
    <t>122,0</t>
  </si>
  <si>
    <t>112,0</t>
  </si>
  <si>
    <t>119,5</t>
  </si>
  <si>
    <t>5,0</t>
  </si>
  <si>
    <t>236,6</t>
  </si>
  <si>
    <t>229,0</t>
  </si>
  <si>
    <t>243,0</t>
  </si>
  <si>
    <t>223,0</t>
  </si>
  <si>
    <t>0,974</t>
  </si>
  <si>
    <t>0,918</t>
  </si>
  <si>
    <t>-6,0</t>
  </si>
  <si>
    <t>-20,0</t>
  </si>
  <si>
    <t>10,1</t>
  </si>
  <si>
    <t>6,2</t>
  </si>
  <si>
    <t>78,5</t>
  </si>
  <si>
    <t>30,0</t>
  </si>
  <si>
    <t>12,5</t>
  </si>
  <si>
    <t>128,0</t>
  </si>
  <si>
    <t>118,0</t>
  </si>
  <si>
    <t>119,1</t>
  </si>
  <si>
    <t>-1,9</t>
  </si>
  <si>
    <t>355,7</t>
  </si>
  <si>
    <t>350,0</t>
  </si>
  <si>
    <t>371,0</t>
  </si>
  <si>
    <t>341,0</t>
  </si>
  <si>
    <t>0,919</t>
  </si>
  <si>
    <t>-9,0</t>
  </si>
  <si>
    <t>-30,0</t>
  </si>
  <si>
    <t>6,4</t>
  </si>
  <si>
    <t>78,0</t>
  </si>
  <si>
    <t>28,5</t>
  </si>
  <si>
    <t>13,0</t>
  </si>
  <si>
    <t>127,0</t>
  </si>
  <si>
    <t>117,0</t>
  </si>
  <si>
    <t>119,7</t>
  </si>
  <si>
    <t>0,2</t>
  </si>
  <si>
    <t>475,4</t>
  </si>
  <si>
    <t>469,5</t>
  </si>
  <si>
    <t>498,0</t>
  </si>
  <si>
    <t>458,0</t>
  </si>
  <si>
    <t>0,976</t>
  </si>
  <si>
    <t>-11,5</t>
  </si>
  <si>
    <t>-40,0</t>
  </si>
  <si>
    <t>102,9</t>
  </si>
  <si>
    <t>11,2</t>
  </si>
  <si>
    <t>6,5</t>
  </si>
  <si>
    <t>79,5</t>
  </si>
  <si>
    <t>30,5</t>
  </si>
  <si>
    <t>14,0</t>
  </si>
  <si>
    <t>131,0</t>
  </si>
  <si>
    <t>120,0</t>
  </si>
  <si>
    <t>124,0</t>
  </si>
  <si>
    <t>120,6</t>
  </si>
  <si>
    <t>-3,4</t>
  </si>
  <si>
    <t>596,0</t>
  </si>
  <si>
    <t>593,5</t>
  </si>
  <si>
    <t>629,0</t>
  </si>
  <si>
    <t>578,0</t>
  </si>
  <si>
    <t>-15,5</t>
  </si>
  <si>
    <t>-51,0</t>
  </si>
  <si>
    <t>11,5</t>
  </si>
  <si>
    <t>6,8</t>
  </si>
  <si>
    <t>116,0</t>
  </si>
  <si>
    <t>33,0</t>
  </si>
  <si>
    <t>16,0</t>
  </si>
  <si>
    <t>145,0</t>
  </si>
  <si>
    <t>133,0</t>
  </si>
  <si>
    <t>165,0</t>
  </si>
  <si>
    <t>121,2</t>
  </si>
  <si>
    <t>-43,8</t>
  </si>
  <si>
    <t>717,2</t>
  </si>
  <si>
    <t>758,5</t>
  </si>
  <si>
    <t>774,0</t>
  </si>
  <si>
    <t>711,0</t>
  </si>
  <si>
    <t>0,937</t>
  </si>
  <si>
    <t>-47,5</t>
  </si>
  <si>
    <t>-63,0</t>
  </si>
  <si>
    <t>4,2</t>
  </si>
  <si>
    <t>60,5</t>
  </si>
  <si>
    <t>20,0</t>
  </si>
  <si>
    <t>9,0</t>
  </si>
  <si>
    <t>95,0</t>
  </si>
  <si>
    <t>88,0</t>
  </si>
  <si>
    <t>89,5</t>
  </si>
  <si>
    <t>113,2</t>
  </si>
  <si>
    <t>23,7</t>
  </si>
  <si>
    <t>830,4</t>
  </si>
  <si>
    <t>848,0</t>
  </si>
  <si>
    <t>869,0</t>
  </si>
  <si>
    <t>799,0</t>
  </si>
  <si>
    <t>0,942</t>
  </si>
  <si>
    <t>-49,0</t>
  </si>
  <si>
    <t>-70,0</t>
  </si>
  <si>
    <t>9,8</t>
  </si>
  <si>
    <t>6,6</t>
  </si>
  <si>
    <t>27,0</t>
  </si>
  <si>
    <t>123,0</t>
  </si>
  <si>
    <t>113,0</t>
  </si>
  <si>
    <t>119,2</t>
  </si>
  <si>
    <t>1,2</t>
  </si>
  <si>
    <t>949,6</t>
  </si>
  <si>
    <t>966,0</t>
  </si>
  <si>
    <t>992,0</t>
  </si>
  <si>
    <t>912,0</t>
  </si>
  <si>
    <t>0,944</t>
  </si>
  <si>
    <t>-54,0</t>
  </si>
  <si>
    <t>-80,0</t>
  </si>
  <si>
    <t>11,4</t>
  </si>
  <si>
    <t>8,2</t>
  </si>
  <si>
    <t>31,5</t>
  </si>
  <si>
    <t>15,0</t>
  </si>
  <si>
    <t>132,0</t>
  </si>
  <si>
    <t>126,0</t>
  </si>
  <si>
    <t>122,5</t>
  </si>
  <si>
    <t>1072,1</t>
  </si>
  <si>
    <t>1092,0</t>
  </si>
  <si>
    <t>1124,0</t>
  </si>
  <si>
    <t>1034,0</t>
  </si>
  <si>
    <t>0,947</t>
  </si>
  <si>
    <t>-58,0</t>
  </si>
  <si>
    <t>-90,0</t>
  </si>
  <si>
    <t>11,8</t>
  </si>
  <si>
    <t>79,0</t>
  </si>
  <si>
    <t>121,5</t>
  </si>
  <si>
    <t>126,5</t>
  </si>
  <si>
    <t>121,1</t>
  </si>
  <si>
    <t>-5,4</t>
  </si>
  <si>
    <t>1193,2</t>
  </si>
  <si>
    <t>1218,5</t>
  </si>
  <si>
    <t>1256,0</t>
  </si>
  <si>
    <t>1155,5</t>
  </si>
  <si>
    <t>0,948</t>
  </si>
  <si>
    <t>-100,5</t>
  </si>
  <si>
    <t>11,6</t>
  </si>
  <si>
    <t>6,0</t>
  </si>
  <si>
    <t>31,0</t>
  </si>
  <si>
    <t>131,8</t>
  </si>
  <si>
    <t>121,3</t>
  </si>
  <si>
    <t>125,5</t>
  </si>
  <si>
    <t>120,4</t>
  </si>
  <si>
    <t>-5,1</t>
  </si>
  <si>
    <t>1313,6</t>
  </si>
  <si>
    <t>1344,0</t>
  </si>
  <si>
    <t>1387,8</t>
  </si>
  <si>
    <t>1276,8</t>
  </si>
  <si>
    <t>-67,2</t>
  </si>
  <si>
    <t>-111,0</t>
  </si>
  <si>
    <t>5,3</t>
  </si>
  <si>
    <t>64,0</t>
  </si>
  <si>
    <t>23,0</t>
  </si>
  <si>
    <t>67,2</t>
  </si>
  <si>
    <t>100,0</t>
  </si>
  <si>
    <t>119,4</t>
  </si>
  <si>
    <t>19,4</t>
  </si>
  <si>
    <t>1433,0</t>
  </si>
  <si>
    <t>1444,0</t>
  </si>
  <si>
    <t>1507,8</t>
  </si>
  <si>
    <t>0,931</t>
  </si>
  <si>
    <t>0,891</t>
  </si>
  <si>
    <t>-100,0</t>
  </si>
  <si>
    <t>-163,8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</si>
</sst>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quot;kr&quot;"/>
    <numFmt numFmtId="165" formatCode="#,##0.0"/>
    <numFmt numFmtId="166" formatCode="0.0%"/>
    <numFmt numFmtId="167" formatCode="0.000%"/>
    <numFmt numFmtId="168" formatCode="0.000"/>
  </numFmts>
  <fonts count="15" x14ac:knownFonts="1">
    <font>
      <sz val="11"/>
      <color theme="1"/>
      <name val="Calibri"/>
      <family val="2"/>
      <scheme val="minor"/>
    </font>
    <font>
      <b/>
      <sz val="16"/>
      <color rgb="FF0F172A"/>
      <name val="Segoe UI"/>
    </font>
    <font>
      <sz val="10"/>
      <color rgb="FF64748B"/>
      <name val="Segoe UI"/>
    </font>
    <font>
      <b/>
      <sz val="8"/>
      <color rgb="FF64748B"/>
      <name val="Segoe UI"/>
    </font>
    <font>
      <b/>
      <sz val="15"/>
      <color rgb="FF0F172A"/>
      <name val="Segoe UI"/>
    </font>
    <font>
      <sz val="8"/>
      <color rgb="FF64748B"/>
      <name val="Segoe UI"/>
    </font>
    <font>
      <b/>
      <sz val="11"/>
      <color rgb="FF1E293B"/>
      <name val="Segoe UI"/>
    </font>
    <font>
      <b/>
      <sz val="9.5"/>
      <color rgb="FFFFFFFF"/>
      <name val="Segoe UI"/>
    </font>
    <font>
      <b/>
      <sz val="9.5"/>
      <color rgb="FF0F172A"/>
      <name val="Segoe UI"/>
    </font>
    <font>
      <sz val="9.5"/>
      <color rgb="FF0F172A"/>
      <name val="Segoe UI"/>
    </font>
    <font>
      <u/>
      <sz val="9.5"/>
      <color rgb="FF0284C7"/>
      <name val="Segoe UI"/>
    </font>
    <font>
      <u/>
      <sz val="8.5"/>
      <color rgb="FF64748B"/>
      <name val="Segoe UI"/>
    </font>
    <font>
      <sz val="9.5"/>
      <color rgb="FF64748B"/>
      <name val="Segoe UI"/>
    </font>
    <font>
      <i/>
      <sz val="9.5"/>
      <color rgb="FF1E293B"/>
      <name val="Segoe UI"/>
    </font>
    <font>
      <sz val="9"/>
      <color rgb="FF0284C7"/>
      <name val="Consolas"/>
    </font>
  </fonts>
  <fills count="8">
    <fill>
      <patternFill patternType="none"/>
    </fill>
    <fill>
      <patternFill patternType="gray125"/>
    </fill>
    <fill>
      <patternFill patternType="solid">
        <fgColor rgb="FFF8FAFC"/>
        <bgColor rgb="FFF8FAFC"/>
      </patternFill>
    </fill>
    <fill>
      <patternFill patternType="solid">
        <fgColor rgb="FF1E293B"/>
        <bgColor rgb="FF1E293B"/>
      </patternFill>
    </fill>
    <fill>
      <patternFill patternType="solid">
        <fgColor rgb="FFF1F5F9"/>
        <bgColor rgb="FFF1F5F9"/>
      </patternFill>
    </fill>
    <fill>
      <patternFill patternType="solid">
        <fgColor rgb="FFDCFCE7"/>
        <bgColor rgb="FFDCFCE7"/>
      </patternFill>
    </fill>
    <fill>
      <patternFill patternType="solid">
        <fgColor rgb="FFFEE2E2"/>
        <bgColor rgb="FFFEE2E2"/>
      </patternFill>
    </fill>
    <fill>
      <patternFill patternType="solid">
        <fgColor rgb="FFFEF3C7"/>
        <bgColor rgb="FFFEF3C7"/>
      </patternFill>
    </fill>
  </fills>
  <borders count="9">
    <border>
      <left/>
      <right/>
      <top/>
      <bottom/>
      <diagonal/>
    </border>
    <border>
      <left style="thin">
        <color rgb="FFCBD5E1"/>
      </left>
      <right/>
      <top style="thin">
        <color rgb="FFCBD5E1"/>
      </top>
      <bottom/>
      <diagonal/>
    </border>
    <border>
      <left/>
      <right style="thin">
        <color rgb="FFCBD5E1"/>
      </right>
      <top style="thin">
        <color rgb="FFCBD5E1"/>
      </top>
      <bottom/>
      <diagonal/>
    </border>
    <border>
      <left style="thin">
        <color rgb="FFCBD5E1"/>
      </left>
      <right/>
      <top/>
      <bottom/>
      <diagonal/>
    </border>
    <border>
      <left/>
      <right style="thin">
        <color rgb="FFCBD5E1"/>
      </right>
      <top/>
      <bottom/>
      <diagonal/>
    </border>
    <border>
      <left style="thin">
        <color rgb="FFCBD5E1"/>
      </left>
      <right/>
      <top/>
      <bottom style="thin">
        <color rgb="FFCBD5E1"/>
      </bottom>
      <diagonal/>
    </border>
    <border>
      <left/>
      <right style="thin">
        <color rgb="FFCBD5E1"/>
      </right>
      <top/>
      <bottom style="thin">
        <color rgb="FFCBD5E1"/>
      </bottom>
      <diagonal/>
    </border>
    <border>
      <left/>
      <right/>
      <top style="thin">
        <color rgb="FFE2E8F0"/>
      </top>
      <bottom style="thin">
        <color rgb="FFE2E8F0"/>
      </bottom>
      <diagonal/>
    </border>
    <border>
      <left/>
      <right/>
      <top style="thin">
        <color rgb="FF0F172A"/>
      </top>
      <bottom style="double">
        <color rgb="FF0F172A"/>
      </bottom>
      <diagonal/>
    </border>
  </borders>
  <cellStyleXfs count="1">
    <xf numFmtId="0" fontId="0" fillId="0" borderId="0"/>
  </cellStyleXfs>
  <cellXfs count="64">
    <xf numFmtId="0" fontId="0" fillId="0" borderId="0" xfId="0"/>
    <xf numFmtId="0" fontId="6" fillId="0" borderId="0" xfId="0" applyFont="1"/>
    <xf numFmtId="0" fontId="7" fillId="3" borderId="0" xfId="0" applyFont="1" applyFill="1" applyAlignment="1">
      <alignment horizontal="left" vertical="center"/>
    </xf>
    <xf numFmtId="0" fontId="8" fillId="2" borderId="7" xfId="0" applyFont="1" applyFill="1" applyBorder="1"/>
    <xf numFmtId="0" fontId="9" fillId="2" borderId="7" xfId="0" applyFont="1" applyFill="1" applyBorder="1"/>
    <xf numFmtId="0" fontId="10" fillId="2" borderId="7" xfId="0" applyFont="1" applyFill="1" applyBorder="1" applyAlignment="1">
      <alignment horizontal="center" vertical="center"/>
    </xf>
    <xf numFmtId="0" fontId="8" fillId="0" borderId="7" xfId="0" applyFont="1" applyBorder="1"/>
    <xf numFmtId="0" fontId="9" fillId="0" borderId="7" xfId="0" applyFont="1" applyBorder="1"/>
    <xf numFmtId="0" fontId="10" fillId="0" borderId="7" xfId="0" applyFont="1" applyBorder="1" applyAlignment="1">
      <alignment horizontal="center" vertical="center"/>
    </xf>
    <xf numFmtId="0" fontId="11" fillId="0" borderId="0" xfId="0" applyFont="1" applyAlignment="1">
      <alignment horizontal="right" vertical="center"/>
    </xf>
    <xf numFmtId="0" fontId="7" fillId="3" borderId="0" xfId="0" applyFont="1" applyFill="1" applyAlignment="1">
      <alignment horizontal="right" vertical="center"/>
    </xf>
    <xf numFmtId="165" fontId="8" fillId="0" borderId="7" xfId="0" applyNumberFormat="1" applyFont="1" applyBorder="1"/>
    <xf numFmtId="166" fontId="9" fillId="0" borderId="7" xfId="0" applyNumberFormat="1" applyFont="1" applyBorder="1"/>
    <xf numFmtId="165" fontId="9" fillId="0" borderId="7" xfId="0" applyNumberFormat="1" applyFont="1" applyBorder="1"/>
    <xf numFmtId="0" fontId="8" fillId="0" borderId="0" xfId="0" applyFont="1"/>
    <xf numFmtId="2" fontId="9" fillId="0" borderId="7" xfId="0" applyNumberFormat="1" applyFont="1" applyBorder="1"/>
    <xf numFmtId="165" fontId="8" fillId="4" borderId="8" xfId="0" applyNumberFormat="1" applyFont="1" applyFill="1" applyBorder="1"/>
    <xf numFmtId="2" fontId="8" fillId="4" borderId="8" xfId="0" applyNumberFormat="1" applyFont="1" applyFill="1" applyBorder="1"/>
    <xf numFmtId="164" fontId="9" fillId="0" borderId="7" xfId="0" applyNumberFormat="1" applyFont="1" applyBorder="1"/>
    <xf numFmtId="0" fontId="8" fillId="0" borderId="7" xfId="0" applyFont="1" applyBorder="1" applyAlignment="1">
      <alignment horizontal="center"/>
    </xf>
    <xf numFmtId="0" fontId="8" fillId="4" borderId="8" xfId="0" applyFont="1" applyFill="1" applyBorder="1"/>
    <xf numFmtId="164" fontId="8" fillId="4" borderId="8" xfId="0" applyNumberFormat="1" applyFont="1" applyFill="1" applyBorder="1"/>
    <xf numFmtId="166" fontId="8" fillId="4" borderId="8" xfId="0" applyNumberFormat="1" applyFont="1" applyFill="1" applyBorder="1"/>
    <xf numFmtId="164" fontId="8" fillId="0" borderId="7" xfId="0" applyNumberFormat="1" applyFont="1" applyBorder="1"/>
    <xf numFmtId="164" fontId="8" fillId="2" borderId="7" xfId="0" applyNumberFormat="1" applyFont="1" applyFill="1" applyBorder="1"/>
    <xf numFmtId="164" fontId="0" fillId="0" borderId="7" xfId="0" applyNumberFormat="1" applyBorder="1"/>
    <xf numFmtId="166" fontId="0" fillId="0" borderId="7" xfId="0" applyNumberFormat="1" applyBorder="1"/>
    <xf numFmtId="3" fontId="9" fillId="0" borderId="7" xfId="0" applyNumberFormat="1" applyFont="1" applyBorder="1"/>
    <xf numFmtId="166" fontId="8" fillId="0" borderId="7" xfId="0" applyNumberFormat="1" applyFont="1" applyBorder="1"/>
    <xf numFmtId="0" fontId="14" fillId="0" borderId="7" xfId="0" applyFont="1" applyBorder="1"/>
    <xf numFmtId="167" fontId="9" fillId="0" borderId="7" xfId="0" applyNumberFormat="1" applyFont="1" applyBorder="1"/>
    <xf numFmtId="0" fontId="8" fillId="5" borderId="7" xfId="0" applyFont="1" applyFill="1" applyBorder="1"/>
    <xf numFmtId="0" fontId="9" fillId="4" borderId="8" xfId="0" applyFont="1" applyFill="1" applyBorder="1"/>
    <xf numFmtId="0" fontId="14" fillId="4" borderId="8" xfId="0" applyFont="1" applyFill="1" applyBorder="1"/>
    <xf numFmtId="166" fontId="9" fillId="4" borderId="8" xfId="0" applyNumberFormat="1" applyFont="1" applyFill="1" applyBorder="1"/>
    <xf numFmtId="3" fontId="0" fillId="0" borderId="7" xfId="0" applyNumberFormat="1" applyBorder="1"/>
    <xf numFmtId="165" fontId="0" fillId="0" borderId="7" xfId="0" applyNumberFormat="1" applyBorder="1"/>
    <xf numFmtId="3" fontId="8" fillId="4" borderId="8" xfId="0" applyNumberFormat="1" applyFont="1" applyFill="1" applyBorder="1"/>
    <xf numFmtId="0" fontId="14" fillId="2" borderId="7" xfId="0" applyFont="1" applyFill="1" applyBorder="1"/>
    <xf numFmtId="49" fontId="8" fillId="2" borderId="7" xfId="0" applyNumberFormat="1" applyFont="1" applyFill="1" applyBorder="1"/>
    <xf numFmtId="164" fontId="9" fillId="2" borderId="7" xfId="0" applyNumberFormat="1" applyFont="1" applyFill="1" applyBorder="1"/>
    <xf numFmtId="0" fontId="8" fillId="6" borderId="7" xfId="0" applyFont="1" applyFill="1" applyBorder="1"/>
    <xf numFmtId="0" fontId="8" fillId="7" borderId="7" xfId="0" applyFont="1" applyFill="1" applyBorder="1"/>
    <xf numFmtId="164" fontId="0" fillId="4" borderId="8" xfId="0" applyNumberFormat="1" applyFill="1" applyBorder="1"/>
    <xf numFmtId="165" fontId="0" fillId="4" borderId="8" xfId="0" applyNumberFormat="1" applyFill="1" applyBorder="1"/>
    <xf numFmtId="166" fontId="0" fillId="4" borderId="8" xfId="0" applyNumberFormat="1" applyFill="1" applyBorder="1"/>
    <xf numFmtId="3" fontId="4" fillId="2" borderId="3" xfId="0" applyNumberFormat="1" applyFont="1" applyFill="1" applyBorder="1" applyAlignment="1">
      <alignment horizontal="left" vertical="center" indent="1"/>
    </xf>
    <xf numFmtId="0" fontId="0" fillId="2" borderId="4" xfId="0" applyFill="1" applyBorder="1"/>
    <xf numFmtId="0" fontId="5" fillId="2" borderId="5" xfId="0" applyFont="1" applyFill="1" applyBorder="1" applyAlignment="1">
      <alignment horizontal="left" vertical="center" indent="1"/>
    </xf>
    <xf numFmtId="0" fontId="0" fillId="2" borderId="6" xfId="0" applyFill="1" applyBorder="1"/>
    <xf numFmtId="164" fontId="4" fillId="2" borderId="3" xfId="0" applyNumberFormat="1" applyFont="1" applyFill="1" applyBorder="1" applyAlignment="1">
      <alignment horizontal="left" vertical="center" indent="1"/>
    </xf>
    <xf numFmtId="0" fontId="3" fillId="2" borderId="1" xfId="0" applyFont="1" applyFill="1" applyBorder="1" applyAlignment="1">
      <alignment horizontal="left" vertical="center" indent="1"/>
    </xf>
    <xf numFmtId="0" fontId="0" fillId="2" borderId="2" xfId="0" applyFill="1" applyBorder="1"/>
    <xf numFmtId="0" fontId="4" fillId="2" borderId="3" xfId="0" applyFont="1" applyFill="1" applyBorder="1" applyAlignment="1">
      <alignment horizontal="left" vertical="center" indent="1"/>
    </xf>
    <xf numFmtId="0" fontId="1" fillId="0" borderId="0" xfId="0" applyFont="1" applyAlignment="1">
      <alignment vertical="center"/>
    </xf>
    <xf numFmtId="0" fontId="0" fillId="0" borderId="0" xfId="0"/>
    <xf numFmtId="0" fontId="2" fillId="0" borderId="0" xfId="0" applyFont="1" applyAlignment="1">
      <alignment vertical="center"/>
    </xf>
    <xf numFmtId="0" fontId="4" fillId="0" borderId="0" xfId="0" applyFont="1" applyAlignment="1">
      <alignment vertical="center"/>
    </xf>
    <xf numFmtId="0" fontId="12" fillId="0" borderId="0" xfId="0" applyFont="1" applyAlignment="1">
      <alignment vertical="center"/>
    </xf>
    <xf numFmtId="0" fontId="13" fillId="0" borderId="0" xfId="0" applyFont="1" applyAlignment="1">
      <alignment vertical="center" wrapText="1"/>
    </xf>
    <xf numFmtId="2" fontId="4" fillId="2" borderId="3" xfId="0" applyNumberFormat="1" applyFont="1" applyFill="1" applyBorder="1" applyAlignment="1">
      <alignment horizontal="left" vertical="center" indent="1"/>
    </xf>
    <xf numFmtId="165" fontId="4" fillId="2" borderId="3" xfId="0" applyNumberFormat="1" applyFont="1" applyFill="1" applyBorder="1" applyAlignment="1">
      <alignment horizontal="left" vertical="center" indent="1"/>
    </xf>
    <xf numFmtId="166" fontId="4" fillId="2" borderId="3" xfId="0" applyNumberFormat="1" applyFont="1" applyFill="1" applyBorder="1" applyAlignment="1">
      <alignment horizontal="left" vertical="center" indent="1"/>
    </xf>
    <xf numFmtId="168" fontId="4" fillId="2" borderId="3" xfId="0" applyNumberFormat="1" applyFont="1" applyFill="1" applyBorder="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172A"/>
  </sheetPr>
  <dimension ref="B2:K41"/>
  <sheetViews>
    <sheetView topLeftCell="A14" zoomScale="85" workbookViewId="0"/>
  </sheetViews>
  <sheetFormatPr defaultRowHeight="14.5" x14ac:dyDescent="0.35"/>
  <cols>
    <col min="1" max="1" width="11" customWidth="1"/>
    <col min="2" max="2" width="7" customWidth="1"/>
    <col min="3" max="3" width="25" customWidth="1"/>
    <col min="4" max="4" width="30" customWidth="1"/>
    <col min="5" max="5" width="65" customWidth="1"/>
    <col min="6" max="6" width="16" customWidth="1"/>
    <col min="7" max="7" width="11" customWidth="1"/>
    <col min="9" max="9" width="21.26953125" customWidth="1"/>
  </cols>
  <sheetData>
    <row r="2" spans="2:11" ht="26" customHeight="1" x14ac:dyDescent="0.35">
      <c r="B2" s="54" t="s">
        <v>0</v>
      </c>
      <c r="C2" s="55"/>
      <c r="D2" s="55"/>
      <c r="E2" s="55"/>
      <c r="F2" s="55"/>
      <c r="G2" s="55"/>
      <c r="H2" s="55"/>
      <c r="I2" s="55"/>
      <c r="J2" s="55"/>
      <c r="K2" s="55"/>
    </row>
    <row r="3" spans="2:11" ht="18" customHeight="1" x14ac:dyDescent="0.35">
      <c r="B3" s="56" t="s">
        <v>1</v>
      </c>
      <c r="C3" s="55"/>
      <c r="D3" s="55"/>
      <c r="E3" s="55"/>
      <c r="F3" s="55"/>
      <c r="G3" s="55"/>
      <c r="H3" s="55"/>
      <c r="I3" s="55"/>
      <c r="J3" s="55"/>
      <c r="K3" s="55"/>
    </row>
    <row r="5" spans="2:11" ht="16" customHeight="1" x14ac:dyDescent="0.35">
      <c r="B5" s="51" t="s">
        <v>2</v>
      </c>
      <c r="C5" s="52"/>
      <c r="D5" s="51" t="s">
        <v>3</v>
      </c>
      <c r="E5" s="52"/>
      <c r="F5" s="51" t="s">
        <v>4</v>
      </c>
      <c r="G5" s="52"/>
      <c r="H5" s="51" t="s">
        <v>5</v>
      </c>
      <c r="I5" s="52"/>
      <c r="J5" s="51" t="s">
        <v>6</v>
      </c>
      <c r="K5" s="52"/>
    </row>
    <row r="6" spans="2:11" ht="24" customHeight="1" x14ac:dyDescent="0.35">
      <c r="B6" s="46">
        <v>14</v>
      </c>
      <c r="C6" s="47"/>
      <c r="D6" s="46">
        <v>10</v>
      </c>
      <c r="E6" s="47"/>
      <c r="F6" s="53" t="s">
        <v>7</v>
      </c>
      <c r="G6" s="47"/>
      <c r="H6" s="50">
        <v>106939940.48</v>
      </c>
      <c r="I6" s="47"/>
      <c r="J6" s="46">
        <v>21</v>
      </c>
      <c r="K6" s="47"/>
    </row>
    <row r="7" spans="2:11" ht="16" customHeight="1" x14ac:dyDescent="0.35">
      <c r="B7" s="48" t="s">
        <v>8</v>
      </c>
      <c r="C7" s="49"/>
      <c r="D7" s="48" t="s">
        <v>9</v>
      </c>
      <c r="E7" s="49"/>
      <c r="F7" s="48" t="s">
        <v>10</v>
      </c>
      <c r="G7" s="49"/>
      <c r="H7" s="48" t="s">
        <v>11</v>
      </c>
      <c r="I7" s="49"/>
      <c r="J7" s="48" t="s">
        <v>12</v>
      </c>
      <c r="K7" s="49"/>
    </row>
    <row r="9" spans="2:11" ht="16.5" x14ac:dyDescent="0.45">
      <c r="B9" s="1" t="s">
        <v>13</v>
      </c>
    </row>
    <row r="10" spans="2:11" ht="22" customHeight="1" x14ac:dyDescent="0.35">
      <c r="B10" s="2" t="s">
        <v>14</v>
      </c>
      <c r="C10" s="2" t="s">
        <v>15</v>
      </c>
      <c r="D10" s="2" t="s">
        <v>16</v>
      </c>
      <c r="E10" s="2" t="s">
        <v>17</v>
      </c>
      <c r="F10" s="2" t="s">
        <v>18</v>
      </c>
    </row>
    <row r="11" spans="2:11" ht="20" customHeight="1" x14ac:dyDescent="0.35">
      <c r="B11" s="3" t="s">
        <v>19</v>
      </c>
      <c r="C11" s="3" t="s">
        <v>20</v>
      </c>
      <c r="D11" s="4" t="s">
        <v>21</v>
      </c>
      <c r="E11" s="4" t="s">
        <v>22</v>
      </c>
      <c r="F11" s="5" t="str">
        <f>HYPERLINK("#'00_Aarsrapport_Forside_EVM'!A1", "Åpne rapport →")</f>
        <v>Åpne rapport →</v>
      </c>
    </row>
    <row r="12" spans="2:11" ht="20" customHeight="1" x14ac:dyDescent="0.35">
      <c r="B12" s="6" t="s">
        <v>23</v>
      </c>
      <c r="C12" s="6" t="s">
        <v>24</v>
      </c>
      <c r="D12" s="7" t="s">
        <v>25</v>
      </c>
      <c r="E12" s="7" t="s">
        <v>26</v>
      </c>
      <c r="F12" s="8" t="str">
        <f>HYPERLINK("#'01_Instituttleder'!A1", "Åpne rapport →")</f>
        <v>Åpne rapport →</v>
      </c>
    </row>
    <row r="13" spans="2:11" ht="20" customHeight="1" x14ac:dyDescent="0.35">
      <c r="B13" s="3" t="s">
        <v>27</v>
      </c>
      <c r="C13" s="3" t="s">
        <v>28</v>
      </c>
      <c r="D13" s="4" t="s">
        <v>29</v>
      </c>
      <c r="E13" s="4" t="s">
        <v>30</v>
      </c>
      <c r="F13" s="5" t="str">
        <f>HYPERLINK("#'02_Dekan'!A1", "Åpne rapport →")</f>
        <v>Åpne rapport →</v>
      </c>
    </row>
    <row r="14" spans="2:11" ht="20" customHeight="1" x14ac:dyDescent="0.35">
      <c r="B14" s="6" t="s">
        <v>31</v>
      </c>
      <c r="C14" s="6" t="s">
        <v>32</v>
      </c>
      <c r="D14" s="7" t="s">
        <v>33</v>
      </c>
      <c r="E14" s="7" t="s">
        <v>34</v>
      </c>
      <c r="F14" s="8" t="str">
        <f>HYPERLINK("#'03_Executive'!A1", "Åpne rapport →")</f>
        <v>Åpne rapport →</v>
      </c>
    </row>
    <row r="15" spans="2:11" ht="20" customHeight="1" x14ac:dyDescent="0.35">
      <c r="B15" s="3" t="s">
        <v>35</v>
      </c>
      <c r="C15" s="3" t="s">
        <v>36</v>
      </c>
      <c r="D15" s="4" t="s">
        <v>37</v>
      </c>
      <c r="E15" s="4" t="s">
        <v>38</v>
      </c>
      <c r="F15" s="5" t="str">
        <f>HYPERLINK("#'04_Styret'!A1", "Åpne rapport →")</f>
        <v>Åpne rapport →</v>
      </c>
    </row>
    <row r="16" spans="2:11" ht="20" customHeight="1" x14ac:dyDescent="0.35">
      <c r="B16" s="6" t="s">
        <v>39</v>
      </c>
      <c r="C16" s="6" t="s">
        <v>40</v>
      </c>
      <c r="D16" s="7" t="s">
        <v>41</v>
      </c>
      <c r="E16" s="7" t="s">
        <v>42</v>
      </c>
      <c r="F16" s="8" t="str">
        <f>HYPERLINK("#'05_Forskning_BOA'!A1", "Åpne rapport →")</f>
        <v>Åpne rapport →</v>
      </c>
    </row>
    <row r="17" spans="2:6" ht="20" customHeight="1" x14ac:dyDescent="0.35">
      <c r="B17" s="3" t="s">
        <v>43</v>
      </c>
      <c r="C17" s="3" t="s">
        <v>44</v>
      </c>
      <c r="D17" s="4" t="s">
        <v>45</v>
      </c>
      <c r="E17" s="4" t="s">
        <v>46</v>
      </c>
      <c r="F17" s="5" t="str">
        <f>HYPERLINK("#'06_Studieportefolje'!A1", "Åpne rapport →")</f>
        <v>Åpne rapport →</v>
      </c>
    </row>
    <row r="18" spans="2:6" ht="20" customHeight="1" x14ac:dyDescent="0.35">
      <c r="B18" s="6" t="s">
        <v>47</v>
      </c>
      <c r="C18" s="6" t="s">
        <v>48</v>
      </c>
      <c r="D18" s="7" t="s">
        <v>49</v>
      </c>
      <c r="E18" s="7" t="s">
        <v>50</v>
      </c>
      <c r="F18" s="8" t="str">
        <f>HYPERLINK("#'07_Action_Tracker'!A1", "Åpne rapport →")</f>
        <v>Åpne rapport →</v>
      </c>
    </row>
    <row r="19" spans="2:6" ht="20" customHeight="1" x14ac:dyDescent="0.35">
      <c r="B19" s="3" t="s">
        <v>51</v>
      </c>
      <c r="C19" s="3" t="s">
        <v>52</v>
      </c>
      <c r="D19" s="4" t="s">
        <v>53</v>
      </c>
      <c r="E19" s="4" t="s">
        <v>54</v>
      </c>
      <c r="F19" s="5" t="str">
        <f>HYPERLINK("#'08_Controller_Cockpit'!A1", "Åpne rapport →")</f>
        <v>Åpne rapport →</v>
      </c>
    </row>
    <row r="20" spans="2:6" ht="20" customHeight="1" x14ac:dyDescent="0.35">
      <c r="B20" s="6" t="s">
        <v>55</v>
      </c>
      <c r="C20" s="6" t="s">
        <v>56</v>
      </c>
      <c r="D20" s="7" t="s">
        <v>57</v>
      </c>
      <c r="E20" s="7" t="s">
        <v>58</v>
      </c>
      <c r="F20" s="8" t="str">
        <f>HYPERLINK("#'09_Begrepskatalog'!A1", "Åpne rapport →")</f>
        <v>Åpne rapport →</v>
      </c>
    </row>
    <row r="21" spans="2:6" ht="20" customHeight="1" x14ac:dyDescent="0.35">
      <c r="B21" s="3" t="s">
        <v>59</v>
      </c>
      <c r="C21" s="3" t="s">
        <v>60</v>
      </c>
      <c r="D21" s="4" t="s">
        <v>61</v>
      </c>
      <c r="E21" s="4" t="s">
        <v>62</v>
      </c>
      <c r="F21" s="5" t="str">
        <f>HYPERLINK("#'UC_Statlige_Use_Cases'!A1", "Åpne rapport →")</f>
        <v>Åpne rapport →</v>
      </c>
    </row>
    <row r="22" spans="2:6" ht="20" customHeight="1" x14ac:dyDescent="0.35">
      <c r="B22" s="6" t="s">
        <v>63</v>
      </c>
      <c r="C22" s="6" t="s">
        <v>64</v>
      </c>
      <c r="D22" s="7" t="s">
        <v>65</v>
      </c>
      <c r="E22" s="7" t="s">
        <v>66</v>
      </c>
      <c r="F22" s="8" t="str">
        <f>HYPERLINK("#'LP_Laereplaner_KD2025'!A1", "Åpne rapport →")</f>
        <v>Åpne rapport →</v>
      </c>
    </row>
    <row r="23" spans="2:6" ht="20" customHeight="1" x14ac:dyDescent="0.35">
      <c r="B23" s="3" t="s">
        <v>67</v>
      </c>
      <c r="C23" s="3" t="s">
        <v>68</v>
      </c>
      <c r="D23" s="4" t="s">
        <v>69</v>
      </c>
      <c r="E23" s="4" t="s">
        <v>70</v>
      </c>
      <c r="F23" s="5" t="str">
        <f>HYPERLINK("#'DT_Okonomi'!A1", "Åpne rapport →")</f>
        <v>Åpne rapport →</v>
      </c>
    </row>
    <row r="24" spans="2:6" ht="20" customHeight="1" x14ac:dyDescent="0.35">
      <c r="B24" s="6" t="s">
        <v>71</v>
      </c>
      <c r="C24" s="6" t="s">
        <v>72</v>
      </c>
      <c r="D24" s="7" t="s">
        <v>73</v>
      </c>
      <c r="E24" s="7" t="s">
        <v>74</v>
      </c>
      <c r="F24" s="8" t="str">
        <f>HYPERLINK("#'DT_Bemanning'!A1", "Åpne rapport →")</f>
        <v>Åpne rapport →</v>
      </c>
    </row>
    <row r="25" spans="2:6" ht="20" customHeight="1" x14ac:dyDescent="0.35">
      <c r="B25" s="3" t="s">
        <v>75</v>
      </c>
      <c r="C25" s="3" t="s">
        <v>76</v>
      </c>
      <c r="D25" s="4" t="s">
        <v>77</v>
      </c>
      <c r="E25" s="4" t="s">
        <v>78</v>
      </c>
      <c r="F25" s="5" t="str">
        <f>HYPERLINK("#'DT_Prosjekt_EVM'!A1", "Åpne rapport →")</f>
        <v>Åpne rapport →</v>
      </c>
    </row>
    <row r="26" spans="2:6" ht="20" customHeight="1" x14ac:dyDescent="0.35">
      <c r="B26" s="6" t="s">
        <v>79</v>
      </c>
      <c r="C26" s="6" t="s">
        <v>80</v>
      </c>
      <c r="D26" s="7" t="s">
        <v>81</v>
      </c>
      <c r="E26" s="7" t="s">
        <v>82</v>
      </c>
      <c r="F26" s="8" t="str">
        <f>HYPERLINK("#'DT_Tiltakskort'!A1", "Åpne rapport →")</f>
        <v>Åpne rapport →</v>
      </c>
    </row>
    <row r="27" spans="2:6" ht="20" customHeight="1" x14ac:dyDescent="0.35">
      <c r="B27" s="3" t="s">
        <v>83</v>
      </c>
      <c r="C27" s="3" t="s">
        <v>84</v>
      </c>
      <c r="D27" s="4" t="s">
        <v>85</v>
      </c>
      <c r="E27" s="4" t="s">
        <v>86</v>
      </c>
      <c r="F27" s="5" t="str">
        <f>HYPERLINK("#'DT_Studieaktivitet'!A1", "Åpne rapport →")</f>
        <v>Åpne rapport →</v>
      </c>
    </row>
    <row r="30" spans="2:6" ht="16.5" x14ac:dyDescent="0.45">
      <c r="B30" s="1" t="s">
        <v>87</v>
      </c>
    </row>
    <row r="31" spans="2:6" ht="19" customHeight="1" x14ac:dyDescent="0.35">
      <c r="B31" s="6" t="s">
        <v>88</v>
      </c>
      <c r="C31" s="6" t="s">
        <v>89</v>
      </c>
      <c r="D31" s="7" t="s">
        <v>90</v>
      </c>
      <c r="E31" s="7" t="s">
        <v>91</v>
      </c>
      <c r="F31" s="8" t="str">
        <f>HYPERLINK("#'DimGlossary'!A1", "Vis tabell →")</f>
        <v>Vis tabell →</v>
      </c>
    </row>
    <row r="32" spans="2:6" ht="19" customHeight="1" x14ac:dyDescent="0.35">
      <c r="B32" s="6" t="s">
        <v>88</v>
      </c>
      <c r="C32" s="6" t="s">
        <v>92</v>
      </c>
      <c r="D32" s="7" t="s">
        <v>90</v>
      </c>
      <c r="E32" s="7" t="s">
        <v>93</v>
      </c>
      <c r="F32" s="8" t="str">
        <f>HYPERLINK("#'DimAccount'!A1", "Vis tabell →")</f>
        <v>Vis tabell →</v>
      </c>
    </row>
    <row r="33" spans="2:6" ht="19" customHeight="1" x14ac:dyDescent="0.35">
      <c r="B33" s="6" t="s">
        <v>88</v>
      </c>
      <c r="C33" s="6" t="s">
        <v>94</v>
      </c>
      <c r="D33" s="7" t="s">
        <v>90</v>
      </c>
      <c r="E33" s="7" t="s">
        <v>95</v>
      </c>
      <c r="F33" s="8" t="str">
        <f>HYPERLINK("#'DimOrganization'!A1", "Vis tabell →")</f>
        <v>Vis tabell →</v>
      </c>
    </row>
    <row r="34" spans="2:6" ht="19" customHeight="1" x14ac:dyDescent="0.35">
      <c r="B34" s="6" t="s">
        <v>88</v>
      </c>
      <c r="C34" s="6" t="s">
        <v>96</v>
      </c>
      <c r="D34" s="7" t="s">
        <v>90</v>
      </c>
      <c r="E34" s="7" t="s">
        <v>97</v>
      </c>
      <c r="F34" s="8" t="str">
        <f>HYPERLINK("#'DimProject'!A1", "Vis tabell →")</f>
        <v>Vis tabell →</v>
      </c>
    </row>
    <row r="35" spans="2:6" ht="19" customHeight="1" x14ac:dyDescent="0.35">
      <c r="B35" s="6" t="s">
        <v>88</v>
      </c>
      <c r="C35" s="6" t="s">
        <v>98</v>
      </c>
      <c r="D35" s="7" t="s">
        <v>90</v>
      </c>
      <c r="E35" s="7" t="s">
        <v>99</v>
      </c>
      <c r="F35" s="8" t="str">
        <f>HYPERLINK("#'FactProjectBOA'!A1", "Vis tabell →")</f>
        <v>Vis tabell →</v>
      </c>
    </row>
    <row r="36" spans="2:6" ht="19" customHeight="1" x14ac:dyDescent="0.35">
      <c r="B36" s="6" t="s">
        <v>88</v>
      </c>
      <c r="C36" s="6" t="s">
        <v>100</v>
      </c>
      <c r="D36" s="7" t="s">
        <v>90</v>
      </c>
      <c r="E36" s="7" t="s">
        <v>101</v>
      </c>
      <c r="F36" s="8" t="str">
        <f>HYPERLINK("#'FactBudget'!A1", "Vis tabell →")</f>
        <v>Vis tabell →</v>
      </c>
    </row>
    <row r="37" spans="2:6" ht="19" customHeight="1" x14ac:dyDescent="0.35">
      <c r="B37" s="6" t="s">
        <v>88</v>
      </c>
      <c r="C37" s="6" t="s">
        <v>102</v>
      </c>
      <c r="D37" s="7" t="s">
        <v>90</v>
      </c>
      <c r="E37" s="7" t="s">
        <v>103</v>
      </c>
      <c r="F37" s="8" t="str">
        <f>HYPERLINK("#'FactForecast'!A1", "Vis tabell →")</f>
        <v>Vis tabell →</v>
      </c>
    </row>
    <row r="38" spans="2:6" ht="19" customHeight="1" x14ac:dyDescent="0.35">
      <c r="B38" s="6" t="s">
        <v>88</v>
      </c>
      <c r="C38" s="6" t="s">
        <v>104</v>
      </c>
      <c r="D38" s="7" t="s">
        <v>90</v>
      </c>
      <c r="E38" s="7" t="s">
        <v>105</v>
      </c>
      <c r="F38" s="8" t="str">
        <f>HYPERLINK("#'FactFTE'!A1", "Vis tabell →")</f>
        <v>Vis tabell →</v>
      </c>
    </row>
    <row r="39" spans="2:6" ht="19" customHeight="1" x14ac:dyDescent="0.35">
      <c r="B39" s="6" t="s">
        <v>88</v>
      </c>
      <c r="C39" s="6" t="s">
        <v>106</v>
      </c>
      <c r="D39" s="7" t="s">
        <v>90</v>
      </c>
      <c r="E39" s="7" t="s">
        <v>107</v>
      </c>
      <c r="F39" s="8" t="str">
        <f>HYPERLINK("#'FactStudyPoints'!A1", "Vis tabell →")</f>
        <v>Vis tabell →</v>
      </c>
    </row>
    <row r="40" spans="2:6" ht="19" customHeight="1" x14ac:dyDescent="0.35">
      <c r="B40" s="6" t="s">
        <v>88</v>
      </c>
      <c r="C40" s="6" t="s">
        <v>108</v>
      </c>
      <c r="D40" s="7" t="s">
        <v>90</v>
      </c>
      <c r="E40" s="7" t="s">
        <v>109</v>
      </c>
      <c r="F40" s="8" t="str">
        <f>HYPERLINK("#'FactAction'!A1", "Vis tabell →")</f>
        <v>Vis tabell →</v>
      </c>
    </row>
    <row r="41" spans="2:6" ht="19" customHeight="1" x14ac:dyDescent="0.35">
      <c r="B41" s="6" t="s">
        <v>88</v>
      </c>
      <c r="C41" s="6" t="s">
        <v>110</v>
      </c>
      <c r="D41" s="7" t="s">
        <v>90</v>
      </c>
      <c r="E41" s="7" t="s">
        <v>111</v>
      </c>
      <c r="F41" s="8" t="str">
        <f>HYPERLINK("#'FactGL'!A1", "Vis tabell →")</f>
        <v>Vis tabell →</v>
      </c>
    </row>
  </sheetData>
  <mergeCells count="17">
    <mergeCell ref="B2:K2"/>
    <mergeCell ref="B3:K3"/>
    <mergeCell ref="F7:G7"/>
    <mergeCell ref="J5:K5"/>
    <mergeCell ref="J6:K6"/>
    <mergeCell ref="B5:C5"/>
    <mergeCell ref="H7:I7"/>
    <mergeCell ref="F5:G5"/>
    <mergeCell ref="D5:E5"/>
    <mergeCell ref="J7:K7"/>
    <mergeCell ref="F6:G6"/>
    <mergeCell ref="H5:I5"/>
    <mergeCell ref="D6:E6"/>
    <mergeCell ref="B6:C6"/>
    <mergeCell ref="D7:E7"/>
    <mergeCell ref="B7:C7"/>
    <mergeCell ref="H6:I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284C7"/>
  </sheetPr>
  <dimension ref="B1:P50"/>
  <sheetViews>
    <sheetView zoomScale="85" workbookViewId="0"/>
  </sheetViews>
  <sheetFormatPr defaultRowHeight="14.5" x14ac:dyDescent="0.35"/>
  <cols>
    <col min="1" max="1" width="11" customWidth="1"/>
    <col min="2" max="2" width="14" customWidth="1"/>
    <col min="3" max="4" width="12" customWidth="1"/>
    <col min="5" max="5" width="17.36328125" customWidth="1"/>
    <col min="6" max="6" width="14" customWidth="1"/>
    <col min="7" max="9" width="12" customWidth="1"/>
    <col min="10" max="10" width="14" customWidth="1"/>
    <col min="11" max="11" width="12" customWidth="1"/>
    <col min="12" max="17" width="11" customWidth="1"/>
  </cols>
  <sheetData>
    <row r="1" spans="2:15" ht="24" customHeight="1" x14ac:dyDescent="0.35">
      <c r="B1" s="57" t="s">
        <v>112</v>
      </c>
      <c r="C1" s="55"/>
      <c r="D1" s="55"/>
      <c r="E1" s="55"/>
      <c r="F1" s="55"/>
      <c r="G1" s="55"/>
      <c r="H1" s="55"/>
      <c r="I1" s="55"/>
      <c r="J1" s="55"/>
      <c r="K1" s="55"/>
      <c r="L1" s="55"/>
      <c r="M1" s="55"/>
      <c r="N1" s="55"/>
      <c r="O1" s="9" t="str">
        <f>HYPERLINK("#'00_Forside_Navigasjon'!A1", "← Hovedmeny")</f>
        <v>← Hovedmeny</v>
      </c>
    </row>
    <row r="2" spans="2:15" ht="18" customHeight="1" x14ac:dyDescent="0.35">
      <c r="B2" s="58" t="s">
        <v>113</v>
      </c>
      <c r="C2" s="55"/>
      <c r="D2" s="55"/>
      <c r="E2" s="55"/>
      <c r="F2" s="55"/>
      <c r="G2" s="55"/>
      <c r="H2" s="55"/>
      <c r="I2" s="55"/>
      <c r="J2" s="55"/>
      <c r="K2" s="55"/>
      <c r="L2" s="55"/>
      <c r="M2" s="55"/>
      <c r="N2" s="55"/>
      <c r="O2" s="55"/>
    </row>
    <row r="4" spans="2:15" ht="24" customHeight="1" x14ac:dyDescent="0.35">
      <c r="B4" s="59" t="s">
        <v>114</v>
      </c>
      <c r="C4" s="55"/>
      <c r="D4" s="55"/>
      <c r="E4" s="55"/>
      <c r="F4" s="55"/>
      <c r="G4" s="55"/>
      <c r="H4" s="55"/>
      <c r="I4" s="55"/>
      <c r="J4" s="55"/>
      <c r="K4" s="55"/>
      <c r="L4" s="55"/>
      <c r="M4" s="55"/>
      <c r="N4" s="55"/>
    </row>
    <row r="5" spans="2:15" ht="24" customHeight="1" x14ac:dyDescent="0.35">
      <c r="B5" s="55"/>
      <c r="C5" s="55"/>
      <c r="D5" s="55"/>
      <c r="E5" s="55"/>
      <c r="F5" s="55"/>
      <c r="G5" s="55"/>
      <c r="H5" s="55"/>
      <c r="I5" s="55"/>
      <c r="J5" s="55"/>
      <c r="K5" s="55"/>
      <c r="L5" s="55"/>
      <c r="M5" s="55"/>
      <c r="N5" s="55"/>
    </row>
    <row r="7" spans="2:15" ht="16" customHeight="1" x14ac:dyDescent="0.35">
      <c r="B7" s="51" t="s">
        <v>115</v>
      </c>
      <c r="C7" s="52"/>
      <c r="D7" s="51" t="s">
        <v>116</v>
      </c>
      <c r="E7" s="52"/>
      <c r="F7" s="51" t="s">
        <v>117</v>
      </c>
      <c r="G7" s="52"/>
      <c r="H7" s="51" t="s">
        <v>118</v>
      </c>
      <c r="I7" s="52"/>
    </row>
    <row r="8" spans="2:15" ht="24" customHeight="1" x14ac:dyDescent="0.35">
      <c r="B8" s="50">
        <v>1433000000</v>
      </c>
      <c r="C8" s="47"/>
      <c r="D8" s="50">
        <v>1444000000</v>
      </c>
      <c r="E8" s="47"/>
      <c r="F8" s="60">
        <v>0.95</v>
      </c>
      <c r="G8" s="47"/>
      <c r="H8" s="60">
        <v>0.92</v>
      </c>
      <c r="I8" s="47"/>
    </row>
    <row r="9" spans="2:15" ht="16" customHeight="1" x14ac:dyDescent="0.35">
      <c r="B9" s="48" t="s">
        <v>119</v>
      </c>
      <c r="C9" s="49"/>
      <c r="D9" s="48" t="s">
        <v>120</v>
      </c>
      <c r="E9" s="49"/>
      <c r="F9" s="48" t="s">
        <v>121</v>
      </c>
      <c r="G9" s="49"/>
      <c r="H9" s="48" t="s">
        <v>122</v>
      </c>
      <c r="I9" s="49"/>
    </row>
    <row r="11" spans="2:15" ht="16.5" x14ac:dyDescent="0.45">
      <c r="B11" s="1" t="s">
        <v>123</v>
      </c>
    </row>
    <row r="12" spans="2:15" ht="20" customHeight="1" x14ac:dyDescent="0.35">
      <c r="B12" s="2" t="s">
        <v>124</v>
      </c>
      <c r="C12" s="10" t="s">
        <v>125</v>
      </c>
      <c r="D12" s="10" t="s">
        <v>126</v>
      </c>
      <c r="E12" s="10" t="s">
        <v>127</v>
      </c>
      <c r="F12" s="2" t="s">
        <v>128</v>
      </c>
      <c r="G12" s="2" t="s">
        <v>129</v>
      </c>
    </row>
    <row r="13" spans="2:15" x14ac:dyDescent="0.35">
      <c r="B13" s="6" t="s">
        <v>130</v>
      </c>
      <c r="C13" s="11">
        <v>1433</v>
      </c>
      <c r="D13" s="12">
        <v>1</v>
      </c>
      <c r="E13" s="7"/>
      <c r="F13" s="7" t="s">
        <v>131</v>
      </c>
      <c r="G13" s="7" t="s">
        <v>132</v>
      </c>
    </row>
    <row r="14" spans="2:15" x14ac:dyDescent="0.35">
      <c r="B14" s="7" t="s">
        <v>133</v>
      </c>
      <c r="C14" s="13">
        <v>1234</v>
      </c>
      <c r="D14" s="12">
        <v>0.86109999999999998</v>
      </c>
      <c r="E14" s="7"/>
      <c r="F14" s="7" t="s">
        <v>134</v>
      </c>
      <c r="G14" s="7" t="s">
        <v>135</v>
      </c>
    </row>
    <row r="15" spans="2:15" x14ac:dyDescent="0.35">
      <c r="B15" s="7" t="s">
        <v>136</v>
      </c>
      <c r="C15" s="13">
        <v>123</v>
      </c>
      <c r="D15" s="12">
        <v>8.5800000000000001E-2</v>
      </c>
      <c r="E15" s="7"/>
      <c r="F15" s="7" t="s">
        <v>137</v>
      </c>
      <c r="G15" s="7" t="s">
        <v>138</v>
      </c>
    </row>
    <row r="16" spans="2:15" x14ac:dyDescent="0.35">
      <c r="B16" s="7" t="s">
        <v>139</v>
      </c>
      <c r="C16" s="13">
        <v>76</v>
      </c>
      <c r="D16" s="12">
        <v>5.2999999999999999E-2</v>
      </c>
      <c r="E16" s="7"/>
      <c r="F16" s="7" t="s">
        <v>140</v>
      </c>
      <c r="G16" s="7" t="s">
        <v>141</v>
      </c>
    </row>
    <row r="17" spans="2:7" x14ac:dyDescent="0.35">
      <c r="B17" s="6" t="s">
        <v>142</v>
      </c>
      <c r="C17" s="11">
        <v>1444</v>
      </c>
      <c r="D17" s="12">
        <v>1.0077</v>
      </c>
      <c r="E17" s="12">
        <v>1</v>
      </c>
      <c r="F17" s="7" t="s">
        <v>131</v>
      </c>
      <c r="G17" s="7" t="s">
        <v>143</v>
      </c>
    </row>
    <row r="18" spans="2:7" x14ac:dyDescent="0.35">
      <c r="B18" s="7" t="s">
        <v>144</v>
      </c>
      <c r="C18" s="13">
        <v>944</v>
      </c>
      <c r="D18" s="12">
        <v>0.65880000000000005</v>
      </c>
      <c r="E18" s="12">
        <v>0.65369999999999995</v>
      </c>
      <c r="F18" s="7" t="s">
        <v>145</v>
      </c>
      <c r="G18" s="7" t="s">
        <v>146</v>
      </c>
    </row>
    <row r="19" spans="2:7" x14ac:dyDescent="0.35">
      <c r="B19" s="7" t="s">
        <v>147</v>
      </c>
      <c r="C19" s="13">
        <v>340</v>
      </c>
      <c r="D19" s="12">
        <v>0.23730000000000001</v>
      </c>
      <c r="E19" s="12">
        <v>0.23549999999999999</v>
      </c>
      <c r="F19" s="7" t="s">
        <v>148</v>
      </c>
      <c r="G19" s="7" t="s">
        <v>149</v>
      </c>
    </row>
    <row r="20" spans="2:7" x14ac:dyDescent="0.35">
      <c r="B20" s="7" t="s">
        <v>150</v>
      </c>
      <c r="C20" s="13">
        <v>160</v>
      </c>
      <c r="D20" s="12">
        <v>0.11169999999999999</v>
      </c>
      <c r="E20" s="12">
        <v>0.1108</v>
      </c>
      <c r="F20" s="7" t="s">
        <v>151</v>
      </c>
      <c r="G20" s="7" t="s">
        <v>152</v>
      </c>
    </row>
    <row r="21" spans="2:7" x14ac:dyDescent="0.35">
      <c r="B21" s="6" t="s">
        <v>153</v>
      </c>
      <c r="C21" s="11">
        <v>-11</v>
      </c>
      <c r="D21" s="12">
        <v>-7.7000000000000002E-3</v>
      </c>
      <c r="E21" s="7"/>
      <c r="F21" s="7" t="s">
        <v>154</v>
      </c>
      <c r="G21" s="7" t="s">
        <v>155</v>
      </c>
    </row>
    <row r="24" spans="2:7" ht="16.5" x14ac:dyDescent="0.45">
      <c r="B24" s="1" t="s">
        <v>156</v>
      </c>
    </row>
    <row r="25" spans="2:7" ht="20" customHeight="1" x14ac:dyDescent="0.35">
      <c r="B25" s="2" t="s">
        <v>157</v>
      </c>
      <c r="C25" s="10" t="s">
        <v>158</v>
      </c>
      <c r="D25" s="2" t="s">
        <v>159</v>
      </c>
      <c r="E25" s="2" t="s">
        <v>160</v>
      </c>
    </row>
    <row r="26" spans="2:7" x14ac:dyDescent="0.35">
      <c r="B26" s="6" t="s">
        <v>161</v>
      </c>
      <c r="C26" s="6" t="s">
        <v>162</v>
      </c>
      <c r="D26" s="7" t="s">
        <v>163</v>
      </c>
      <c r="E26" s="7" t="s">
        <v>164</v>
      </c>
    </row>
    <row r="27" spans="2:7" x14ac:dyDescent="0.35">
      <c r="B27" s="6" t="s">
        <v>165</v>
      </c>
      <c r="C27" s="6" t="s">
        <v>166</v>
      </c>
      <c r="D27" s="7" t="s">
        <v>167</v>
      </c>
      <c r="E27" s="7" t="s">
        <v>168</v>
      </c>
    </row>
    <row r="28" spans="2:7" x14ac:dyDescent="0.35">
      <c r="B28" s="6" t="s">
        <v>169</v>
      </c>
      <c r="C28" s="6" t="s">
        <v>170</v>
      </c>
      <c r="D28" s="7" t="s">
        <v>171</v>
      </c>
      <c r="E28" s="7" t="s">
        <v>172</v>
      </c>
    </row>
    <row r="29" spans="2:7" x14ac:dyDescent="0.35">
      <c r="B29" s="6" t="s">
        <v>173</v>
      </c>
      <c r="C29" s="6" t="s">
        <v>174</v>
      </c>
      <c r="D29" s="7" t="s">
        <v>175</v>
      </c>
      <c r="E29" s="7" t="s">
        <v>176</v>
      </c>
    </row>
    <row r="30" spans="2:7" x14ac:dyDescent="0.35">
      <c r="B30" s="6" t="s">
        <v>177</v>
      </c>
      <c r="C30" s="6" t="s">
        <v>178</v>
      </c>
      <c r="D30" s="7" t="s">
        <v>179</v>
      </c>
      <c r="E30" s="7" t="s">
        <v>180</v>
      </c>
    </row>
    <row r="31" spans="2:7" x14ac:dyDescent="0.35">
      <c r="B31" s="6" t="s">
        <v>181</v>
      </c>
      <c r="C31" s="6" t="s">
        <v>182</v>
      </c>
      <c r="D31" s="7" t="s">
        <v>183</v>
      </c>
      <c r="E31" s="7" t="s">
        <v>184</v>
      </c>
    </row>
    <row r="32" spans="2:7" x14ac:dyDescent="0.35">
      <c r="B32" s="6" t="s">
        <v>185</v>
      </c>
      <c r="C32" s="6" t="s">
        <v>170</v>
      </c>
      <c r="D32" s="7" t="s">
        <v>186</v>
      </c>
      <c r="E32" s="7" t="s">
        <v>187</v>
      </c>
    </row>
    <row r="33" spans="2:16" x14ac:dyDescent="0.35">
      <c r="B33" s="6" t="s">
        <v>188</v>
      </c>
      <c r="C33" s="6" t="s">
        <v>189</v>
      </c>
      <c r="D33" s="7" t="s">
        <v>190</v>
      </c>
      <c r="E33" s="7" t="s">
        <v>191</v>
      </c>
    </row>
    <row r="36" spans="2:16" ht="16.5" x14ac:dyDescent="0.45">
      <c r="B36" s="1" t="s">
        <v>192</v>
      </c>
    </row>
    <row r="37" spans="2:16" ht="20" customHeight="1" x14ac:dyDescent="0.35">
      <c r="B37" s="2" t="s">
        <v>193</v>
      </c>
      <c r="C37" s="10" t="s">
        <v>194</v>
      </c>
      <c r="D37" s="10" t="s">
        <v>195</v>
      </c>
      <c r="E37" s="10" t="s">
        <v>196</v>
      </c>
      <c r="F37" s="10" t="s">
        <v>197</v>
      </c>
      <c r="G37" s="10" t="s">
        <v>198</v>
      </c>
      <c r="H37" s="10" t="s">
        <v>199</v>
      </c>
      <c r="I37" s="10" t="s">
        <v>200</v>
      </c>
      <c r="J37" s="10" t="s">
        <v>201</v>
      </c>
      <c r="K37" s="10" t="s">
        <v>202</v>
      </c>
      <c r="L37" s="10" t="s">
        <v>203</v>
      </c>
      <c r="M37" s="10" t="s">
        <v>204</v>
      </c>
      <c r="N37" s="10" t="s">
        <v>205</v>
      </c>
      <c r="O37" s="10" t="s">
        <v>206</v>
      </c>
      <c r="P37" s="10" t="s">
        <v>207</v>
      </c>
    </row>
    <row r="38" spans="2:16" x14ac:dyDescent="0.35">
      <c r="B38" s="14" t="s">
        <v>208</v>
      </c>
      <c r="C38" s="13">
        <v>102.8</v>
      </c>
      <c r="D38" s="13">
        <v>8.5</v>
      </c>
      <c r="E38" s="13">
        <v>5.8</v>
      </c>
      <c r="F38" s="13">
        <v>117.1</v>
      </c>
      <c r="G38" s="13">
        <v>76.5</v>
      </c>
      <c r="H38" s="13">
        <v>27.5</v>
      </c>
      <c r="I38" s="13">
        <v>10.5</v>
      </c>
      <c r="J38" s="13">
        <v>114.5</v>
      </c>
      <c r="K38" s="13">
        <v>2.6</v>
      </c>
      <c r="L38" s="13">
        <v>121</v>
      </c>
      <c r="M38" s="13">
        <v>111</v>
      </c>
      <c r="N38" s="13">
        <v>114.5</v>
      </c>
      <c r="O38" s="15">
        <v>0.96899999999999997</v>
      </c>
      <c r="P38" s="15">
        <v>0.91700000000000004</v>
      </c>
    </row>
    <row r="39" spans="2:16" x14ac:dyDescent="0.35">
      <c r="B39" s="14" t="s">
        <v>209</v>
      </c>
      <c r="C39" s="13">
        <v>102.8</v>
      </c>
      <c r="D39" s="13">
        <v>9.1999999999999993</v>
      </c>
      <c r="E39" s="13">
        <v>7.5</v>
      </c>
      <c r="F39" s="13">
        <v>119.5</v>
      </c>
      <c r="G39" s="13">
        <v>77</v>
      </c>
      <c r="H39" s="13">
        <v>26.5</v>
      </c>
      <c r="I39" s="13">
        <v>11</v>
      </c>
      <c r="J39" s="13">
        <v>114.5</v>
      </c>
      <c r="K39" s="13">
        <v>5</v>
      </c>
      <c r="L39" s="13">
        <v>243</v>
      </c>
      <c r="M39" s="13">
        <v>223</v>
      </c>
      <c r="N39" s="13">
        <v>229</v>
      </c>
      <c r="O39" s="15">
        <v>0.97399999999999998</v>
      </c>
      <c r="P39" s="15">
        <v>0.91800000000000004</v>
      </c>
    </row>
    <row r="40" spans="2:16" x14ac:dyDescent="0.35">
      <c r="B40" s="14" t="s">
        <v>210</v>
      </c>
      <c r="C40" s="13">
        <v>102.8</v>
      </c>
      <c r="D40" s="13">
        <v>10.1</v>
      </c>
      <c r="E40" s="13">
        <v>6.2</v>
      </c>
      <c r="F40" s="13">
        <v>119.1</v>
      </c>
      <c r="G40" s="13">
        <v>78.5</v>
      </c>
      <c r="H40" s="13">
        <v>30</v>
      </c>
      <c r="I40" s="13">
        <v>12.5</v>
      </c>
      <c r="J40" s="13">
        <v>121</v>
      </c>
      <c r="K40" s="13">
        <v>-1.9</v>
      </c>
      <c r="L40" s="13">
        <v>371</v>
      </c>
      <c r="M40" s="13">
        <v>341</v>
      </c>
      <c r="N40" s="13">
        <v>350</v>
      </c>
      <c r="O40" s="15">
        <v>0.97399999999999998</v>
      </c>
      <c r="P40" s="15">
        <v>0.91900000000000004</v>
      </c>
    </row>
    <row r="41" spans="2:16" x14ac:dyDescent="0.35">
      <c r="B41" s="14" t="s">
        <v>211</v>
      </c>
      <c r="C41" s="13">
        <v>102.8</v>
      </c>
      <c r="D41" s="13">
        <v>10.5</v>
      </c>
      <c r="E41" s="13">
        <v>6.4</v>
      </c>
      <c r="F41" s="13">
        <v>119.7</v>
      </c>
      <c r="G41" s="13">
        <v>78</v>
      </c>
      <c r="H41" s="13">
        <v>28.5</v>
      </c>
      <c r="I41" s="13">
        <v>13</v>
      </c>
      <c r="J41" s="13">
        <v>119.5</v>
      </c>
      <c r="K41" s="13">
        <v>0.2</v>
      </c>
      <c r="L41" s="13">
        <v>498</v>
      </c>
      <c r="M41" s="13">
        <v>458</v>
      </c>
      <c r="N41" s="13">
        <v>469.5</v>
      </c>
      <c r="O41" s="15">
        <v>0.97599999999999998</v>
      </c>
      <c r="P41" s="15">
        <v>0.92</v>
      </c>
    </row>
    <row r="42" spans="2:16" x14ac:dyDescent="0.35">
      <c r="B42" s="14" t="s">
        <v>212</v>
      </c>
      <c r="C42" s="13">
        <v>102.9</v>
      </c>
      <c r="D42" s="13">
        <v>11.2</v>
      </c>
      <c r="E42" s="13">
        <v>6.5</v>
      </c>
      <c r="F42" s="13">
        <v>120.6</v>
      </c>
      <c r="G42" s="13">
        <v>79.5</v>
      </c>
      <c r="H42" s="13">
        <v>30.5</v>
      </c>
      <c r="I42" s="13">
        <v>14</v>
      </c>
      <c r="J42" s="13">
        <v>124</v>
      </c>
      <c r="K42" s="13">
        <v>-3.4</v>
      </c>
      <c r="L42" s="13">
        <v>629</v>
      </c>
      <c r="M42" s="13">
        <v>578</v>
      </c>
      <c r="N42" s="13">
        <v>593.5</v>
      </c>
      <c r="O42" s="15">
        <v>0.97399999999999998</v>
      </c>
      <c r="P42" s="15">
        <v>0.91900000000000004</v>
      </c>
    </row>
    <row r="43" spans="2:16" x14ac:dyDescent="0.35">
      <c r="B43" s="14" t="s">
        <v>213</v>
      </c>
      <c r="C43" s="13">
        <v>102.9</v>
      </c>
      <c r="D43" s="13">
        <v>11.5</v>
      </c>
      <c r="E43" s="13">
        <v>6.8</v>
      </c>
      <c r="F43" s="13">
        <v>121.2</v>
      </c>
      <c r="G43" s="13">
        <v>116</v>
      </c>
      <c r="H43" s="13">
        <v>33</v>
      </c>
      <c r="I43" s="13">
        <v>16</v>
      </c>
      <c r="J43" s="13">
        <v>165</v>
      </c>
      <c r="K43" s="13">
        <v>-43.8</v>
      </c>
      <c r="L43" s="13">
        <v>774</v>
      </c>
      <c r="M43" s="13">
        <v>711</v>
      </c>
      <c r="N43" s="13">
        <v>758.5</v>
      </c>
      <c r="O43" s="15">
        <v>0.93700000000000006</v>
      </c>
      <c r="P43" s="15">
        <v>0.91900000000000004</v>
      </c>
    </row>
    <row r="44" spans="2:16" x14ac:dyDescent="0.35">
      <c r="B44" s="14" t="s">
        <v>214</v>
      </c>
      <c r="C44" s="13">
        <v>102.8</v>
      </c>
      <c r="D44" s="13">
        <v>6.2</v>
      </c>
      <c r="E44" s="13">
        <v>4.2</v>
      </c>
      <c r="F44" s="13">
        <v>113.2</v>
      </c>
      <c r="G44" s="13">
        <v>60.5</v>
      </c>
      <c r="H44" s="13">
        <v>20</v>
      </c>
      <c r="I44" s="13">
        <v>9</v>
      </c>
      <c r="J44" s="13">
        <v>89.5</v>
      </c>
      <c r="K44" s="13">
        <v>23.7</v>
      </c>
      <c r="L44" s="13">
        <v>869</v>
      </c>
      <c r="M44" s="13">
        <v>799</v>
      </c>
      <c r="N44" s="13">
        <v>848</v>
      </c>
      <c r="O44" s="15">
        <v>0.94199999999999995</v>
      </c>
      <c r="P44" s="15">
        <v>0.91900000000000004</v>
      </c>
    </row>
    <row r="45" spans="2:16" x14ac:dyDescent="0.35">
      <c r="B45" s="14" t="s">
        <v>215</v>
      </c>
      <c r="C45" s="13">
        <v>102.8</v>
      </c>
      <c r="D45" s="13">
        <v>9.8000000000000007</v>
      </c>
      <c r="E45" s="13">
        <v>6.6</v>
      </c>
      <c r="F45" s="13">
        <v>119.2</v>
      </c>
      <c r="G45" s="13">
        <v>77</v>
      </c>
      <c r="H45" s="13">
        <v>27</v>
      </c>
      <c r="I45" s="13">
        <v>14</v>
      </c>
      <c r="J45" s="13">
        <v>118</v>
      </c>
      <c r="K45" s="13">
        <v>1.2</v>
      </c>
      <c r="L45" s="13">
        <v>992</v>
      </c>
      <c r="M45" s="13">
        <v>912</v>
      </c>
      <c r="N45" s="13">
        <v>966</v>
      </c>
      <c r="O45" s="15">
        <v>0.94399999999999995</v>
      </c>
      <c r="P45" s="15">
        <v>0.91900000000000004</v>
      </c>
    </row>
    <row r="46" spans="2:16" x14ac:dyDescent="0.35">
      <c r="B46" s="14" t="s">
        <v>216</v>
      </c>
      <c r="C46" s="13">
        <v>102.9</v>
      </c>
      <c r="D46" s="13">
        <v>11.4</v>
      </c>
      <c r="E46" s="13">
        <v>8.1999999999999993</v>
      </c>
      <c r="F46" s="13">
        <v>122.5</v>
      </c>
      <c r="G46" s="13">
        <v>79.5</v>
      </c>
      <c r="H46" s="13">
        <v>31.5</v>
      </c>
      <c r="I46" s="13">
        <v>15</v>
      </c>
      <c r="J46" s="13">
        <v>126</v>
      </c>
      <c r="K46" s="13">
        <v>-3.5</v>
      </c>
      <c r="L46" s="13">
        <v>1124</v>
      </c>
      <c r="M46" s="13">
        <v>1034</v>
      </c>
      <c r="N46" s="13">
        <v>1092</v>
      </c>
      <c r="O46" s="15">
        <v>0.94699999999999995</v>
      </c>
      <c r="P46" s="15">
        <v>0.92</v>
      </c>
    </row>
    <row r="47" spans="2:16" x14ac:dyDescent="0.35">
      <c r="B47" s="14" t="s">
        <v>217</v>
      </c>
      <c r="C47" s="13">
        <v>102.8</v>
      </c>
      <c r="D47" s="13">
        <v>11.8</v>
      </c>
      <c r="E47" s="13">
        <v>6.5</v>
      </c>
      <c r="F47" s="13">
        <v>121.1</v>
      </c>
      <c r="G47" s="13">
        <v>79</v>
      </c>
      <c r="H47" s="13">
        <v>31.5</v>
      </c>
      <c r="I47" s="13">
        <v>16</v>
      </c>
      <c r="J47" s="13">
        <v>126.5</v>
      </c>
      <c r="K47" s="13">
        <v>-5.4</v>
      </c>
      <c r="L47" s="13">
        <v>1256</v>
      </c>
      <c r="M47" s="13">
        <v>1155.5</v>
      </c>
      <c r="N47" s="13">
        <v>1218.5</v>
      </c>
      <c r="O47" s="15">
        <v>0.94799999999999995</v>
      </c>
      <c r="P47" s="15">
        <v>0.92</v>
      </c>
    </row>
    <row r="48" spans="2:16" x14ac:dyDescent="0.35">
      <c r="B48" s="14" t="s">
        <v>218</v>
      </c>
      <c r="C48" s="13">
        <v>102.8</v>
      </c>
      <c r="D48" s="13">
        <v>11.6</v>
      </c>
      <c r="E48" s="13">
        <v>6</v>
      </c>
      <c r="F48" s="13">
        <v>120.4</v>
      </c>
      <c r="G48" s="13">
        <v>78.5</v>
      </c>
      <c r="H48" s="13">
        <v>31</v>
      </c>
      <c r="I48" s="13">
        <v>16</v>
      </c>
      <c r="J48" s="13">
        <v>125.5</v>
      </c>
      <c r="K48" s="13">
        <v>-5.0999999999999996</v>
      </c>
      <c r="L48" s="13">
        <v>1387.8</v>
      </c>
      <c r="M48" s="13">
        <v>1276.8</v>
      </c>
      <c r="N48" s="13">
        <v>1344</v>
      </c>
      <c r="O48" s="15">
        <v>0.95</v>
      </c>
      <c r="P48" s="15">
        <v>0.92</v>
      </c>
    </row>
    <row r="49" spans="2:16" x14ac:dyDescent="0.35">
      <c r="B49" s="14" t="s">
        <v>219</v>
      </c>
      <c r="C49" s="13">
        <v>102.9</v>
      </c>
      <c r="D49" s="13">
        <v>11.2</v>
      </c>
      <c r="E49" s="13">
        <v>5.3</v>
      </c>
      <c r="F49" s="13">
        <v>119.4</v>
      </c>
      <c r="G49" s="13">
        <v>64</v>
      </c>
      <c r="H49" s="13">
        <v>23</v>
      </c>
      <c r="I49" s="13">
        <v>13</v>
      </c>
      <c r="J49" s="13">
        <v>100</v>
      </c>
      <c r="K49" s="13">
        <v>19.399999999999999</v>
      </c>
      <c r="L49" s="13">
        <v>1507.8</v>
      </c>
      <c r="M49" s="13">
        <v>1344</v>
      </c>
      <c r="N49" s="13">
        <v>1444</v>
      </c>
      <c r="O49" s="15">
        <v>0.93100000000000005</v>
      </c>
      <c r="P49" s="15">
        <v>0.89100000000000001</v>
      </c>
    </row>
    <row r="50" spans="2:16" x14ac:dyDescent="0.35">
      <c r="B50" s="14" t="s">
        <v>220</v>
      </c>
      <c r="C50" s="16">
        <f t="shared" ref="C50:N50" si="0">SUM(C38:C49)</f>
        <v>1234</v>
      </c>
      <c r="D50" s="16">
        <f t="shared" si="0"/>
        <v>123</v>
      </c>
      <c r="E50" s="16">
        <f t="shared" si="0"/>
        <v>76</v>
      </c>
      <c r="F50" s="16">
        <f t="shared" si="0"/>
        <v>1433.0000000000002</v>
      </c>
      <c r="G50" s="16">
        <f t="shared" si="0"/>
        <v>944</v>
      </c>
      <c r="H50" s="16">
        <f t="shared" si="0"/>
        <v>340</v>
      </c>
      <c r="I50" s="16">
        <f t="shared" si="0"/>
        <v>160</v>
      </c>
      <c r="J50" s="16">
        <f t="shared" si="0"/>
        <v>1444</v>
      </c>
      <c r="K50" s="16">
        <f t="shared" si="0"/>
        <v>-11</v>
      </c>
      <c r="L50" s="16">
        <f t="shared" si="0"/>
        <v>9772.5999999999985</v>
      </c>
      <c r="M50" s="16">
        <f t="shared" si="0"/>
        <v>8943.2999999999993</v>
      </c>
      <c r="N50" s="16">
        <f t="shared" si="0"/>
        <v>9427.5</v>
      </c>
      <c r="O50" s="17">
        <v>0.95</v>
      </c>
      <c r="P50" s="17">
        <v>0.92</v>
      </c>
    </row>
  </sheetData>
  <mergeCells count="15">
    <mergeCell ref="B9:C9"/>
    <mergeCell ref="D9:E9"/>
    <mergeCell ref="B8:C8"/>
    <mergeCell ref="H9:I9"/>
    <mergeCell ref="F9:G9"/>
    <mergeCell ref="F8:G8"/>
    <mergeCell ref="D8:E8"/>
    <mergeCell ref="D7:E7"/>
    <mergeCell ref="B7:C7"/>
    <mergeCell ref="B1:N1"/>
    <mergeCell ref="H7:I7"/>
    <mergeCell ref="B2:O2"/>
    <mergeCell ref="B4:N5"/>
    <mergeCell ref="H8:I8"/>
    <mergeCell ref="F7:G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E40AF"/>
  </sheetPr>
  <dimension ref="B1:K44"/>
  <sheetViews>
    <sheetView zoomScale="85" workbookViewId="0"/>
  </sheetViews>
  <sheetFormatPr defaultRowHeight="14.5" x14ac:dyDescent="0.35"/>
  <cols>
    <col min="1" max="1" width="11" customWidth="1"/>
    <col min="2" max="2" width="117" customWidth="1"/>
    <col min="3" max="3" width="37" customWidth="1"/>
    <col min="4" max="4" width="26" customWidth="1"/>
    <col min="5" max="5" width="70" customWidth="1"/>
    <col min="6" max="6" width="30" customWidth="1"/>
    <col min="7" max="7" width="16" customWidth="1"/>
    <col min="8" max="8" width="29" customWidth="1"/>
    <col min="9" max="9" width="13" customWidth="1"/>
    <col min="10" max="10" width="31" customWidth="1"/>
  </cols>
  <sheetData>
    <row r="1" spans="2:11" ht="24" customHeight="1" x14ac:dyDescent="0.35">
      <c r="B1" s="57" t="s">
        <v>221</v>
      </c>
      <c r="C1" s="55"/>
      <c r="D1" s="55"/>
      <c r="E1" s="55"/>
      <c r="F1" s="55"/>
      <c r="G1" s="55"/>
      <c r="H1" s="55"/>
      <c r="I1" s="55"/>
      <c r="J1" s="9" t="str">
        <f>HYPERLINK("#'00_Forside_Navigasjon'!A1", "← Hovedmeny")</f>
        <v>← Hovedmeny</v>
      </c>
    </row>
    <row r="2" spans="2:11" ht="18" customHeight="1" x14ac:dyDescent="0.35">
      <c r="B2" s="58" t="s">
        <v>222</v>
      </c>
      <c r="C2" s="55"/>
      <c r="D2" s="55"/>
      <c r="E2" s="55"/>
      <c r="F2" s="55"/>
      <c r="G2" s="55"/>
      <c r="H2" s="55"/>
      <c r="I2" s="55"/>
      <c r="J2" s="55"/>
    </row>
    <row r="4" spans="2:11" ht="16" customHeight="1" x14ac:dyDescent="0.35">
      <c r="B4" s="51" t="s">
        <v>223</v>
      </c>
      <c r="C4" s="52"/>
      <c r="D4" s="51" t="s">
        <v>224</v>
      </c>
      <c r="E4" s="52"/>
      <c r="F4" s="51" t="s">
        <v>225</v>
      </c>
      <c r="G4" s="52"/>
      <c r="H4" s="51" t="s">
        <v>226</v>
      </c>
      <c r="I4" s="52"/>
      <c r="J4" s="51" t="s">
        <v>227</v>
      </c>
      <c r="K4" s="52"/>
    </row>
    <row r="5" spans="2:11" ht="24" customHeight="1" x14ac:dyDescent="0.35">
      <c r="B5" s="50">
        <v>10617128.189999999</v>
      </c>
      <c r="C5" s="47"/>
      <c r="D5" s="50">
        <v>-130604.63</v>
      </c>
      <c r="E5" s="47"/>
      <c r="F5" s="50">
        <v>36793524.310000002</v>
      </c>
      <c r="G5" s="47"/>
      <c r="H5" s="50">
        <v>26045791.489999998</v>
      </c>
      <c r="I5" s="47"/>
      <c r="J5" s="61">
        <v>1285.93</v>
      </c>
      <c r="K5" s="47"/>
    </row>
    <row r="6" spans="2:11" ht="16" customHeight="1" x14ac:dyDescent="0.35">
      <c r="B6" s="48" t="s">
        <v>228</v>
      </c>
      <c r="C6" s="49"/>
      <c r="D6" s="48" t="s">
        <v>229</v>
      </c>
      <c r="E6" s="49"/>
      <c r="F6" s="48" t="s">
        <v>230</v>
      </c>
      <c r="G6" s="49"/>
      <c r="H6" s="48" t="s">
        <v>231</v>
      </c>
      <c r="I6" s="49"/>
      <c r="J6" s="48" t="s">
        <v>232</v>
      </c>
      <c r="K6" s="49"/>
    </row>
    <row r="8" spans="2:11" ht="16.5" x14ac:dyDescent="0.45">
      <c r="B8" s="1" t="s">
        <v>233</v>
      </c>
    </row>
    <row r="9" spans="2:11" ht="20" customHeight="1" x14ac:dyDescent="0.35">
      <c r="B9" s="2" t="s">
        <v>234</v>
      </c>
      <c r="C9" s="10" t="s">
        <v>235</v>
      </c>
      <c r="D9" s="10" t="s">
        <v>236</v>
      </c>
      <c r="E9" s="10" t="s">
        <v>237</v>
      </c>
      <c r="F9" s="10" t="s">
        <v>238</v>
      </c>
      <c r="G9" s="10" t="s">
        <v>239</v>
      </c>
      <c r="H9" s="10" t="s">
        <v>240</v>
      </c>
      <c r="I9" s="10" t="s">
        <v>241</v>
      </c>
    </row>
    <row r="10" spans="2:11" ht="19" customHeight="1" x14ac:dyDescent="0.35">
      <c r="B10" s="6" t="s">
        <v>242</v>
      </c>
      <c r="C10" s="18">
        <v>7285835.4500000002</v>
      </c>
      <c r="D10" s="18">
        <v>-1641726</v>
      </c>
      <c r="E10" s="18">
        <f t="shared" ref="E10:E18" si="0">C10-D10</f>
        <v>8927561.4499999993</v>
      </c>
      <c r="F10" s="12">
        <f t="shared" ref="F10:F18" si="1">IF(D10&lt;&gt;0, E10/ABS(D10), 0)</f>
        <v>5.4379119597301857</v>
      </c>
      <c r="G10" s="18">
        <v>-413442</v>
      </c>
      <c r="H10" s="18">
        <f t="shared" ref="H10:H18" si="2">G10-D10</f>
        <v>1228284</v>
      </c>
      <c r="I10" s="19" t="str">
        <f t="shared" ref="I10:I18" si="3">IF(F10&gt;0.05, "🔴 Rød (&gt;5%)", IF(F10&gt;=0.02, "🟡 Gul (2-5%)", "🟢 Grønn (&lt;=2%)"))</f>
        <v>🔴 Rød (&gt;5%)</v>
      </c>
    </row>
    <row r="11" spans="2:11" ht="19" customHeight="1" x14ac:dyDescent="0.35">
      <c r="B11" s="6" t="s">
        <v>243</v>
      </c>
      <c r="C11" s="18">
        <v>7223222.1900000004</v>
      </c>
      <c r="D11" s="18">
        <v>-1641726</v>
      </c>
      <c r="E11" s="18">
        <f t="shared" si="0"/>
        <v>8864948.1900000013</v>
      </c>
      <c r="F11" s="12">
        <f t="shared" si="1"/>
        <v>5.3997732812905452</v>
      </c>
      <c r="G11" s="18">
        <v>-413442</v>
      </c>
      <c r="H11" s="18">
        <f t="shared" si="2"/>
        <v>1228284</v>
      </c>
      <c r="I11" s="19" t="str">
        <f t="shared" si="3"/>
        <v>🔴 Rød (&gt;5%)</v>
      </c>
    </row>
    <row r="12" spans="2:11" ht="19" customHeight="1" x14ac:dyDescent="0.35">
      <c r="B12" s="6" t="s">
        <v>244</v>
      </c>
      <c r="C12" s="18">
        <v>7283102.2400000002</v>
      </c>
      <c r="D12" s="18">
        <v>-1641726</v>
      </c>
      <c r="E12" s="18">
        <f t="shared" si="0"/>
        <v>8924828.2400000002</v>
      </c>
      <c r="F12" s="12">
        <f t="shared" si="1"/>
        <v>5.4362471204086429</v>
      </c>
      <c r="G12" s="18">
        <v>-413442</v>
      </c>
      <c r="H12" s="18">
        <f t="shared" si="2"/>
        <v>1228284</v>
      </c>
      <c r="I12" s="19" t="str">
        <f t="shared" si="3"/>
        <v>🔴 Rød (&gt;5%)</v>
      </c>
    </row>
    <row r="13" spans="2:11" ht="19" customHeight="1" x14ac:dyDescent="0.35">
      <c r="B13" s="6" t="s">
        <v>245</v>
      </c>
      <c r="C13" s="18">
        <v>4921785.76</v>
      </c>
      <c r="D13" s="18">
        <v>-1641726</v>
      </c>
      <c r="E13" s="18">
        <f t="shared" si="0"/>
        <v>6563511.7599999998</v>
      </c>
      <c r="F13" s="12">
        <f t="shared" si="1"/>
        <v>3.9979337355929063</v>
      </c>
      <c r="G13" s="18">
        <v>-413442</v>
      </c>
      <c r="H13" s="18">
        <f t="shared" si="2"/>
        <v>1228284</v>
      </c>
      <c r="I13" s="19" t="str">
        <f t="shared" si="3"/>
        <v>🔴 Rød (&gt;5%)</v>
      </c>
    </row>
    <row r="14" spans="2:11" ht="19" customHeight="1" x14ac:dyDescent="0.35">
      <c r="B14" s="6" t="s">
        <v>246</v>
      </c>
      <c r="C14" s="18">
        <v>8002044.4100000001</v>
      </c>
      <c r="D14" s="18">
        <v>-1641726</v>
      </c>
      <c r="E14" s="18">
        <f t="shared" si="0"/>
        <v>9643770.4100000001</v>
      </c>
      <c r="F14" s="12">
        <f t="shared" si="1"/>
        <v>5.8741656098520707</v>
      </c>
      <c r="G14" s="18">
        <v>-413442</v>
      </c>
      <c r="H14" s="18">
        <f t="shared" si="2"/>
        <v>1228284</v>
      </c>
      <c r="I14" s="19" t="str">
        <f t="shared" si="3"/>
        <v>🔴 Rød (&gt;5%)</v>
      </c>
    </row>
    <row r="15" spans="2:11" ht="19" customHeight="1" x14ac:dyDescent="0.35">
      <c r="B15" s="6" t="s">
        <v>247</v>
      </c>
      <c r="C15" s="18">
        <v>7275690.1600000001</v>
      </c>
      <c r="D15" s="18">
        <v>-1641726</v>
      </c>
      <c r="E15" s="18">
        <f t="shared" si="0"/>
        <v>8917416.1600000001</v>
      </c>
      <c r="F15" s="12">
        <f t="shared" si="1"/>
        <v>5.431732310994648</v>
      </c>
      <c r="G15" s="18">
        <v>-413442</v>
      </c>
      <c r="H15" s="18">
        <f t="shared" si="2"/>
        <v>1228284</v>
      </c>
      <c r="I15" s="19" t="str">
        <f t="shared" si="3"/>
        <v>🔴 Rød (&gt;5%)</v>
      </c>
    </row>
    <row r="16" spans="2:11" ht="19" customHeight="1" x14ac:dyDescent="0.35">
      <c r="B16" s="6" t="s">
        <v>248</v>
      </c>
      <c r="C16" s="18">
        <v>7300048.5899999999</v>
      </c>
      <c r="D16" s="18">
        <v>-1641726</v>
      </c>
      <c r="E16" s="18">
        <f t="shared" si="0"/>
        <v>8941774.5899999999</v>
      </c>
      <c r="F16" s="12">
        <f t="shared" si="1"/>
        <v>5.4465693970857503</v>
      </c>
      <c r="G16" s="18">
        <v>-413442</v>
      </c>
      <c r="H16" s="18">
        <f t="shared" si="2"/>
        <v>1228284</v>
      </c>
      <c r="I16" s="19" t="str">
        <f t="shared" si="3"/>
        <v>🔴 Rød (&gt;5%)</v>
      </c>
    </row>
    <row r="17" spans="2:9" ht="19" customHeight="1" x14ac:dyDescent="0.35">
      <c r="B17" s="6" t="s">
        <v>249</v>
      </c>
      <c r="C17" s="18">
        <v>4811253.92</v>
      </c>
      <c r="D17" s="18">
        <v>-1641726</v>
      </c>
      <c r="E17" s="18">
        <f t="shared" si="0"/>
        <v>6452979.9199999999</v>
      </c>
      <c r="F17" s="12">
        <f t="shared" si="1"/>
        <v>3.9306071293260874</v>
      </c>
      <c r="G17" s="18">
        <v>-413442</v>
      </c>
      <c r="H17" s="18">
        <f t="shared" si="2"/>
        <v>1228284</v>
      </c>
      <c r="I17" s="19" t="str">
        <f t="shared" si="3"/>
        <v>🔴 Rød (&gt;5%)</v>
      </c>
    </row>
    <row r="18" spans="2:9" ht="21" customHeight="1" x14ac:dyDescent="0.35">
      <c r="B18" s="20" t="s">
        <v>250</v>
      </c>
      <c r="C18" s="21">
        <f>SUM(C10:C17)</f>
        <v>54102982.719999999</v>
      </c>
      <c r="D18" s="21">
        <f>SUM(D10:D17)</f>
        <v>-13133808</v>
      </c>
      <c r="E18" s="21">
        <f t="shared" si="0"/>
        <v>67236790.719999999</v>
      </c>
      <c r="F18" s="22">
        <f t="shared" si="1"/>
        <v>5.1193675680351047</v>
      </c>
      <c r="G18" s="21">
        <f>SUM(G10:G17)</f>
        <v>-3307536</v>
      </c>
      <c r="H18" s="21">
        <f t="shared" si="2"/>
        <v>9826272</v>
      </c>
      <c r="I18" s="20" t="str">
        <f t="shared" si="3"/>
        <v>🔴 Rød (&gt;5%)</v>
      </c>
    </row>
    <row r="21" spans="2:9" ht="16.5" x14ac:dyDescent="0.45">
      <c r="B21" s="1" t="s">
        <v>251</v>
      </c>
    </row>
    <row r="22" spans="2:9" ht="20" customHeight="1" x14ac:dyDescent="0.35">
      <c r="B22" s="2" t="s">
        <v>252</v>
      </c>
      <c r="C22" s="10" t="s">
        <v>253</v>
      </c>
      <c r="D22" s="10" t="s">
        <v>254</v>
      </c>
      <c r="E22" s="10" t="s">
        <v>255</v>
      </c>
      <c r="F22" s="10" t="s">
        <v>239</v>
      </c>
      <c r="G22" s="10" t="s">
        <v>240</v>
      </c>
      <c r="H22" s="10" t="s">
        <v>256</v>
      </c>
    </row>
    <row r="23" spans="2:9" ht="19" customHeight="1" x14ac:dyDescent="0.35">
      <c r="B23" s="7" t="s">
        <v>257</v>
      </c>
      <c r="C23" s="18">
        <v>0</v>
      </c>
      <c r="D23" s="18">
        <v>-468352000</v>
      </c>
      <c r="E23" s="18">
        <f t="shared" ref="E23:E34" si="4">C23-D23</f>
        <v>468352000</v>
      </c>
      <c r="F23" s="18">
        <v>-53560000</v>
      </c>
      <c r="G23" s="18">
        <f t="shared" ref="G23:G34" si="5">F23-D23</f>
        <v>414792000</v>
      </c>
      <c r="H23" s="6" t="str">
        <f t="shared" ref="H23:H33" si="6">IF(G23&gt;0, "🔴 Merforbruk", "🟢 Mindreforbruk")</f>
        <v>🔴 Merforbruk</v>
      </c>
    </row>
    <row r="24" spans="2:9" ht="19" customHeight="1" x14ac:dyDescent="0.35">
      <c r="B24" s="7" t="s">
        <v>258</v>
      </c>
      <c r="C24" s="18">
        <v>50968281.439999998</v>
      </c>
      <c r="D24" s="18">
        <v>374644592</v>
      </c>
      <c r="E24" s="18">
        <f t="shared" si="4"/>
        <v>-323676310.56</v>
      </c>
      <c r="F24" s="18">
        <v>49181264</v>
      </c>
      <c r="G24" s="18">
        <f t="shared" si="5"/>
        <v>-325463328</v>
      </c>
      <c r="H24" s="6" t="str">
        <f t="shared" si="6"/>
        <v>🟢 Mindreforbruk</v>
      </c>
    </row>
    <row r="25" spans="2:9" ht="19" customHeight="1" x14ac:dyDescent="0.35">
      <c r="B25" s="7" t="s">
        <v>259</v>
      </c>
      <c r="C25" s="18">
        <v>13914701.300000001</v>
      </c>
      <c r="D25" s="18">
        <v>27812000</v>
      </c>
      <c r="E25" s="18">
        <f t="shared" si="4"/>
        <v>-13897298.699999999</v>
      </c>
      <c r="F25" s="18">
        <v>7004000</v>
      </c>
      <c r="G25" s="18">
        <f t="shared" si="5"/>
        <v>-20808000</v>
      </c>
      <c r="H25" s="6" t="str">
        <f t="shared" si="6"/>
        <v>🟢 Mindreforbruk</v>
      </c>
    </row>
    <row r="26" spans="2:9" ht="19" customHeight="1" x14ac:dyDescent="0.35">
      <c r="B26" s="7" t="s">
        <v>260</v>
      </c>
      <c r="C26" s="18">
        <v>-7287372</v>
      </c>
      <c r="D26" s="18">
        <v>-23558400</v>
      </c>
      <c r="E26" s="18">
        <f t="shared" si="4"/>
        <v>16271028</v>
      </c>
      <c r="F26" s="18">
        <v>-5932800</v>
      </c>
      <c r="G26" s="18">
        <f t="shared" si="5"/>
        <v>17625600</v>
      </c>
      <c r="H26" s="6" t="str">
        <f t="shared" si="6"/>
        <v>🔴 Merforbruk</v>
      </c>
    </row>
    <row r="27" spans="2:9" ht="19" customHeight="1" x14ac:dyDescent="0.35">
      <c r="B27" s="7" t="s">
        <v>261</v>
      </c>
      <c r="C27" s="18">
        <v>-900000</v>
      </c>
      <c r="D27" s="18">
        <v>0</v>
      </c>
      <c r="E27" s="18">
        <f t="shared" si="4"/>
        <v>-900000</v>
      </c>
      <c r="F27" s="18">
        <v>0</v>
      </c>
      <c r="G27" s="18">
        <f t="shared" si="5"/>
        <v>0</v>
      </c>
      <c r="H27" s="6" t="str">
        <f t="shared" si="6"/>
        <v>🟢 Mindreforbruk</v>
      </c>
    </row>
    <row r="28" spans="2:9" ht="19" customHeight="1" x14ac:dyDescent="0.35">
      <c r="B28" s="7" t="s">
        <v>262</v>
      </c>
      <c r="C28" s="18">
        <v>-1200000</v>
      </c>
      <c r="D28" s="18">
        <v>0</v>
      </c>
      <c r="E28" s="18">
        <f t="shared" si="4"/>
        <v>-1200000</v>
      </c>
      <c r="F28" s="18">
        <v>0</v>
      </c>
      <c r="G28" s="18">
        <f t="shared" si="5"/>
        <v>0</v>
      </c>
      <c r="H28" s="6" t="str">
        <f t="shared" si="6"/>
        <v>🟢 Mindreforbruk</v>
      </c>
    </row>
    <row r="29" spans="2:9" ht="19" customHeight="1" x14ac:dyDescent="0.35">
      <c r="B29" s="7" t="s">
        <v>263</v>
      </c>
      <c r="C29" s="18">
        <v>1200000</v>
      </c>
      <c r="D29" s="18">
        <v>0</v>
      </c>
      <c r="E29" s="18">
        <f t="shared" si="4"/>
        <v>1200000</v>
      </c>
      <c r="F29" s="18">
        <v>0</v>
      </c>
      <c r="G29" s="18">
        <f t="shared" si="5"/>
        <v>0</v>
      </c>
      <c r="H29" s="6" t="str">
        <f t="shared" si="6"/>
        <v>🟢 Mindreforbruk</v>
      </c>
    </row>
    <row r="30" spans="2:9" ht="19" customHeight="1" x14ac:dyDescent="0.35">
      <c r="B30" s="7" t="s">
        <v>264</v>
      </c>
      <c r="C30" s="18">
        <v>-4800000</v>
      </c>
      <c r="D30" s="18">
        <v>0</v>
      </c>
      <c r="E30" s="18">
        <f t="shared" si="4"/>
        <v>-4800000</v>
      </c>
      <c r="F30" s="18">
        <v>0</v>
      </c>
      <c r="G30" s="18">
        <f t="shared" si="5"/>
        <v>0</v>
      </c>
      <c r="H30" s="6" t="str">
        <f t="shared" si="6"/>
        <v>🟢 Mindreforbruk</v>
      </c>
    </row>
    <row r="31" spans="2:9" ht="19" customHeight="1" x14ac:dyDescent="0.35">
      <c r="B31" s="7" t="s">
        <v>265</v>
      </c>
      <c r="C31" s="18">
        <v>2007372</v>
      </c>
      <c r="D31" s="18">
        <v>0</v>
      </c>
      <c r="E31" s="18">
        <f t="shared" si="4"/>
        <v>2007372</v>
      </c>
      <c r="F31" s="18">
        <v>0</v>
      </c>
      <c r="G31" s="18">
        <f t="shared" si="5"/>
        <v>0</v>
      </c>
      <c r="H31" s="6" t="str">
        <f t="shared" si="6"/>
        <v>🟢 Mindreforbruk</v>
      </c>
    </row>
    <row r="32" spans="2:9" ht="19" customHeight="1" x14ac:dyDescent="0.35">
      <c r="B32" s="7" t="s">
        <v>266</v>
      </c>
      <c r="C32" s="18">
        <v>199999.98</v>
      </c>
      <c r="D32" s="18">
        <v>0</v>
      </c>
      <c r="E32" s="18">
        <f t="shared" si="4"/>
        <v>199999.98</v>
      </c>
      <c r="F32" s="18">
        <v>0</v>
      </c>
      <c r="G32" s="18">
        <f t="shared" si="5"/>
        <v>0</v>
      </c>
      <c r="H32" s="6" t="str">
        <f t="shared" si="6"/>
        <v>🟢 Mindreforbruk</v>
      </c>
    </row>
    <row r="33" spans="2:8" ht="19" customHeight="1" x14ac:dyDescent="0.35">
      <c r="B33" s="7" t="s">
        <v>267</v>
      </c>
      <c r="C33" s="18">
        <v>0</v>
      </c>
      <c r="D33" s="18">
        <v>0</v>
      </c>
      <c r="E33" s="18">
        <f t="shared" si="4"/>
        <v>0</v>
      </c>
      <c r="F33" s="18">
        <v>0</v>
      </c>
      <c r="G33" s="18">
        <f t="shared" si="5"/>
        <v>0</v>
      </c>
      <c r="H33" s="6" t="str">
        <f t="shared" si="6"/>
        <v>🟢 Mindreforbruk</v>
      </c>
    </row>
    <row r="34" spans="2:8" ht="21" customHeight="1" x14ac:dyDescent="0.35">
      <c r="B34" s="20" t="s">
        <v>268</v>
      </c>
      <c r="C34" s="21">
        <f>SUM(C23:C33)</f>
        <v>54102982.719999991</v>
      </c>
      <c r="D34" s="21">
        <f>SUM(D23:D33)</f>
        <v>-89453808</v>
      </c>
      <c r="E34" s="21">
        <f t="shared" si="4"/>
        <v>143556790.72</v>
      </c>
      <c r="F34" s="21">
        <f>SUM(F23:F33)</f>
        <v>-3307536</v>
      </c>
      <c r="G34" s="21">
        <f t="shared" si="5"/>
        <v>86146272</v>
      </c>
      <c r="H34" s="20" t="s">
        <v>269</v>
      </c>
    </row>
    <row r="37" spans="2:8" ht="16.5" x14ac:dyDescent="0.45">
      <c r="B37" s="1" t="s">
        <v>270</v>
      </c>
    </row>
    <row r="38" spans="2:8" ht="20" customHeight="1" x14ac:dyDescent="0.35">
      <c r="B38" s="2" t="s">
        <v>271</v>
      </c>
      <c r="C38" s="2" t="s">
        <v>272</v>
      </c>
      <c r="D38" s="10" t="s">
        <v>273</v>
      </c>
      <c r="E38" s="2" t="s">
        <v>274</v>
      </c>
    </row>
    <row r="39" spans="2:8" ht="20" customHeight="1" x14ac:dyDescent="0.35">
      <c r="B39" s="6" t="s">
        <v>275</v>
      </c>
      <c r="C39" s="6" t="s">
        <v>276</v>
      </c>
      <c r="D39" s="23">
        <v>36793524.310000002</v>
      </c>
      <c r="E39" s="7" t="s">
        <v>277</v>
      </c>
    </row>
    <row r="40" spans="2:8" ht="20" customHeight="1" x14ac:dyDescent="0.35">
      <c r="B40" s="6" t="s">
        <v>278</v>
      </c>
      <c r="C40" s="6" t="s">
        <v>279</v>
      </c>
      <c r="D40" s="23">
        <v>-10005000</v>
      </c>
      <c r="E40" s="7" t="s">
        <v>280</v>
      </c>
    </row>
    <row r="41" spans="2:8" ht="20" customHeight="1" x14ac:dyDescent="0.35">
      <c r="B41" s="6" t="s">
        <v>281</v>
      </c>
      <c r="C41" s="6" t="s">
        <v>282</v>
      </c>
      <c r="D41" s="23">
        <v>-5562081.6600000001</v>
      </c>
      <c r="E41" s="7" t="s">
        <v>283</v>
      </c>
    </row>
    <row r="42" spans="2:8" ht="20" customHeight="1" x14ac:dyDescent="0.35">
      <c r="B42" s="3" t="s">
        <v>284</v>
      </c>
      <c r="C42" s="3" t="s">
        <v>285</v>
      </c>
      <c r="D42" s="24">
        <v>26788524.309999999</v>
      </c>
      <c r="E42" s="4" t="s">
        <v>286</v>
      </c>
    </row>
    <row r="43" spans="2:8" ht="20" customHeight="1" x14ac:dyDescent="0.35">
      <c r="B43" s="6" t="s">
        <v>287</v>
      </c>
      <c r="C43" s="6" t="s">
        <v>288</v>
      </c>
      <c r="D43" s="23">
        <v>10747732.82</v>
      </c>
      <c r="E43" s="7" t="s">
        <v>289</v>
      </c>
    </row>
    <row r="44" spans="2:8" ht="20" customHeight="1" x14ac:dyDescent="0.35">
      <c r="B44" s="3" t="s">
        <v>290</v>
      </c>
      <c r="C44" s="3" t="s">
        <v>291</v>
      </c>
      <c r="D44" s="24">
        <v>16040791.49</v>
      </c>
      <c r="E44" s="4" t="s">
        <v>292</v>
      </c>
    </row>
  </sheetData>
  <mergeCells count="17">
    <mergeCell ref="B1:I1"/>
    <mergeCell ref="B4:C4"/>
    <mergeCell ref="B2:J2"/>
    <mergeCell ref="D6:E6"/>
    <mergeCell ref="B6:C6"/>
    <mergeCell ref="F4:G4"/>
    <mergeCell ref="J4:K4"/>
    <mergeCell ref="H6:I6"/>
    <mergeCell ref="J5:K5"/>
    <mergeCell ref="J6:K6"/>
    <mergeCell ref="B5:C5"/>
    <mergeCell ref="F5:G5"/>
    <mergeCell ref="D5:E5"/>
    <mergeCell ref="F6:G6"/>
    <mergeCell ref="D4:E4"/>
    <mergeCell ref="H5:I5"/>
    <mergeCell ref="H4:I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40AF"/>
  </sheetPr>
  <dimension ref="B1:K28"/>
  <sheetViews>
    <sheetView zoomScale="85" workbookViewId="0"/>
  </sheetViews>
  <sheetFormatPr defaultRowHeight="14.5" x14ac:dyDescent="0.35"/>
  <cols>
    <col min="1" max="1" width="11" customWidth="1"/>
    <col min="2" max="2" width="106" customWidth="1"/>
    <col min="3" max="3" width="42" customWidth="1"/>
    <col min="4" max="4" width="38" customWidth="1"/>
    <col min="5" max="5" width="23" customWidth="1"/>
    <col min="6" max="6" width="36" customWidth="1"/>
    <col min="7" max="7" width="11" customWidth="1"/>
    <col min="8" max="8" width="31" customWidth="1"/>
    <col min="9" max="9" width="13" customWidth="1"/>
    <col min="10" max="10" width="39" customWidth="1"/>
  </cols>
  <sheetData>
    <row r="1" spans="2:11" ht="24" customHeight="1" x14ac:dyDescent="0.35">
      <c r="B1" s="57" t="s">
        <v>293</v>
      </c>
      <c r="C1" s="55"/>
      <c r="D1" s="55"/>
      <c r="E1" s="55"/>
      <c r="F1" s="55"/>
      <c r="G1" s="55"/>
      <c r="H1" s="55"/>
      <c r="I1" s="55"/>
      <c r="J1" s="9" t="str">
        <f>HYPERLINK("#'00_Forside_Navigasjon'!A1", "← Hovedmeny")</f>
        <v>← Hovedmeny</v>
      </c>
    </row>
    <row r="2" spans="2:11" ht="18" customHeight="1" x14ac:dyDescent="0.35">
      <c r="B2" s="58" t="s">
        <v>294</v>
      </c>
      <c r="C2" s="55"/>
      <c r="D2" s="55"/>
      <c r="E2" s="55"/>
      <c r="F2" s="55"/>
      <c r="G2" s="55"/>
      <c r="H2" s="55"/>
      <c r="I2" s="55"/>
      <c r="J2" s="55"/>
    </row>
    <row r="4" spans="2:11" ht="16" customHeight="1" x14ac:dyDescent="0.35">
      <c r="B4" s="51" t="s">
        <v>295</v>
      </c>
      <c r="C4" s="52"/>
      <c r="D4" s="51" t="s">
        <v>296</v>
      </c>
      <c r="E4" s="52"/>
      <c r="F4" s="51" t="s">
        <v>297</v>
      </c>
      <c r="G4" s="52"/>
      <c r="H4" s="51" t="s">
        <v>298</v>
      </c>
      <c r="I4" s="52"/>
      <c r="J4" s="51" t="s">
        <v>299</v>
      </c>
      <c r="K4" s="52"/>
    </row>
    <row r="5" spans="2:11" ht="24" customHeight="1" x14ac:dyDescent="0.35">
      <c r="B5" s="50">
        <v>68381200</v>
      </c>
      <c r="C5" s="47"/>
      <c r="D5" s="62">
        <v>0.78310000000000002</v>
      </c>
      <c r="E5" s="47"/>
      <c r="F5" s="50">
        <v>-4800000</v>
      </c>
      <c r="G5" s="47"/>
      <c r="H5" s="50">
        <v>96460000</v>
      </c>
      <c r="I5" s="47"/>
      <c r="J5" s="50">
        <v>-14620000</v>
      </c>
      <c r="K5" s="47"/>
    </row>
    <row r="6" spans="2:11" ht="16" customHeight="1" x14ac:dyDescent="0.35">
      <c r="B6" s="48" t="s">
        <v>300</v>
      </c>
      <c r="C6" s="49"/>
      <c r="D6" s="48" t="s">
        <v>301</v>
      </c>
      <c r="E6" s="49"/>
      <c r="F6" s="48" t="s">
        <v>302</v>
      </c>
      <c r="G6" s="49"/>
      <c r="H6" s="48" t="s">
        <v>303</v>
      </c>
      <c r="I6" s="49"/>
      <c r="J6" s="48" t="s">
        <v>304</v>
      </c>
      <c r="K6" s="49"/>
    </row>
    <row r="8" spans="2:11" ht="16.5" x14ac:dyDescent="0.45">
      <c r="B8" s="1" t="s">
        <v>305</v>
      </c>
    </row>
    <row r="9" spans="2:11" ht="20" customHeight="1" x14ac:dyDescent="0.35">
      <c r="B9" s="2" t="s">
        <v>306</v>
      </c>
      <c r="C9" s="2" t="s">
        <v>307</v>
      </c>
      <c r="D9" s="10" t="s">
        <v>253</v>
      </c>
      <c r="E9" s="10" t="s">
        <v>254</v>
      </c>
      <c r="F9" s="10" t="s">
        <v>239</v>
      </c>
      <c r="G9" s="10" t="s">
        <v>308</v>
      </c>
      <c r="H9" s="10" t="s">
        <v>238</v>
      </c>
      <c r="I9" s="10" t="s">
        <v>241</v>
      </c>
    </row>
    <row r="10" spans="2:11" ht="19" customHeight="1" x14ac:dyDescent="0.35">
      <c r="B10" s="7" t="s">
        <v>309</v>
      </c>
      <c r="C10" s="7" t="s">
        <v>310</v>
      </c>
      <c r="D10" s="18">
        <v>6606732.96</v>
      </c>
      <c r="E10" s="18">
        <v>-8945380.8000000007</v>
      </c>
      <c r="F10" s="18">
        <v>-330753.59999999998</v>
      </c>
      <c r="G10" s="18">
        <f t="shared" ref="G10:G20" si="0">F10-E10</f>
        <v>8614627.2000000011</v>
      </c>
      <c r="H10" s="12">
        <f t="shared" ref="H10:H20" si="1">IF(E10&lt;&gt;0, G10/ABS(E10), 0)</f>
        <v>0.96302520737853892</v>
      </c>
      <c r="I10" s="6" t="str">
        <f t="shared" ref="I10:I20" si="2">IF(H10&gt;0.05, "🔴 Rød (&gt;5%)", IF(H10&gt;=0.02, "🟡 Gul (2-5%)", "🟢 Grønn (&lt;=2%)"))</f>
        <v>🔴 Rød (&gt;5%)</v>
      </c>
    </row>
    <row r="11" spans="2:11" ht="19" customHeight="1" x14ac:dyDescent="0.35">
      <c r="B11" s="7" t="s">
        <v>311</v>
      </c>
      <c r="C11" s="7" t="s">
        <v>310</v>
      </c>
      <c r="D11" s="18">
        <v>5553937.3200000003</v>
      </c>
      <c r="E11" s="18">
        <v>-8945380.8000000007</v>
      </c>
      <c r="F11" s="18">
        <v>-330753.59999999998</v>
      </c>
      <c r="G11" s="18">
        <f t="shared" si="0"/>
        <v>8614627.2000000011</v>
      </c>
      <c r="H11" s="12">
        <f t="shared" si="1"/>
        <v>0.96302520737853892</v>
      </c>
      <c r="I11" s="6" t="str">
        <f t="shared" si="2"/>
        <v>🔴 Rød (&gt;5%)</v>
      </c>
    </row>
    <row r="12" spans="2:11" ht="19" customHeight="1" x14ac:dyDescent="0.35">
      <c r="B12" s="7" t="s">
        <v>312</v>
      </c>
      <c r="C12" s="7" t="s">
        <v>313</v>
      </c>
      <c r="D12" s="18">
        <v>5605872.2599999998</v>
      </c>
      <c r="E12" s="18">
        <v>-8945380.8000000007</v>
      </c>
      <c r="F12" s="18">
        <v>-330753.59999999998</v>
      </c>
      <c r="G12" s="18">
        <f t="shared" si="0"/>
        <v>8614627.2000000011</v>
      </c>
      <c r="H12" s="12">
        <f t="shared" si="1"/>
        <v>0.96302520737853892</v>
      </c>
      <c r="I12" s="6" t="str">
        <f t="shared" si="2"/>
        <v>🔴 Rød (&gt;5%)</v>
      </c>
    </row>
    <row r="13" spans="2:11" ht="19" customHeight="1" x14ac:dyDescent="0.35">
      <c r="B13" s="7" t="s">
        <v>314</v>
      </c>
      <c r="C13" s="7" t="s">
        <v>315</v>
      </c>
      <c r="D13" s="18">
        <v>5806218.5199999996</v>
      </c>
      <c r="E13" s="18">
        <v>-8945380.8000000007</v>
      </c>
      <c r="F13" s="18">
        <v>-330753.59999999998</v>
      </c>
      <c r="G13" s="18">
        <f t="shared" si="0"/>
        <v>8614627.2000000011</v>
      </c>
      <c r="H13" s="12">
        <f t="shared" si="1"/>
        <v>0.96302520737853892</v>
      </c>
      <c r="I13" s="6" t="str">
        <f t="shared" si="2"/>
        <v>🔴 Rød (&gt;5%)</v>
      </c>
    </row>
    <row r="14" spans="2:11" ht="19" customHeight="1" x14ac:dyDescent="0.35">
      <c r="B14" s="7" t="s">
        <v>316</v>
      </c>
      <c r="C14" s="7" t="s">
        <v>317</v>
      </c>
      <c r="D14" s="18">
        <v>5575728.7199999997</v>
      </c>
      <c r="E14" s="18">
        <v>-8945380.8000000007</v>
      </c>
      <c r="F14" s="18">
        <v>-330753.59999999998</v>
      </c>
      <c r="G14" s="18">
        <f t="shared" si="0"/>
        <v>8614627.2000000011</v>
      </c>
      <c r="H14" s="12">
        <f t="shared" si="1"/>
        <v>0.96302520737853892</v>
      </c>
      <c r="I14" s="6" t="str">
        <f t="shared" si="2"/>
        <v>🔴 Rød (&gt;5%)</v>
      </c>
    </row>
    <row r="15" spans="2:11" ht="19" customHeight="1" x14ac:dyDescent="0.35">
      <c r="B15" s="7" t="s">
        <v>318</v>
      </c>
      <c r="C15" s="7" t="s">
        <v>313</v>
      </c>
      <c r="D15" s="18">
        <v>5782654.1299999999</v>
      </c>
      <c r="E15" s="18">
        <v>-8945380.8000000007</v>
      </c>
      <c r="F15" s="18">
        <v>-330753.59999999998</v>
      </c>
      <c r="G15" s="18">
        <f t="shared" si="0"/>
        <v>8614627.2000000011</v>
      </c>
      <c r="H15" s="12">
        <f t="shared" si="1"/>
        <v>0.96302520737853892</v>
      </c>
      <c r="I15" s="6" t="str">
        <f t="shared" si="2"/>
        <v>🔴 Rød (&gt;5%)</v>
      </c>
    </row>
    <row r="16" spans="2:11" ht="19" customHeight="1" x14ac:dyDescent="0.35">
      <c r="B16" s="7" t="s">
        <v>319</v>
      </c>
      <c r="C16" s="7" t="s">
        <v>317</v>
      </c>
      <c r="D16" s="18">
        <v>5583035.0199999996</v>
      </c>
      <c r="E16" s="18">
        <v>-8945380.8000000007</v>
      </c>
      <c r="F16" s="18">
        <v>-330753.59999999998</v>
      </c>
      <c r="G16" s="18">
        <f t="shared" si="0"/>
        <v>8614627.2000000011</v>
      </c>
      <c r="H16" s="12">
        <f t="shared" si="1"/>
        <v>0.96302520737853892</v>
      </c>
      <c r="I16" s="6" t="str">
        <f t="shared" si="2"/>
        <v>🔴 Rød (&gt;5%)</v>
      </c>
    </row>
    <row r="17" spans="2:9" ht="19" customHeight="1" x14ac:dyDescent="0.35">
      <c r="B17" s="7" t="s">
        <v>320</v>
      </c>
      <c r="C17" s="7" t="s">
        <v>321</v>
      </c>
      <c r="D17" s="18">
        <v>2389885.5299999998</v>
      </c>
      <c r="E17" s="18">
        <v>-8945380.8000000007</v>
      </c>
      <c r="F17" s="18">
        <v>-330753.59999999998</v>
      </c>
      <c r="G17" s="18">
        <f t="shared" si="0"/>
        <v>8614627.2000000011</v>
      </c>
      <c r="H17" s="12">
        <f t="shared" si="1"/>
        <v>0.96302520737853892</v>
      </c>
      <c r="I17" s="6" t="str">
        <f t="shared" si="2"/>
        <v>🔴 Rød (&gt;5%)</v>
      </c>
    </row>
    <row r="18" spans="2:9" ht="19" customHeight="1" x14ac:dyDescent="0.35">
      <c r="B18" s="7" t="s">
        <v>322</v>
      </c>
      <c r="C18" s="7" t="s">
        <v>323</v>
      </c>
      <c r="D18" s="18">
        <v>5562744.2699999996</v>
      </c>
      <c r="E18" s="18">
        <v>-8945380.8000000007</v>
      </c>
      <c r="F18" s="18">
        <v>-330753.59999999998</v>
      </c>
      <c r="G18" s="18">
        <f t="shared" si="0"/>
        <v>8614627.2000000011</v>
      </c>
      <c r="H18" s="12">
        <f t="shared" si="1"/>
        <v>0.96302520737853892</v>
      </c>
      <c r="I18" s="6" t="str">
        <f t="shared" si="2"/>
        <v>🔴 Rød (&gt;5%)</v>
      </c>
    </row>
    <row r="19" spans="2:9" ht="19" customHeight="1" x14ac:dyDescent="0.35">
      <c r="B19" s="7" t="s">
        <v>324</v>
      </c>
      <c r="C19" s="7" t="s">
        <v>321</v>
      </c>
      <c r="D19" s="18">
        <v>5636173.9900000002</v>
      </c>
      <c r="E19" s="18">
        <v>-8945380.8000000007</v>
      </c>
      <c r="F19" s="18">
        <v>-330753.59999999998</v>
      </c>
      <c r="G19" s="18">
        <f t="shared" si="0"/>
        <v>8614627.2000000011</v>
      </c>
      <c r="H19" s="12">
        <f t="shared" si="1"/>
        <v>0.96302520737853892</v>
      </c>
      <c r="I19" s="6" t="str">
        <f t="shared" si="2"/>
        <v>🔴 Rød (&gt;5%)</v>
      </c>
    </row>
    <row r="20" spans="2:9" ht="21" customHeight="1" x14ac:dyDescent="0.35">
      <c r="B20" s="20" t="s">
        <v>325</v>
      </c>
      <c r="C20" s="20"/>
      <c r="D20" s="21">
        <f>SUM(D10:D19)</f>
        <v>54102982.719999991</v>
      </c>
      <c r="E20" s="21">
        <f>SUM(E10:E19)</f>
        <v>-89453807.999999985</v>
      </c>
      <c r="F20" s="21">
        <f>SUM(F10:F19)</f>
        <v>-3307536.0000000005</v>
      </c>
      <c r="G20" s="21">
        <f t="shared" si="0"/>
        <v>86146271.999999985</v>
      </c>
      <c r="H20" s="22">
        <f t="shared" si="1"/>
        <v>0.96302520737853892</v>
      </c>
      <c r="I20" s="20" t="str">
        <f t="shared" si="2"/>
        <v>🔴 Rød (&gt;5%)</v>
      </c>
    </row>
    <row r="23" spans="2:9" ht="16.5" x14ac:dyDescent="0.45">
      <c r="B23" s="1" t="s">
        <v>326</v>
      </c>
    </row>
    <row r="24" spans="2:9" ht="20" customHeight="1" x14ac:dyDescent="0.35">
      <c r="B24" s="2" t="s">
        <v>327</v>
      </c>
      <c r="C24" s="2" t="s">
        <v>328</v>
      </c>
      <c r="D24" s="10" t="s">
        <v>329</v>
      </c>
      <c r="E24" s="10" t="s">
        <v>330</v>
      </c>
      <c r="F24" s="2" t="s">
        <v>331</v>
      </c>
    </row>
    <row r="25" spans="2:9" ht="19" customHeight="1" x14ac:dyDescent="0.35">
      <c r="B25" s="6" t="s">
        <v>332</v>
      </c>
      <c r="C25" s="7" t="s">
        <v>333</v>
      </c>
      <c r="D25" s="18">
        <v>5280000</v>
      </c>
      <c r="E25" s="12">
        <v>0.20562118279267361</v>
      </c>
      <c r="F25" s="7" t="s">
        <v>334</v>
      </c>
    </row>
    <row r="26" spans="2:9" ht="19" customHeight="1" x14ac:dyDescent="0.35">
      <c r="B26" s="6" t="s">
        <v>335</v>
      </c>
      <c r="C26" s="7" t="s">
        <v>336</v>
      </c>
      <c r="D26" s="18">
        <v>1024136</v>
      </c>
      <c r="E26" s="12">
        <v>3.9883343875105587E-2</v>
      </c>
      <c r="F26" s="7" t="s">
        <v>337</v>
      </c>
    </row>
    <row r="27" spans="2:9" ht="19" customHeight="1" x14ac:dyDescent="0.35">
      <c r="B27" s="6" t="s">
        <v>338</v>
      </c>
      <c r="C27" s="7" t="s">
        <v>336</v>
      </c>
      <c r="D27" s="18">
        <v>983236</v>
      </c>
      <c r="E27" s="12">
        <v>3.8290558576579023E-2</v>
      </c>
      <c r="F27" s="7" t="s">
        <v>337</v>
      </c>
    </row>
    <row r="28" spans="2:9" ht="21" customHeight="1" x14ac:dyDescent="0.35">
      <c r="B28" s="20" t="s">
        <v>339</v>
      </c>
      <c r="C28" s="20"/>
      <c r="D28" s="21">
        <f>SUM(D25:D27)</f>
        <v>7287372</v>
      </c>
      <c r="E28" s="22">
        <f>SUM(E25:E27)</f>
        <v>0.2837950852443582</v>
      </c>
      <c r="F28" s="20" t="s">
        <v>340</v>
      </c>
    </row>
  </sheetData>
  <mergeCells count="17">
    <mergeCell ref="B1:I1"/>
    <mergeCell ref="B4:C4"/>
    <mergeCell ref="B2:J2"/>
    <mergeCell ref="D6:E6"/>
    <mergeCell ref="B6:C6"/>
    <mergeCell ref="F4:G4"/>
    <mergeCell ref="J4:K4"/>
    <mergeCell ref="H6:I6"/>
    <mergeCell ref="J5:K5"/>
    <mergeCell ref="J6:K6"/>
    <mergeCell ref="B5:C5"/>
    <mergeCell ref="F5:G5"/>
    <mergeCell ref="D5:E5"/>
    <mergeCell ref="F6:G6"/>
    <mergeCell ref="D4:E4"/>
    <mergeCell ref="H5:I5"/>
    <mergeCell ref="H4:I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E40AF"/>
  </sheetPr>
  <dimension ref="B1:K24"/>
  <sheetViews>
    <sheetView zoomScale="85" workbookViewId="0"/>
  </sheetViews>
  <sheetFormatPr defaultRowHeight="14.5" x14ac:dyDescent="0.35"/>
  <cols>
    <col min="1" max="1" width="11" customWidth="1"/>
    <col min="2" max="2" width="120" customWidth="1"/>
    <col min="3" max="3" width="25" customWidth="1"/>
    <col min="4" max="4" width="27" customWidth="1"/>
    <col min="5" max="5" width="28" customWidth="1"/>
    <col min="6" max="6" width="29" customWidth="1"/>
    <col min="7" max="7" width="70" customWidth="1"/>
    <col min="8" max="8" width="24" customWidth="1"/>
    <col min="9" max="9" width="11" customWidth="1"/>
  </cols>
  <sheetData>
    <row r="1" spans="2:11" ht="24" customHeight="1" x14ac:dyDescent="0.35">
      <c r="B1" s="57" t="s">
        <v>341</v>
      </c>
      <c r="C1" s="55"/>
      <c r="D1" s="55"/>
      <c r="E1" s="55"/>
      <c r="F1" s="55"/>
      <c r="G1" s="55"/>
      <c r="H1" s="55"/>
      <c r="I1" s="55"/>
      <c r="J1" s="9" t="str">
        <f>HYPERLINK("#'00_Forside_Navigasjon'!A1", "← Hovedmeny")</f>
        <v>← Hovedmeny</v>
      </c>
    </row>
    <row r="2" spans="2:11" ht="18" customHeight="1" x14ac:dyDescent="0.35">
      <c r="B2" s="58" t="s">
        <v>342</v>
      </c>
      <c r="C2" s="55"/>
      <c r="D2" s="55"/>
      <c r="E2" s="55"/>
      <c r="F2" s="55"/>
      <c r="G2" s="55"/>
      <c r="H2" s="55"/>
      <c r="I2" s="55"/>
      <c r="J2" s="55"/>
    </row>
    <row r="4" spans="2:11" ht="16" customHeight="1" x14ac:dyDescent="0.35">
      <c r="B4" s="51" t="s">
        <v>343</v>
      </c>
      <c r="C4" s="52"/>
      <c r="D4" s="51" t="s">
        <v>344</v>
      </c>
      <c r="E4" s="52"/>
      <c r="F4" s="51" t="s">
        <v>226</v>
      </c>
      <c r="G4" s="52"/>
      <c r="H4" s="51" t="s">
        <v>345</v>
      </c>
      <c r="I4" s="52"/>
      <c r="J4" s="51" t="s">
        <v>346</v>
      </c>
      <c r="K4" s="52"/>
    </row>
    <row r="5" spans="2:11" ht="24" customHeight="1" x14ac:dyDescent="0.35">
      <c r="B5" s="50">
        <v>10747732.82</v>
      </c>
      <c r="C5" s="47"/>
      <c r="D5" s="50">
        <v>36793524.310000002</v>
      </c>
      <c r="E5" s="47"/>
      <c r="F5" s="50">
        <v>26045791.489999998</v>
      </c>
      <c r="G5" s="47"/>
      <c r="H5" s="61">
        <v>1285.93</v>
      </c>
      <c r="I5" s="47"/>
      <c r="J5" s="62">
        <v>1.2E-2</v>
      </c>
      <c r="K5" s="47"/>
    </row>
    <row r="6" spans="2:11" ht="16" customHeight="1" x14ac:dyDescent="0.35">
      <c r="B6" s="48" t="s">
        <v>347</v>
      </c>
      <c r="C6" s="49"/>
      <c r="D6" s="48" t="s">
        <v>348</v>
      </c>
      <c r="E6" s="49"/>
      <c r="F6" s="48" t="s">
        <v>231</v>
      </c>
      <c r="G6" s="49"/>
      <c r="H6" s="48" t="s">
        <v>349</v>
      </c>
      <c r="I6" s="49"/>
      <c r="J6" s="48" t="s">
        <v>350</v>
      </c>
      <c r="K6" s="49"/>
    </row>
    <row r="8" spans="2:11" ht="16.5" x14ac:dyDescent="0.45">
      <c r="B8" s="1" t="s">
        <v>351</v>
      </c>
    </row>
    <row r="9" spans="2:11" ht="20" customHeight="1" x14ac:dyDescent="0.35">
      <c r="B9" s="2" t="s">
        <v>352</v>
      </c>
      <c r="C9" s="2" t="s">
        <v>353</v>
      </c>
      <c r="D9" s="10" t="s">
        <v>354</v>
      </c>
      <c r="E9" s="10" t="s">
        <v>355</v>
      </c>
      <c r="F9" s="10" t="s">
        <v>356</v>
      </c>
      <c r="G9" s="2" t="s">
        <v>357</v>
      </c>
    </row>
    <row r="10" spans="2:11" ht="20" customHeight="1" x14ac:dyDescent="0.35">
      <c r="B10" s="6" t="s">
        <v>358</v>
      </c>
      <c r="C10" s="7" t="s">
        <v>359</v>
      </c>
      <c r="D10" s="23">
        <v>10747732.82</v>
      </c>
      <c r="E10" s="18">
        <v>0</v>
      </c>
      <c r="F10" s="12">
        <v>0</v>
      </c>
      <c r="G10" s="7" t="s">
        <v>360</v>
      </c>
    </row>
    <row r="11" spans="2:11" ht="20" customHeight="1" x14ac:dyDescent="0.35">
      <c r="B11" s="6" t="s">
        <v>361</v>
      </c>
      <c r="C11" s="7" t="s">
        <v>362</v>
      </c>
      <c r="D11" s="23">
        <v>35472635.979999997</v>
      </c>
      <c r="E11" s="18">
        <v>24724903.16</v>
      </c>
      <c r="F11" s="12">
        <v>2.2999999999999998</v>
      </c>
      <c r="G11" s="7" t="s">
        <v>363</v>
      </c>
    </row>
    <row r="12" spans="2:11" ht="20" customHeight="1" x14ac:dyDescent="0.35">
      <c r="B12" s="6" t="s">
        <v>364</v>
      </c>
      <c r="C12" s="7" t="s">
        <v>365</v>
      </c>
      <c r="D12" s="23">
        <v>35956159.170000002</v>
      </c>
      <c r="E12" s="18">
        <v>483523.19</v>
      </c>
      <c r="F12" s="12">
        <v>1.4E-2</v>
      </c>
      <c r="G12" s="7" t="s">
        <v>366</v>
      </c>
    </row>
    <row r="13" spans="2:11" ht="20" customHeight="1" x14ac:dyDescent="0.35">
      <c r="B13" s="6" t="s">
        <v>367</v>
      </c>
      <c r="C13" s="7" t="s">
        <v>368</v>
      </c>
      <c r="D13" s="23">
        <v>36793524.310000002</v>
      </c>
      <c r="E13" s="18">
        <v>837365.14</v>
      </c>
      <c r="F13" s="12">
        <v>2.3E-2</v>
      </c>
      <c r="G13" s="7" t="s">
        <v>369</v>
      </c>
    </row>
    <row r="16" spans="2:11" ht="16.5" x14ac:dyDescent="0.45">
      <c r="B16" s="1" t="s">
        <v>370</v>
      </c>
    </row>
    <row r="17" spans="2:8" ht="20" customHeight="1" x14ac:dyDescent="0.35">
      <c r="B17" s="2" t="s">
        <v>371</v>
      </c>
      <c r="C17" s="10" t="s">
        <v>253</v>
      </c>
      <c r="D17" s="10" t="s">
        <v>254</v>
      </c>
      <c r="E17" s="10" t="s">
        <v>239</v>
      </c>
      <c r="F17" s="10" t="s">
        <v>240</v>
      </c>
      <c r="G17" s="10" t="s">
        <v>238</v>
      </c>
      <c r="H17" s="10" t="s">
        <v>241</v>
      </c>
    </row>
    <row r="18" spans="2:8" ht="20" customHeight="1" x14ac:dyDescent="0.35">
      <c r="B18" s="6" t="s">
        <v>315</v>
      </c>
      <c r="C18" s="25">
        <v>5806218.5199999996</v>
      </c>
      <c r="D18" s="25">
        <v>-8945380.8000000007</v>
      </c>
      <c r="E18" s="25">
        <v>-330753.59999999998</v>
      </c>
      <c r="F18" s="25">
        <f t="shared" ref="F18:F24" si="0">E18-D18</f>
        <v>8614627.2000000011</v>
      </c>
      <c r="G18" s="26">
        <f t="shared" ref="G18:G24" si="1">IF(D18&lt;&gt;0, F18/ABS(D18), 0)</f>
        <v>0.96302520737853892</v>
      </c>
      <c r="H18" s="6" t="str">
        <f t="shared" ref="H18:H24" si="2">IF(G18&gt;0.05, "🔴 Rød (&gt;5%)", IF(G18&gt;=0.02, "🟡 Gul (2-5%)", "🟢 Grønn (&lt;=2%)"))</f>
        <v>🔴 Rød (&gt;5%)</v>
      </c>
    </row>
    <row r="19" spans="2:8" ht="20" customHeight="1" x14ac:dyDescent="0.35">
      <c r="B19" s="6" t="s">
        <v>323</v>
      </c>
      <c r="C19" s="25">
        <v>5562744.2699999996</v>
      </c>
      <c r="D19" s="25">
        <v>-8945380.8000000007</v>
      </c>
      <c r="E19" s="25">
        <v>-330753.59999999998</v>
      </c>
      <c r="F19" s="25">
        <f t="shared" si="0"/>
        <v>8614627.2000000011</v>
      </c>
      <c r="G19" s="26">
        <f t="shared" si="1"/>
        <v>0.96302520737853892</v>
      </c>
      <c r="H19" s="6" t="str">
        <f t="shared" si="2"/>
        <v>🔴 Rød (&gt;5%)</v>
      </c>
    </row>
    <row r="20" spans="2:8" ht="20" customHeight="1" x14ac:dyDescent="0.35">
      <c r="B20" s="6" t="s">
        <v>310</v>
      </c>
      <c r="C20" s="25">
        <v>12160670.279999999</v>
      </c>
      <c r="D20" s="25">
        <v>-17890761.600000001</v>
      </c>
      <c r="E20" s="25">
        <v>-661507.19999999995</v>
      </c>
      <c r="F20" s="25">
        <f t="shared" si="0"/>
        <v>17229254.400000002</v>
      </c>
      <c r="G20" s="26">
        <f t="shared" si="1"/>
        <v>0.96302520737853892</v>
      </c>
      <c r="H20" s="6" t="str">
        <f t="shared" si="2"/>
        <v>🔴 Rød (&gt;5%)</v>
      </c>
    </row>
    <row r="21" spans="2:8" ht="20" customHeight="1" x14ac:dyDescent="0.35">
      <c r="B21" s="6" t="s">
        <v>321</v>
      </c>
      <c r="C21" s="25">
        <v>8026059.5199999996</v>
      </c>
      <c r="D21" s="25">
        <v>-17890761.600000001</v>
      </c>
      <c r="E21" s="25">
        <v>-661507.19999999995</v>
      </c>
      <c r="F21" s="25">
        <f t="shared" si="0"/>
        <v>17229254.400000002</v>
      </c>
      <c r="G21" s="26">
        <f t="shared" si="1"/>
        <v>0.96302520737853892</v>
      </c>
      <c r="H21" s="6" t="str">
        <f t="shared" si="2"/>
        <v>🔴 Rød (&gt;5%)</v>
      </c>
    </row>
    <row r="22" spans="2:8" ht="20" customHeight="1" x14ac:dyDescent="0.35">
      <c r="B22" s="6" t="s">
        <v>313</v>
      </c>
      <c r="C22" s="25">
        <v>11388526.390000001</v>
      </c>
      <c r="D22" s="25">
        <v>-17890761.600000001</v>
      </c>
      <c r="E22" s="25">
        <v>-661507.19999999995</v>
      </c>
      <c r="F22" s="25">
        <f t="shared" si="0"/>
        <v>17229254.400000002</v>
      </c>
      <c r="G22" s="26">
        <f t="shared" si="1"/>
        <v>0.96302520737853892</v>
      </c>
      <c r="H22" s="6" t="str">
        <f t="shared" si="2"/>
        <v>🔴 Rød (&gt;5%)</v>
      </c>
    </row>
    <row r="23" spans="2:8" ht="20" customHeight="1" x14ac:dyDescent="0.35">
      <c r="B23" s="6" t="s">
        <v>317</v>
      </c>
      <c r="C23" s="25">
        <v>11158763.74</v>
      </c>
      <c r="D23" s="25">
        <v>-17890761.600000001</v>
      </c>
      <c r="E23" s="25">
        <v>-661507.19999999995</v>
      </c>
      <c r="F23" s="25">
        <f t="shared" si="0"/>
        <v>17229254.400000002</v>
      </c>
      <c r="G23" s="26">
        <f t="shared" si="1"/>
        <v>0.96302520737853892</v>
      </c>
      <c r="H23" s="6" t="str">
        <f t="shared" si="2"/>
        <v>🔴 Rød (&gt;5%)</v>
      </c>
    </row>
    <row r="24" spans="2:8" ht="21" customHeight="1" x14ac:dyDescent="0.35">
      <c r="B24" s="20" t="s">
        <v>372</v>
      </c>
      <c r="C24" s="21">
        <f>SUM(C18:C23)</f>
        <v>54102982.720000006</v>
      </c>
      <c r="D24" s="21">
        <f>SUM(D18:D23)</f>
        <v>-89453808</v>
      </c>
      <c r="E24" s="21">
        <f>SUM(E18:E23)</f>
        <v>-3307536</v>
      </c>
      <c r="F24" s="21">
        <f t="shared" si="0"/>
        <v>86146272</v>
      </c>
      <c r="G24" s="22">
        <f t="shared" si="1"/>
        <v>0.96302520737853892</v>
      </c>
      <c r="H24" s="20" t="str">
        <f t="shared" si="2"/>
        <v>🔴 Rød (&gt;5%)</v>
      </c>
    </row>
  </sheetData>
  <mergeCells count="17">
    <mergeCell ref="B1:I1"/>
    <mergeCell ref="B4:C4"/>
    <mergeCell ref="B2:J2"/>
    <mergeCell ref="D6:E6"/>
    <mergeCell ref="B6:C6"/>
    <mergeCell ref="F4:G4"/>
    <mergeCell ref="J4:K4"/>
    <mergeCell ref="H6:I6"/>
    <mergeCell ref="J5:K5"/>
    <mergeCell ref="J6:K6"/>
    <mergeCell ref="B5:C5"/>
    <mergeCell ref="F5:G5"/>
    <mergeCell ref="D5:E5"/>
    <mergeCell ref="F6:G6"/>
    <mergeCell ref="D4:E4"/>
    <mergeCell ref="H5:I5"/>
    <mergeCell ref="H4:I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E40AF"/>
  </sheetPr>
  <dimension ref="B1:K35"/>
  <sheetViews>
    <sheetView zoomScale="85" workbookViewId="0"/>
  </sheetViews>
  <sheetFormatPr defaultRowHeight="14.5" x14ac:dyDescent="0.35"/>
  <cols>
    <col min="1" max="1" width="11" customWidth="1"/>
    <col min="2" max="2" width="145" customWidth="1"/>
    <col min="3" max="3" width="59" customWidth="1"/>
    <col min="4" max="4" width="30" customWidth="1"/>
    <col min="5" max="5" width="13" customWidth="1"/>
    <col min="6" max="6" width="48" customWidth="1"/>
    <col min="7" max="7" width="21" customWidth="1"/>
    <col min="8" max="8" width="31" customWidth="1"/>
    <col min="9" max="9" width="12" customWidth="1"/>
    <col min="10" max="10" width="42" customWidth="1"/>
    <col min="11" max="11" width="11" customWidth="1"/>
  </cols>
  <sheetData>
    <row r="1" spans="2:11" ht="24" customHeight="1" x14ac:dyDescent="0.35">
      <c r="B1" s="57" t="s">
        <v>373</v>
      </c>
      <c r="C1" s="55"/>
      <c r="D1" s="55"/>
      <c r="E1" s="55"/>
      <c r="F1" s="55"/>
      <c r="G1" s="55"/>
      <c r="H1" s="55"/>
      <c r="I1" s="55"/>
      <c r="J1" s="55"/>
      <c r="K1" s="9" t="str">
        <f>HYPERLINK("#'00_Forside_Navigasjon'!A1", "← Hovedmeny")</f>
        <v>← Hovedmeny</v>
      </c>
    </row>
    <row r="2" spans="2:11" ht="18" customHeight="1" x14ac:dyDescent="0.35">
      <c r="B2" s="58" t="s">
        <v>374</v>
      </c>
      <c r="C2" s="55"/>
      <c r="D2" s="55"/>
      <c r="E2" s="55"/>
      <c r="F2" s="55"/>
      <c r="G2" s="55"/>
      <c r="H2" s="55"/>
      <c r="I2" s="55"/>
      <c r="J2" s="55"/>
      <c r="K2" s="55"/>
    </row>
    <row r="4" spans="2:11" ht="16" customHeight="1" x14ac:dyDescent="0.35">
      <c r="B4" s="51" t="s">
        <v>375</v>
      </c>
      <c r="C4" s="52"/>
      <c r="D4" s="51" t="s">
        <v>376</v>
      </c>
      <c r="E4" s="52"/>
      <c r="F4" s="51" t="s">
        <v>5</v>
      </c>
      <c r="G4" s="52"/>
      <c r="H4" s="51" t="s">
        <v>377</v>
      </c>
      <c r="I4" s="52"/>
      <c r="J4" s="51" t="s">
        <v>378</v>
      </c>
      <c r="K4" s="52"/>
    </row>
    <row r="5" spans="2:11" ht="24" customHeight="1" x14ac:dyDescent="0.35">
      <c r="B5" s="50">
        <v>10747732.82</v>
      </c>
      <c r="C5" s="47"/>
      <c r="D5" s="50">
        <v>36793524.310000002</v>
      </c>
      <c r="E5" s="47"/>
      <c r="F5" s="50">
        <v>106939940.48</v>
      </c>
      <c r="G5" s="47"/>
      <c r="H5" s="62">
        <v>0.86380000000000001</v>
      </c>
      <c r="I5" s="47"/>
      <c r="J5" s="46">
        <v>21</v>
      </c>
      <c r="K5" s="47"/>
    </row>
    <row r="6" spans="2:11" ht="16" customHeight="1" x14ac:dyDescent="0.35">
      <c r="B6" s="48" t="s">
        <v>379</v>
      </c>
      <c r="C6" s="49"/>
      <c r="D6" s="48" t="s">
        <v>380</v>
      </c>
      <c r="E6" s="49"/>
      <c r="F6" s="48" t="s">
        <v>381</v>
      </c>
      <c r="G6" s="49"/>
      <c r="H6" s="48" t="s">
        <v>382</v>
      </c>
      <c r="I6" s="49"/>
      <c r="J6" s="48" t="s">
        <v>383</v>
      </c>
      <c r="K6" s="49"/>
    </row>
    <row r="8" spans="2:11" ht="16.5" x14ac:dyDescent="0.45">
      <c r="B8" s="1" t="s">
        <v>384</v>
      </c>
    </row>
    <row r="9" spans="2:11" ht="20" customHeight="1" x14ac:dyDescent="0.35">
      <c r="B9" s="2" t="s">
        <v>385</v>
      </c>
      <c r="C9" s="2" t="s">
        <v>386</v>
      </c>
      <c r="D9" s="10" t="s">
        <v>387</v>
      </c>
      <c r="E9" s="10" t="s">
        <v>388</v>
      </c>
      <c r="F9" s="10" t="s">
        <v>389</v>
      </c>
      <c r="G9" s="2" t="s">
        <v>241</v>
      </c>
    </row>
    <row r="10" spans="2:11" ht="19" customHeight="1" x14ac:dyDescent="0.35">
      <c r="B10" s="6" t="s">
        <v>390</v>
      </c>
      <c r="C10" s="7" t="s">
        <v>391</v>
      </c>
      <c r="D10" s="27">
        <v>336945.4</v>
      </c>
      <c r="E10" s="27">
        <v>390095</v>
      </c>
      <c r="F10" s="28">
        <f t="shared" ref="F10:F15" si="0">D10/E10</f>
        <v>0.86375216293466983</v>
      </c>
      <c r="G10" s="6" t="s">
        <v>392</v>
      </c>
    </row>
    <row r="11" spans="2:11" ht="19" customHeight="1" x14ac:dyDescent="0.35">
      <c r="B11" s="6" t="s">
        <v>390</v>
      </c>
      <c r="C11" s="7" t="s">
        <v>393</v>
      </c>
      <c r="D11" s="13">
        <v>5615.74</v>
      </c>
      <c r="E11" s="13">
        <v>6501.58</v>
      </c>
      <c r="F11" s="28">
        <f t="shared" si="0"/>
        <v>0.86375004229741081</v>
      </c>
      <c r="G11" s="6" t="s">
        <v>392</v>
      </c>
    </row>
    <row r="12" spans="2:11" ht="19" customHeight="1" x14ac:dyDescent="0.35">
      <c r="B12" s="6" t="s">
        <v>394</v>
      </c>
      <c r="C12" s="7" t="s">
        <v>395</v>
      </c>
      <c r="D12" s="27">
        <v>6490</v>
      </c>
      <c r="E12" s="27">
        <v>6800</v>
      </c>
      <c r="F12" s="28">
        <f t="shared" si="0"/>
        <v>0.9544117647058824</v>
      </c>
      <c r="G12" s="6" t="s">
        <v>396</v>
      </c>
    </row>
    <row r="13" spans="2:11" ht="19" customHeight="1" x14ac:dyDescent="0.35">
      <c r="B13" s="6" t="s">
        <v>397</v>
      </c>
      <c r="C13" s="7" t="s">
        <v>398</v>
      </c>
      <c r="D13" s="18">
        <v>25678288.239999998</v>
      </c>
      <c r="E13" s="18">
        <v>25000000</v>
      </c>
      <c r="F13" s="28">
        <f t="shared" si="0"/>
        <v>1.0271315295999999</v>
      </c>
      <c r="G13" s="6" t="s">
        <v>396</v>
      </c>
    </row>
    <row r="14" spans="2:11" ht="19" customHeight="1" x14ac:dyDescent="0.35">
      <c r="B14" s="6" t="s">
        <v>397</v>
      </c>
      <c r="C14" s="7" t="s">
        <v>399</v>
      </c>
      <c r="D14" s="18">
        <v>12901569.82</v>
      </c>
      <c r="E14" s="18">
        <v>13000000</v>
      </c>
      <c r="F14" s="28">
        <f t="shared" si="0"/>
        <v>0.99242844769230776</v>
      </c>
      <c r="G14" s="6" t="s">
        <v>396</v>
      </c>
    </row>
    <row r="15" spans="2:11" ht="19" customHeight="1" x14ac:dyDescent="0.35">
      <c r="B15" s="6" t="s">
        <v>400</v>
      </c>
      <c r="C15" s="7" t="s">
        <v>401</v>
      </c>
      <c r="D15" s="12">
        <v>0.68969999999999998</v>
      </c>
      <c r="E15" s="12">
        <v>0.68</v>
      </c>
      <c r="F15" s="28">
        <f t="shared" si="0"/>
        <v>1.0142647058823528</v>
      </c>
      <c r="G15" s="6" t="s">
        <v>402</v>
      </c>
    </row>
    <row r="18" spans="2:10" ht="16.5" x14ac:dyDescent="0.45">
      <c r="B18" s="1" t="s">
        <v>403</v>
      </c>
    </row>
    <row r="19" spans="2:10" ht="20" customHeight="1" x14ac:dyDescent="0.35">
      <c r="B19" s="2" t="s">
        <v>404</v>
      </c>
      <c r="C19" s="2" t="s">
        <v>405</v>
      </c>
      <c r="D19" s="2" t="s">
        <v>406</v>
      </c>
      <c r="E19" s="2" t="s">
        <v>407</v>
      </c>
      <c r="F19" s="10" t="s">
        <v>408</v>
      </c>
      <c r="G19" s="10" t="s">
        <v>409</v>
      </c>
      <c r="H19" s="10" t="s">
        <v>410</v>
      </c>
      <c r="I19" s="2" t="s">
        <v>411</v>
      </c>
      <c r="J19" s="2" t="s">
        <v>241</v>
      </c>
    </row>
    <row r="20" spans="2:10" ht="19" customHeight="1" x14ac:dyDescent="0.35">
      <c r="B20" s="29" t="s">
        <v>412</v>
      </c>
      <c r="C20" s="6" t="s">
        <v>413</v>
      </c>
      <c r="D20" s="7" t="s">
        <v>414</v>
      </c>
      <c r="E20" s="7" t="s">
        <v>415</v>
      </c>
      <c r="F20" s="25">
        <v>0</v>
      </c>
      <c r="G20" s="25">
        <v>0</v>
      </c>
      <c r="H20" s="25">
        <f t="shared" ref="H20:H25" si="1">F20-G20</f>
        <v>0</v>
      </c>
      <c r="I20" s="7" t="s">
        <v>416</v>
      </c>
      <c r="J20" s="6" t="s">
        <v>417</v>
      </c>
    </row>
    <row r="21" spans="2:10" ht="19" customHeight="1" x14ac:dyDescent="0.35">
      <c r="B21" s="29" t="s">
        <v>418</v>
      </c>
      <c r="C21" s="6" t="s">
        <v>419</v>
      </c>
      <c r="D21" s="7" t="s">
        <v>420</v>
      </c>
      <c r="E21" s="7" t="s">
        <v>421</v>
      </c>
      <c r="F21" s="25">
        <v>150000</v>
      </c>
      <c r="G21" s="25">
        <v>0</v>
      </c>
      <c r="H21" s="25">
        <f t="shared" si="1"/>
        <v>150000</v>
      </c>
      <c r="I21" s="7" t="s">
        <v>416</v>
      </c>
      <c r="J21" s="6" t="s">
        <v>422</v>
      </c>
    </row>
    <row r="22" spans="2:10" ht="19" customHeight="1" x14ac:dyDescent="0.35">
      <c r="B22" s="29" t="s">
        <v>423</v>
      </c>
      <c r="C22" s="6" t="s">
        <v>424</v>
      </c>
      <c r="D22" s="7" t="s">
        <v>425</v>
      </c>
      <c r="E22" s="7" t="s">
        <v>426</v>
      </c>
      <c r="F22" s="25">
        <v>350000</v>
      </c>
      <c r="G22" s="25">
        <v>180000</v>
      </c>
      <c r="H22" s="25">
        <f t="shared" si="1"/>
        <v>170000</v>
      </c>
      <c r="I22" s="7" t="s">
        <v>427</v>
      </c>
      <c r="J22" s="6" t="s">
        <v>428</v>
      </c>
    </row>
    <row r="23" spans="2:10" ht="19" customHeight="1" x14ac:dyDescent="0.35">
      <c r="B23" s="29" t="s">
        <v>429</v>
      </c>
      <c r="C23" s="6" t="s">
        <v>430</v>
      </c>
      <c r="D23" s="7" t="s">
        <v>431</v>
      </c>
      <c r="E23" s="7" t="s">
        <v>432</v>
      </c>
      <c r="F23" s="25">
        <v>600000</v>
      </c>
      <c r="G23" s="25">
        <v>300000</v>
      </c>
      <c r="H23" s="25">
        <f t="shared" si="1"/>
        <v>300000</v>
      </c>
      <c r="I23" s="7" t="s">
        <v>427</v>
      </c>
      <c r="J23" s="6" t="s">
        <v>428</v>
      </c>
    </row>
    <row r="24" spans="2:10" ht="19" customHeight="1" x14ac:dyDescent="0.35">
      <c r="B24" s="29" t="s">
        <v>433</v>
      </c>
      <c r="C24" s="6" t="s">
        <v>434</v>
      </c>
      <c r="D24" s="7" t="s">
        <v>435</v>
      </c>
      <c r="E24" s="7" t="s">
        <v>426</v>
      </c>
      <c r="F24" s="25">
        <v>850000</v>
      </c>
      <c r="G24" s="25">
        <v>420000</v>
      </c>
      <c r="H24" s="25">
        <f t="shared" si="1"/>
        <v>430000</v>
      </c>
      <c r="I24" s="7" t="s">
        <v>416</v>
      </c>
      <c r="J24" s="6" t="s">
        <v>428</v>
      </c>
    </row>
    <row r="25" spans="2:10" ht="19" customHeight="1" x14ac:dyDescent="0.35">
      <c r="B25" s="29" t="s">
        <v>436</v>
      </c>
      <c r="C25" s="6" t="s">
        <v>437</v>
      </c>
      <c r="D25" s="7" t="s">
        <v>438</v>
      </c>
      <c r="E25" s="7" t="s">
        <v>439</v>
      </c>
      <c r="F25" s="25">
        <v>2400000</v>
      </c>
      <c r="G25" s="25">
        <v>1800000</v>
      </c>
      <c r="H25" s="25">
        <f t="shared" si="1"/>
        <v>600000</v>
      </c>
      <c r="I25" s="7" t="s">
        <v>416</v>
      </c>
      <c r="J25" s="6" t="s">
        <v>417</v>
      </c>
    </row>
    <row r="26" spans="2:10" ht="21" customHeight="1" x14ac:dyDescent="0.35">
      <c r="B26" s="20" t="s">
        <v>440</v>
      </c>
      <c r="C26" s="20" t="s">
        <v>441</v>
      </c>
      <c r="D26" s="20"/>
      <c r="E26" s="20"/>
      <c r="F26" s="21">
        <f>SUM(F20:F25)</f>
        <v>4350000</v>
      </c>
      <c r="G26" s="21">
        <f>SUM(G20:G25)</f>
        <v>2700000</v>
      </c>
      <c r="H26" s="21">
        <f>SUM(H20:H25)</f>
        <v>1650000</v>
      </c>
      <c r="I26" s="20"/>
      <c r="J26" s="20" t="s">
        <v>442</v>
      </c>
    </row>
    <row r="29" spans="2:10" ht="16.5" x14ac:dyDescent="0.45">
      <c r="B29" s="1" t="s">
        <v>443</v>
      </c>
    </row>
    <row r="30" spans="2:10" ht="20" customHeight="1" x14ac:dyDescent="0.35">
      <c r="B30" s="2" t="s">
        <v>444</v>
      </c>
      <c r="C30" s="2" t="s">
        <v>445</v>
      </c>
      <c r="D30" s="10" t="s">
        <v>273</v>
      </c>
      <c r="E30" s="10" t="s">
        <v>330</v>
      </c>
      <c r="F30" s="2" t="s">
        <v>446</v>
      </c>
    </row>
    <row r="31" spans="2:10" ht="20" customHeight="1" x14ac:dyDescent="0.35">
      <c r="B31" s="6" t="s">
        <v>447</v>
      </c>
      <c r="C31" s="7" t="s">
        <v>448</v>
      </c>
      <c r="D31" s="23">
        <v>2138798809.53</v>
      </c>
      <c r="E31" s="12">
        <v>1</v>
      </c>
      <c r="F31" s="7" t="s">
        <v>449</v>
      </c>
    </row>
    <row r="32" spans="2:10" ht="20" customHeight="1" x14ac:dyDescent="0.35">
      <c r="B32" s="6" t="s">
        <v>11</v>
      </c>
      <c r="C32" s="7" t="s">
        <v>450</v>
      </c>
      <c r="D32" s="23">
        <v>106939940.48</v>
      </c>
      <c r="E32" s="12">
        <v>0.05</v>
      </c>
      <c r="F32" s="7" t="s">
        <v>451</v>
      </c>
    </row>
    <row r="33" spans="2:6" ht="20" customHeight="1" x14ac:dyDescent="0.35">
      <c r="B33" s="6" t="s">
        <v>452</v>
      </c>
      <c r="C33" s="7" t="s">
        <v>453</v>
      </c>
      <c r="D33" s="23">
        <v>-130604.63</v>
      </c>
      <c r="E33" s="30">
        <v>1E-4</v>
      </c>
      <c r="F33" s="7" t="s">
        <v>454</v>
      </c>
    </row>
    <row r="34" spans="2:6" ht="20" customHeight="1" x14ac:dyDescent="0.35">
      <c r="B34" s="6" t="s">
        <v>455</v>
      </c>
      <c r="C34" s="7" t="s">
        <v>456</v>
      </c>
      <c r="D34" s="23">
        <v>130604.63</v>
      </c>
      <c r="E34" s="30">
        <v>6.0999999999999999E-5</v>
      </c>
      <c r="F34" s="7" t="s">
        <v>457</v>
      </c>
    </row>
    <row r="35" spans="2:6" ht="20" customHeight="1" x14ac:dyDescent="0.35">
      <c r="B35" s="6" t="s">
        <v>458</v>
      </c>
      <c r="C35" s="7" t="s">
        <v>459</v>
      </c>
      <c r="D35" s="23">
        <v>0</v>
      </c>
      <c r="E35" s="30">
        <v>0</v>
      </c>
      <c r="F35" s="6" t="s">
        <v>460</v>
      </c>
    </row>
  </sheetData>
  <mergeCells count="17">
    <mergeCell ref="B1:J1"/>
    <mergeCell ref="D4:E4"/>
    <mergeCell ref="F6:G6"/>
    <mergeCell ref="H4:I4"/>
    <mergeCell ref="B2:K2"/>
    <mergeCell ref="H5:I5"/>
    <mergeCell ref="B4:C4"/>
    <mergeCell ref="D6:E6"/>
    <mergeCell ref="B6:C6"/>
    <mergeCell ref="F4:G4"/>
    <mergeCell ref="J4:K4"/>
    <mergeCell ref="H6:I6"/>
    <mergeCell ref="J5:K5"/>
    <mergeCell ref="J6:K6"/>
    <mergeCell ref="B5:C5"/>
    <mergeCell ref="F5:G5"/>
    <mergeCell ref="D5:E5"/>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E40AF"/>
  </sheetPr>
  <dimension ref="B1:J27"/>
  <sheetViews>
    <sheetView zoomScale="85" workbookViewId="0"/>
  </sheetViews>
  <sheetFormatPr defaultRowHeight="14.5" x14ac:dyDescent="0.35"/>
  <cols>
    <col min="1" max="1" width="11" customWidth="1"/>
    <col min="2" max="2" width="124" customWidth="1"/>
    <col min="3" max="3" width="41" customWidth="1"/>
    <col min="4" max="4" width="30" customWidth="1"/>
    <col min="5" max="5" width="20" customWidth="1"/>
    <col min="6" max="6" width="37" customWidth="1"/>
    <col min="7" max="7" width="47" customWidth="1"/>
    <col min="8" max="8" width="25" customWidth="1"/>
    <col min="9" max="9" width="18" customWidth="1"/>
    <col min="10" max="10" width="39" customWidth="1"/>
    <col min="11" max="11" width="11" customWidth="1"/>
  </cols>
  <sheetData>
    <row r="1" spans="2:10" ht="24" customHeight="1" x14ac:dyDescent="0.35">
      <c r="B1" s="57" t="s">
        <v>461</v>
      </c>
      <c r="C1" s="55"/>
      <c r="D1" s="55"/>
      <c r="E1" s="55"/>
      <c r="F1" s="55"/>
      <c r="G1" s="55"/>
      <c r="H1" s="55"/>
      <c r="I1" s="55"/>
      <c r="J1" s="9" t="str">
        <f>HYPERLINK("#'00_Forside_Navigasjon'!A1", "← Hovedmeny")</f>
        <v>← Hovedmeny</v>
      </c>
    </row>
    <row r="2" spans="2:10" ht="18" customHeight="1" x14ac:dyDescent="0.35">
      <c r="B2" s="58" t="s">
        <v>462</v>
      </c>
      <c r="C2" s="55"/>
      <c r="D2" s="55"/>
      <c r="E2" s="55"/>
      <c r="F2" s="55"/>
      <c r="G2" s="55"/>
      <c r="H2" s="55"/>
      <c r="I2" s="55"/>
      <c r="J2" s="55"/>
    </row>
    <row r="4" spans="2:10" ht="16" customHeight="1" x14ac:dyDescent="0.35">
      <c r="B4" s="51" t="s">
        <v>463</v>
      </c>
      <c r="C4" s="52"/>
      <c r="D4" s="51" t="s">
        <v>464</v>
      </c>
      <c r="E4" s="52"/>
      <c r="F4" s="51" t="s">
        <v>465</v>
      </c>
      <c r="G4" s="52"/>
      <c r="H4" s="51" t="s">
        <v>466</v>
      </c>
      <c r="I4" s="52"/>
    </row>
    <row r="5" spans="2:10" ht="24" customHeight="1" x14ac:dyDescent="0.35">
      <c r="B5" s="50">
        <v>61500000</v>
      </c>
      <c r="C5" s="47"/>
      <c r="D5" s="50">
        <v>20200000</v>
      </c>
      <c r="E5" s="47"/>
      <c r="F5" s="50">
        <v>20460000</v>
      </c>
      <c r="G5" s="47"/>
      <c r="H5" s="50">
        <v>4600000</v>
      </c>
      <c r="I5" s="47"/>
    </row>
    <row r="6" spans="2:10" ht="16" customHeight="1" x14ac:dyDescent="0.35">
      <c r="B6" s="48" t="s">
        <v>467</v>
      </c>
      <c r="C6" s="49"/>
      <c r="D6" s="48" t="s">
        <v>468</v>
      </c>
      <c r="E6" s="49"/>
      <c r="F6" s="48" t="s">
        <v>469</v>
      </c>
      <c r="G6" s="49"/>
      <c r="H6" s="48" t="s">
        <v>470</v>
      </c>
      <c r="I6" s="49"/>
    </row>
    <row r="8" spans="2:10" ht="16.5" x14ac:dyDescent="0.45">
      <c r="B8" s="1" t="s">
        <v>471</v>
      </c>
    </row>
    <row r="9" spans="2:10" ht="20" customHeight="1" x14ac:dyDescent="0.35">
      <c r="B9" s="2" t="s">
        <v>472</v>
      </c>
      <c r="C9" s="2" t="s">
        <v>473</v>
      </c>
      <c r="D9" s="2" t="s">
        <v>474</v>
      </c>
      <c r="E9" s="2" t="s">
        <v>475</v>
      </c>
      <c r="F9" s="10" t="s">
        <v>476</v>
      </c>
      <c r="G9" s="10" t="s">
        <v>477</v>
      </c>
      <c r="H9" s="10" t="s">
        <v>478</v>
      </c>
      <c r="I9" s="10" t="s">
        <v>479</v>
      </c>
      <c r="J9" s="2" t="s">
        <v>256</v>
      </c>
    </row>
    <row r="10" spans="2:10" ht="19" customHeight="1" x14ac:dyDescent="0.35">
      <c r="B10" s="29" t="s">
        <v>480</v>
      </c>
      <c r="C10" s="6" t="s">
        <v>481</v>
      </c>
      <c r="D10" s="7" t="s">
        <v>338</v>
      </c>
      <c r="E10" s="7" t="s">
        <v>336</v>
      </c>
      <c r="F10" s="25">
        <v>18500000</v>
      </c>
      <c r="G10" s="25">
        <v>6200000</v>
      </c>
      <c r="H10" s="25">
        <v>3100000</v>
      </c>
      <c r="I10" s="26">
        <v>0</v>
      </c>
      <c r="J10" s="31" t="s">
        <v>482</v>
      </c>
    </row>
    <row r="11" spans="2:10" ht="19" customHeight="1" x14ac:dyDescent="0.35">
      <c r="B11" s="29" t="s">
        <v>483</v>
      </c>
      <c r="C11" s="6" t="s">
        <v>484</v>
      </c>
      <c r="D11" s="7" t="s">
        <v>338</v>
      </c>
      <c r="E11" s="7" t="s">
        <v>336</v>
      </c>
      <c r="F11" s="25">
        <v>14000000</v>
      </c>
      <c r="G11" s="25">
        <v>4500000</v>
      </c>
      <c r="H11" s="25">
        <v>2150000</v>
      </c>
      <c r="I11" s="26">
        <v>-2E-3</v>
      </c>
      <c r="J11" s="31" t="s">
        <v>482</v>
      </c>
    </row>
    <row r="12" spans="2:10" ht="19" customHeight="1" x14ac:dyDescent="0.35">
      <c r="B12" s="29" t="s">
        <v>485</v>
      </c>
      <c r="C12" s="6" t="s">
        <v>486</v>
      </c>
      <c r="D12" s="7" t="s">
        <v>335</v>
      </c>
      <c r="E12" s="7" t="s">
        <v>336</v>
      </c>
      <c r="F12" s="25">
        <v>12000000</v>
      </c>
      <c r="G12" s="25">
        <v>4000000</v>
      </c>
      <c r="H12" s="25">
        <v>1680000</v>
      </c>
      <c r="I12" s="26">
        <v>-0.23</v>
      </c>
      <c r="J12" s="31" t="s">
        <v>487</v>
      </c>
    </row>
    <row r="13" spans="2:10" ht="19" customHeight="1" x14ac:dyDescent="0.35">
      <c r="B13" s="29" t="s">
        <v>488</v>
      </c>
      <c r="C13" s="6" t="s">
        <v>489</v>
      </c>
      <c r="D13" s="7" t="s">
        <v>335</v>
      </c>
      <c r="E13" s="7" t="s">
        <v>336</v>
      </c>
      <c r="F13" s="25">
        <v>8500000</v>
      </c>
      <c r="G13" s="25">
        <v>2800000</v>
      </c>
      <c r="H13" s="25">
        <v>1450000</v>
      </c>
      <c r="I13" s="26">
        <v>-2E-3</v>
      </c>
      <c r="J13" s="31" t="s">
        <v>482</v>
      </c>
    </row>
    <row r="14" spans="2:10" ht="19" customHeight="1" x14ac:dyDescent="0.35">
      <c r="B14" s="29" t="s">
        <v>490</v>
      </c>
      <c r="C14" s="6" t="s">
        <v>491</v>
      </c>
      <c r="D14" s="7" t="s">
        <v>492</v>
      </c>
      <c r="E14" s="7" t="s">
        <v>333</v>
      </c>
      <c r="F14" s="25">
        <v>5000000</v>
      </c>
      <c r="G14" s="25">
        <v>1800000</v>
      </c>
      <c r="H14" s="25">
        <v>890000</v>
      </c>
      <c r="I14" s="26">
        <v>-6.0000000000000001E-3</v>
      </c>
      <c r="J14" s="31" t="s">
        <v>482</v>
      </c>
    </row>
    <row r="15" spans="2:10" ht="19" customHeight="1" x14ac:dyDescent="0.35">
      <c r="B15" s="29" t="s">
        <v>493</v>
      </c>
      <c r="C15" s="6" t="s">
        <v>494</v>
      </c>
      <c r="D15" s="7" t="s">
        <v>332</v>
      </c>
      <c r="E15" s="7" t="s">
        <v>333</v>
      </c>
      <c r="F15" s="25">
        <v>3500000</v>
      </c>
      <c r="G15" s="25">
        <v>1200000</v>
      </c>
      <c r="H15" s="25">
        <v>864000</v>
      </c>
      <c r="I15" s="26">
        <v>0.22</v>
      </c>
      <c r="J15" s="31" t="s">
        <v>495</v>
      </c>
    </row>
    <row r="16" spans="2:10" ht="21" customHeight="1" x14ac:dyDescent="0.35">
      <c r="B16" s="20" t="s">
        <v>463</v>
      </c>
      <c r="C16" s="20"/>
      <c r="D16" s="20"/>
      <c r="E16" s="20"/>
      <c r="F16" s="21">
        <f>SUM(F10:F15)</f>
        <v>61500000</v>
      </c>
      <c r="G16" s="21">
        <f>SUM(G10:G15)</f>
        <v>20500000</v>
      </c>
      <c r="H16" s="21">
        <f>SUM(H10:H15)</f>
        <v>10134000</v>
      </c>
      <c r="I16" s="22">
        <f>(H16-G16)/G16</f>
        <v>-0.50565853658536586</v>
      </c>
      <c r="J16" s="20" t="s">
        <v>496</v>
      </c>
    </row>
    <row r="19" spans="2:7" ht="16.5" x14ac:dyDescent="0.45">
      <c r="B19" s="1" t="s">
        <v>497</v>
      </c>
    </row>
    <row r="20" spans="2:7" ht="20" customHeight="1" x14ac:dyDescent="0.35">
      <c r="B20" s="2" t="s">
        <v>498</v>
      </c>
      <c r="C20" s="2" t="s">
        <v>499</v>
      </c>
      <c r="D20" s="2" t="s">
        <v>500</v>
      </c>
      <c r="E20" s="10" t="s">
        <v>273</v>
      </c>
      <c r="F20" s="10" t="s">
        <v>330</v>
      </c>
      <c r="G20" s="2" t="s">
        <v>501</v>
      </c>
    </row>
    <row r="21" spans="2:7" ht="20" customHeight="1" x14ac:dyDescent="0.35">
      <c r="B21" s="6" t="s">
        <v>502</v>
      </c>
      <c r="C21" s="7" t="s">
        <v>503</v>
      </c>
      <c r="D21" s="29" t="s">
        <v>504</v>
      </c>
      <c r="E21" s="23">
        <v>10300000</v>
      </c>
      <c r="F21" s="12">
        <v>0.50990000000000002</v>
      </c>
      <c r="G21" s="7" t="s">
        <v>505</v>
      </c>
    </row>
    <row r="22" spans="2:7" ht="20" customHeight="1" x14ac:dyDescent="0.35">
      <c r="B22" s="6" t="s">
        <v>506</v>
      </c>
      <c r="C22" s="7" t="s">
        <v>507</v>
      </c>
      <c r="D22" s="29" t="s">
        <v>504</v>
      </c>
      <c r="E22" s="23">
        <v>4800000</v>
      </c>
      <c r="F22" s="12">
        <v>0.23760000000000001</v>
      </c>
      <c r="G22" s="7" t="s">
        <v>508</v>
      </c>
    </row>
    <row r="23" spans="2:7" ht="20" customHeight="1" x14ac:dyDescent="0.35">
      <c r="B23" s="6" t="s">
        <v>509</v>
      </c>
      <c r="C23" s="7" t="s">
        <v>510</v>
      </c>
      <c r="D23" s="29" t="s">
        <v>504</v>
      </c>
      <c r="E23" s="23">
        <v>4600000</v>
      </c>
      <c r="F23" s="12">
        <v>0.22770000000000001</v>
      </c>
      <c r="G23" s="7" t="s">
        <v>511</v>
      </c>
    </row>
    <row r="24" spans="2:7" ht="20" customHeight="1" x14ac:dyDescent="0.35">
      <c r="B24" s="6" t="s">
        <v>512</v>
      </c>
      <c r="C24" s="7" t="s">
        <v>513</v>
      </c>
      <c r="D24" s="29" t="s">
        <v>504</v>
      </c>
      <c r="E24" s="23">
        <v>500000</v>
      </c>
      <c r="F24" s="12">
        <v>2.4799999999999999E-2</v>
      </c>
      <c r="G24" s="7" t="s">
        <v>514</v>
      </c>
    </row>
    <row r="25" spans="2:7" ht="20" customHeight="1" x14ac:dyDescent="0.35">
      <c r="B25" s="20" t="s">
        <v>515</v>
      </c>
      <c r="C25" s="32" t="s">
        <v>516</v>
      </c>
      <c r="D25" s="33" t="s">
        <v>517</v>
      </c>
      <c r="E25" s="21">
        <v>20200000</v>
      </c>
      <c r="F25" s="34">
        <v>1</v>
      </c>
      <c r="G25" s="32" t="s">
        <v>518</v>
      </c>
    </row>
    <row r="26" spans="2:7" ht="20" customHeight="1" x14ac:dyDescent="0.35">
      <c r="B26" s="6" t="s">
        <v>519</v>
      </c>
      <c r="C26" s="7" t="s">
        <v>478</v>
      </c>
      <c r="D26" s="29" t="s">
        <v>504</v>
      </c>
      <c r="E26" s="23">
        <v>20460000</v>
      </c>
      <c r="F26" s="12">
        <v>1.0128999999999999</v>
      </c>
      <c r="G26" s="7" t="s">
        <v>520</v>
      </c>
    </row>
    <row r="27" spans="2:7" ht="20" customHeight="1" x14ac:dyDescent="0.35">
      <c r="B27" s="6" t="s">
        <v>521</v>
      </c>
      <c r="C27" s="7" t="s">
        <v>476</v>
      </c>
      <c r="D27" s="29" t="s">
        <v>522</v>
      </c>
      <c r="E27" s="23">
        <v>61500000</v>
      </c>
      <c r="F27" s="12">
        <v>3.0446</v>
      </c>
      <c r="G27" s="7" t="s">
        <v>523</v>
      </c>
    </row>
  </sheetData>
  <mergeCells count="14">
    <mergeCell ref="B1:I1"/>
    <mergeCell ref="B4:C4"/>
    <mergeCell ref="B2:J2"/>
    <mergeCell ref="D6:E6"/>
    <mergeCell ref="B6:C6"/>
    <mergeCell ref="F4:G4"/>
    <mergeCell ref="H6:I6"/>
    <mergeCell ref="B5:C5"/>
    <mergeCell ref="F5:G5"/>
    <mergeCell ref="D5:E5"/>
    <mergeCell ref="F6:G6"/>
    <mergeCell ref="D4:E4"/>
    <mergeCell ref="H5:I5"/>
    <mergeCell ref="H4:I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E40AF"/>
  </sheetPr>
  <dimension ref="B1:K27"/>
  <sheetViews>
    <sheetView zoomScale="85" workbookViewId="0"/>
  </sheetViews>
  <sheetFormatPr defaultRowHeight="14.5" x14ac:dyDescent="0.35"/>
  <cols>
    <col min="1" max="1" width="11" customWidth="1"/>
    <col min="2" max="2" width="122" customWidth="1"/>
    <col min="3" max="3" width="41" customWidth="1"/>
    <col min="4" max="4" width="23" customWidth="1"/>
    <col min="5" max="5" width="58" customWidth="1"/>
    <col min="6" max="6" width="115" customWidth="1"/>
    <col min="7" max="7" width="13" customWidth="1"/>
    <col min="8" max="8" width="21" customWidth="1"/>
    <col min="9" max="9" width="15" customWidth="1"/>
    <col min="10" max="10" width="17" customWidth="1"/>
    <col min="11" max="11" width="13" customWidth="1"/>
    <col min="12" max="12" width="11" customWidth="1"/>
  </cols>
  <sheetData>
    <row r="1" spans="2:11" ht="24" customHeight="1" x14ac:dyDescent="0.35">
      <c r="B1" s="57" t="s">
        <v>524</v>
      </c>
      <c r="C1" s="55"/>
      <c r="D1" s="55"/>
      <c r="E1" s="55"/>
      <c r="F1" s="55"/>
      <c r="G1" s="55"/>
      <c r="H1" s="55"/>
      <c r="I1" s="55"/>
      <c r="J1" s="9" t="str">
        <f>HYPERLINK("#'00_Forside_Navigasjon'!A1", "← Hovedmeny")</f>
        <v>← Hovedmeny</v>
      </c>
    </row>
    <row r="2" spans="2:11" ht="18" customHeight="1" x14ac:dyDescent="0.35">
      <c r="B2" s="58" t="s">
        <v>525</v>
      </c>
      <c r="C2" s="55"/>
      <c r="D2" s="55"/>
      <c r="E2" s="55"/>
      <c r="F2" s="55"/>
      <c r="G2" s="55"/>
      <c r="H2" s="55"/>
      <c r="I2" s="55"/>
      <c r="J2" s="55"/>
    </row>
    <row r="4" spans="2:11" ht="16" customHeight="1" x14ac:dyDescent="0.35">
      <c r="B4" s="51" t="s">
        <v>526</v>
      </c>
      <c r="C4" s="52"/>
      <c r="D4" s="51" t="s">
        <v>527</v>
      </c>
      <c r="E4" s="52"/>
      <c r="F4" s="51" t="s">
        <v>528</v>
      </c>
      <c r="G4" s="52"/>
      <c r="H4" s="51" t="s">
        <v>529</v>
      </c>
      <c r="I4" s="52"/>
    </row>
    <row r="5" spans="2:11" ht="24" customHeight="1" x14ac:dyDescent="0.35">
      <c r="B5" s="46">
        <v>6490</v>
      </c>
      <c r="C5" s="47"/>
      <c r="D5" s="46">
        <v>336945.4</v>
      </c>
      <c r="E5" s="47"/>
      <c r="F5" s="61">
        <v>5615.74</v>
      </c>
      <c r="G5" s="47"/>
      <c r="H5" s="62">
        <v>0.86380000000000001</v>
      </c>
      <c r="I5" s="47"/>
    </row>
    <row r="6" spans="2:11" ht="16" customHeight="1" x14ac:dyDescent="0.35">
      <c r="B6" s="48" t="s">
        <v>530</v>
      </c>
      <c r="C6" s="49"/>
      <c r="D6" s="48" t="s">
        <v>531</v>
      </c>
      <c r="E6" s="49"/>
      <c r="F6" s="48" t="s">
        <v>532</v>
      </c>
      <c r="G6" s="49"/>
      <c r="H6" s="48" t="s">
        <v>533</v>
      </c>
      <c r="I6" s="49"/>
    </row>
    <row r="8" spans="2:11" ht="16.5" x14ac:dyDescent="0.45">
      <c r="B8" s="1" t="s">
        <v>534</v>
      </c>
    </row>
    <row r="9" spans="2:11" ht="20" customHeight="1" x14ac:dyDescent="0.35">
      <c r="B9" s="2" t="s">
        <v>535</v>
      </c>
      <c r="C9" s="2" t="s">
        <v>536</v>
      </c>
      <c r="D9" s="2" t="s">
        <v>537</v>
      </c>
      <c r="E9" s="10" t="s">
        <v>538</v>
      </c>
      <c r="F9" s="10" t="s">
        <v>539</v>
      </c>
      <c r="G9" s="10" t="s">
        <v>540</v>
      </c>
      <c r="H9" s="10" t="s">
        <v>541</v>
      </c>
      <c r="I9" s="10" t="s">
        <v>542</v>
      </c>
      <c r="J9" s="10" t="s">
        <v>389</v>
      </c>
      <c r="K9" s="10" t="s">
        <v>241</v>
      </c>
    </row>
    <row r="10" spans="2:11" ht="19" customHeight="1" x14ac:dyDescent="0.35">
      <c r="B10" s="29" t="s">
        <v>543</v>
      </c>
      <c r="C10" s="6" t="s">
        <v>544</v>
      </c>
      <c r="D10" s="7" t="s">
        <v>545</v>
      </c>
      <c r="E10" s="35">
        <v>960</v>
      </c>
      <c r="F10" s="35">
        <v>28800</v>
      </c>
      <c r="G10" s="35">
        <v>24480</v>
      </c>
      <c r="H10" s="36">
        <v>408</v>
      </c>
      <c r="I10" s="26">
        <v>0.85</v>
      </c>
      <c r="J10" s="26">
        <f t="shared" ref="J10:J19" si="0">G10/F10</f>
        <v>0.85</v>
      </c>
      <c r="K10" s="6" t="str">
        <f t="shared" ref="K10:K19" si="1">IF(J10&gt;=0.9, "🟢 Mål nådd (&gt;=90%)", IF(J10&gt;=0.8, "🟡 Moderat (80-90%)", "🔴 Lav (&lt;80%)"))</f>
        <v>🟡 Moderat (80-90%)</v>
      </c>
    </row>
    <row r="11" spans="2:11" ht="19" customHeight="1" x14ac:dyDescent="0.35">
      <c r="B11" s="29" t="s">
        <v>546</v>
      </c>
      <c r="C11" s="6" t="s">
        <v>547</v>
      </c>
      <c r="D11" s="7" t="s">
        <v>545</v>
      </c>
      <c r="E11" s="35">
        <v>960</v>
      </c>
      <c r="F11" s="35">
        <v>28800</v>
      </c>
      <c r="G11" s="35">
        <v>24480</v>
      </c>
      <c r="H11" s="36">
        <v>408</v>
      </c>
      <c r="I11" s="26">
        <v>0.85</v>
      </c>
      <c r="J11" s="26">
        <f t="shared" si="0"/>
        <v>0.85</v>
      </c>
      <c r="K11" s="6" t="str">
        <f t="shared" si="1"/>
        <v>🟡 Moderat (80-90%)</v>
      </c>
    </row>
    <row r="12" spans="2:11" ht="19" customHeight="1" x14ac:dyDescent="0.35">
      <c r="B12" s="29" t="s">
        <v>548</v>
      </c>
      <c r="C12" s="6" t="s">
        <v>549</v>
      </c>
      <c r="D12" s="7" t="s">
        <v>545</v>
      </c>
      <c r="E12" s="35">
        <v>960</v>
      </c>
      <c r="F12" s="35">
        <v>28800</v>
      </c>
      <c r="G12" s="35">
        <v>24480</v>
      </c>
      <c r="H12" s="36">
        <v>408</v>
      </c>
      <c r="I12" s="26">
        <v>0.85</v>
      </c>
      <c r="J12" s="26">
        <f t="shared" si="0"/>
        <v>0.85</v>
      </c>
      <c r="K12" s="6" t="str">
        <f t="shared" si="1"/>
        <v>🟡 Moderat (80-90%)</v>
      </c>
    </row>
    <row r="13" spans="2:11" ht="19" customHeight="1" x14ac:dyDescent="0.35">
      <c r="B13" s="29" t="s">
        <v>550</v>
      </c>
      <c r="C13" s="6" t="s">
        <v>551</v>
      </c>
      <c r="D13" s="7" t="s">
        <v>545</v>
      </c>
      <c r="E13" s="35">
        <v>960</v>
      </c>
      <c r="F13" s="35">
        <v>28800</v>
      </c>
      <c r="G13" s="35">
        <v>24480</v>
      </c>
      <c r="H13" s="36">
        <v>408</v>
      </c>
      <c r="I13" s="26">
        <v>0.85</v>
      </c>
      <c r="J13" s="26">
        <f t="shared" si="0"/>
        <v>0.85</v>
      </c>
      <c r="K13" s="6" t="str">
        <f t="shared" si="1"/>
        <v>🟡 Moderat (80-90%)</v>
      </c>
    </row>
    <row r="14" spans="2:11" ht="19" customHeight="1" x14ac:dyDescent="0.35">
      <c r="B14" s="29" t="s">
        <v>552</v>
      </c>
      <c r="C14" s="6" t="s">
        <v>553</v>
      </c>
      <c r="D14" s="7" t="s">
        <v>545</v>
      </c>
      <c r="E14" s="35">
        <v>960</v>
      </c>
      <c r="F14" s="35">
        <v>28800</v>
      </c>
      <c r="G14" s="35">
        <v>20736</v>
      </c>
      <c r="H14" s="36">
        <v>345.6</v>
      </c>
      <c r="I14" s="26">
        <v>0.72</v>
      </c>
      <c r="J14" s="26">
        <f t="shared" si="0"/>
        <v>0.72</v>
      </c>
      <c r="K14" s="6" t="str">
        <f t="shared" si="1"/>
        <v>🔴 Lav (&lt;80%)</v>
      </c>
    </row>
    <row r="15" spans="2:11" ht="19" customHeight="1" x14ac:dyDescent="0.35">
      <c r="B15" s="29" t="s">
        <v>554</v>
      </c>
      <c r="C15" s="6" t="s">
        <v>555</v>
      </c>
      <c r="D15" s="7" t="s">
        <v>556</v>
      </c>
      <c r="E15" s="35">
        <v>360</v>
      </c>
      <c r="F15" s="35">
        <v>10800</v>
      </c>
      <c r="G15" s="35">
        <v>9180</v>
      </c>
      <c r="H15" s="36">
        <v>153</v>
      </c>
      <c r="I15" s="26">
        <v>0.85</v>
      </c>
      <c r="J15" s="26">
        <f t="shared" si="0"/>
        <v>0.85</v>
      </c>
      <c r="K15" s="6" t="str">
        <f t="shared" si="1"/>
        <v>🟡 Moderat (80-90%)</v>
      </c>
    </row>
    <row r="16" spans="2:11" ht="19" customHeight="1" x14ac:dyDescent="0.35">
      <c r="B16" s="29" t="s">
        <v>557</v>
      </c>
      <c r="C16" s="6" t="s">
        <v>558</v>
      </c>
      <c r="D16" s="7" t="s">
        <v>559</v>
      </c>
      <c r="E16" s="35">
        <v>360</v>
      </c>
      <c r="F16" s="35">
        <v>10800</v>
      </c>
      <c r="G16" s="35">
        <v>9180</v>
      </c>
      <c r="H16" s="36">
        <v>153</v>
      </c>
      <c r="I16" s="26">
        <v>0.85</v>
      </c>
      <c r="J16" s="26">
        <f t="shared" si="0"/>
        <v>0.85</v>
      </c>
      <c r="K16" s="6" t="str">
        <f t="shared" si="1"/>
        <v>🟡 Moderat (80-90%)</v>
      </c>
    </row>
    <row r="17" spans="2:11" ht="19" customHeight="1" x14ac:dyDescent="0.35">
      <c r="B17" s="29" t="s">
        <v>560</v>
      </c>
      <c r="C17" s="6" t="s">
        <v>561</v>
      </c>
      <c r="D17" s="7" t="s">
        <v>559</v>
      </c>
      <c r="E17" s="35">
        <v>360</v>
      </c>
      <c r="F17" s="35">
        <v>10800</v>
      </c>
      <c r="G17" s="35">
        <v>9180</v>
      </c>
      <c r="H17" s="36">
        <v>153</v>
      </c>
      <c r="I17" s="26">
        <v>0.85</v>
      </c>
      <c r="J17" s="26">
        <f t="shared" si="0"/>
        <v>0.85</v>
      </c>
      <c r="K17" s="6" t="str">
        <f t="shared" si="1"/>
        <v>🟡 Moderat (80-90%)</v>
      </c>
    </row>
    <row r="18" spans="2:11" ht="19" customHeight="1" x14ac:dyDescent="0.35">
      <c r="B18" s="29" t="s">
        <v>562</v>
      </c>
      <c r="C18" s="6" t="s">
        <v>563</v>
      </c>
      <c r="D18" s="7" t="s">
        <v>559</v>
      </c>
      <c r="E18" s="35">
        <v>360</v>
      </c>
      <c r="F18" s="35">
        <v>10800</v>
      </c>
      <c r="G18" s="35">
        <v>9180</v>
      </c>
      <c r="H18" s="36">
        <v>153</v>
      </c>
      <c r="I18" s="26">
        <v>0.85</v>
      </c>
      <c r="J18" s="26">
        <f t="shared" si="0"/>
        <v>0.85</v>
      </c>
      <c r="K18" s="6" t="str">
        <f t="shared" si="1"/>
        <v>🟡 Moderat (80-90%)</v>
      </c>
    </row>
    <row r="19" spans="2:11" ht="21" customHeight="1" x14ac:dyDescent="0.35">
      <c r="B19" s="20" t="s">
        <v>440</v>
      </c>
      <c r="C19" s="20" t="s">
        <v>564</v>
      </c>
      <c r="D19" s="20"/>
      <c r="E19" s="37">
        <f>SUM(E10:E18)</f>
        <v>6240</v>
      </c>
      <c r="F19" s="37">
        <f>SUM(F10:F18)</f>
        <v>187200</v>
      </c>
      <c r="G19" s="37">
        <f>SUM(G10:G18)</f>
        <v>155376</v>
      </c>
      <c r="H19" s="16">
        <f>SUM(H10:H18)</f>
        <v>2589.6</v>
      </c>
      <c r="I19" s="22">
        <f>AVERAGE(I10:I18)</f>
        <v>0.83555555555555538</v>
      </c>
      <c r="J19" s="22">
        <f t="shared" si="0"/>
        <v>0.83</v>
      </c>
      <c r="K19" s="20" t="str">
        <f t="shared" si="1"/>
        <v>🟡 Moderat (80-90%)</v>
      </c>
    </row>
    <row r="22" spans="2:11" ht="16.5" x14ac:dyDescent="0.45">
      <c r="B22" s="1" t="s">
        <v>565</v>
      </c>
    </row>
    <row r="23" spans="2:11" ht="20" customHeight="1" x14ac:dyDescent="0.35">
      <c r="B23" s="2" t="s">
        <v>124</v>
      </c>
      <c r="C23" s="2" t="s">
        <v>566</v>
      </c>
      <c r="D23" s="10" t="s">
        <v>567</v>
      </c>
      <c r="E23" s="2" t="s">
        <v>568</v>
      </c>
      <c r="F23" s="2" t="s">
        <v>569</v>
      </c>
    </row>
    <row r="24" spans="2:11" ht="20" customHeight="1" x14ac:dyDescent="0.35">
      <c r="B24" s="6" t="s">
        <v>570</v>
      </c>
      <c r="C24" s="29" t="s">
        <v>571</v>
      </c>
      <c r="D24" s="23">
        <v>54550</v>
      </c>
      <c r="E24" s="7" t="s">
        <v>572</v>
      </c>
      <c r="F24" s="7" t="s">
        <v>573</v>
      </c>
    </row>
    <row r="25" spans="2:11" ht="20" customHeight="1" x14ac:dyDescent="0.35">
      <c r="B25" s="6" t="s">
        <v>574</v>
      </c>
      <c r="C25" s="29" t="s">
        <v>575</v>
      </c>
      <c r="D25" s="23">
        <v>81800</v>
      </c>
      <c r="E25" s="7" t="s">
        <v>576</v>
      </c>
      <c r="F25" s="7" t="s">
        <v>577</v>
      </c>
    </row>
    <row r="26" spans="2:11" ht="20" customHeight="1" x14ac:dyDescent="0.35">
      <c r="B26" s="6" t="s">
        <v>578</v>
      </c>
      <c r="C26" s="29" t="s">
        <v>579</v>
      </c>
      <c r="D26" s="23">
        <v>190900</v>
      </c>
      <c r="E26" s="7" t="s">
        <v>580</v>
      </c>
      <c r="F26" s="7" t="s">
        <v>581</v>
      </c>
    </row>
    <row r="27" spans="2:11" ht="20" customHeight="1" x14ac:dyDescent="0.35">
      <c r="B27" s="3" t="s">
        <v>582</v>
      </c>
      <c r="C27" s="38" t="s">
        <v>583</v>
      </c>
      <c r="D27" s="39" t="s">
        <v>584</v>
      </c>
      <c r="E27" s="4" t="s">
        <v>585</v>
      </c>
      <c r="F27" s="4" t="s">
        <v>586</v>
      </c>
    </row>
  </sheetData>
  <mergeCells count="14">
    <mergeCell ref="B1:I1"/>
    <mergeCell ref="B4:C4"/>
    <mergeCell ref="B2:J2"/>
    <mergeCell ref="D6:E6"/>
    <mergeCell ref="B6:C6"/>
    <mergeCell ref="F4:G4"/>
    <mergeCell ref="H6:I6"/>
    <mergeCell ref="B5:C5"/>
    <mergeCell ref="F5:G5"/>
    <mergeCell ref="D5:E5"/>
    <mergeCell ref="F6:G6"/>
    <mergeCell ref="D4:E4"/>
    <mergeCell ref="H5:I5"/>
    <mergeCell ref="H4:I4"/>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E40AF"/>
  </sheetPr>
  <dimension ref="B1:K16"/>
  <sheetViews>
    <sheetView zoomScale="85" workbookViewId="0"/>
  </sheetViews>
  <sheetFormatPr defaultRowHeight="14.5" x14ac:dyDescent="0.35"/>
  <cols>
    <col min="1" max="1" width="11" customWidth="1"/>
    <col min="2" max="2" width="154" customWidth="1"/>
    <col min="3" max="3" width="59" customWidth="1"/>
    <col min="4" max="4" width="30" customWidth="1"/>
    <col min="5" max="5" width="52" customWidth="1"/>
    <col min="6" max="6" width="36" customWidth="1"/>
    <col min="7" max="7" width="17" customWidth="1"/>
    <col min="8" max="8" width="25" customWidth="1"/>
    <col min="9" max="9" width="12" customWidth="1"/>
    <col min="10" max="10" width="37" customWidth="1"/>
    <col min="11" max="11" width="18" customWidth="1"/>
    <col min="12" max="12" width="11" customWidth="1"/>
  </cols>
  <sheetData>
    <row r="1" spans="2:11" ht="24" customHeight="1" x14ac:dyDescent="0.35">
      <c r="B1" s="57" t="s">
        <v>587</v>
      </c>
      <c r="C1" s="55"/>
      <c r="D1" s="55"/>
      <c r="E1" s="55"/>
      <c r="F1" s="55"/>
      <c r="G1" s="55"/>
      <c r="H1" s="55"/>
      <c r="I1" s="55"/>
      <c r="J1" s="9" t="str">
        <f>HYPERLINK("#'00_Forside_Navigasjon'!A1", "← Hovedmeny")</f>
        <v>← Hovedmeny</v>
      </c>
    </row>
    <row r="2" spans="2:11" ht="18" customHeight="1" x14ac:dyDescent="0.35">
      <c r="B2" s="58" t="s">
        <v>588</v>
      </c>
      <c r="C2" s="55"/>
      <c r="D2" s="55"/>
      <c r="E2" s="55"/>
      <c r="F2" s="55"/>
      <c r="G2" s="55"/>
      <c r="H2" s="55"/>
      <c r="I2" s="55"/>
      <c r="J2" s="55"/>
    </row>
    <row r="4" spans="2:11" ht="16" customHeight="1" x14ac:dyDescent="0.35">
      <c r="B4" s="51" t="s">
        <v>589</v>
      </c>
      <c r="C4" s="52"/>
      <c r="D4" s="51" t="s">
        <v>590</v>
      </c>
      <c r="E4" s="52"/>
      <c r="F4" s="51" t="s">
        <v>591</v>
      </c>
      <c r="G4" s="52"/>
      <c r="H4" s="51" t="s">
        <v>592</v>
      </c>
      <c r="I4" s="52"/>
      <c r="J4" s="51" t="s">
        <v>593</v>
      </c>
      <c r="K4" s="52"/>
    </row>
    <row r="5" spans="2:11" ht="24" customHeight="1" x14ac:dyDescent="0.35">
      <c r="B5" s="46">
        <v>21</v>
      </c>
      <c r="C5" s="47"/>
      <c r="D5" s="46">
        <v>17</v>
      </c>
      <c r="E5" s="47"/>
      <c r="F5" s="46">
        <v>4</v>
      </c>
      <c r="G5" s="47"/>
      <c r="H5" s="50">
        <v>-20255000</v>
      </c>
      <c r="I5" s="47"/>
      <c r="J5" s="50">
        <v>-5562081.6600000001</v>
      </c>
      <c r="K5" s="47"/>
    </row>
    <row r="6" spans="2:11" ht="16" customHeight="1" x14ac:dyDescent="0.35">
      <c r="B6" s="48" t="s">
        <v>594</v>
      </c>
      <c r="C6" s="49"/>
      <c r="D6" s="48" t="s">
        <v>595</v>
      </c>
      <c r="E6" s="49"/>
      <c r="F6" s="48" t="s">
        <v>596</v>
      </c>
      <c r="G6" s="49"/>
      <c r="H6" s="48" t="s">
        <v>597</v>
      </c>
      <c r="I6" s="49"/>
      <c r="J6" s="48" t="s">
        <v>598</v>
      </c>
      <c r="K6" s="49"/>
    </row>
    <row r="8" spans="2:11" ht="16.5" x14ac:dyDescent="0.45">
      <c r="B8" s="1" t="s">
        <v>599</v>
      </c>
    </row>
    <row r="9" spans="2:11" ht="20" customHeight="1" x14ac:dyDescent="0.35">
      <c r="B9" s="2" t="s">
        <v>14</v>
      </c>
      <c r="C9" s="2" t="s">
        <v>405</v>
      </c>
      <c r="D9" s="2" t="s">
        <v>406</v>
      </c>
      <c r="E9" s="2" t="s">
        <v>600</v>
      </c>
      <c r="F9" s="2" t="s">
        <v>407</v>
      </c>
      <c r="G9" s="10" t="s">
        <v>601</v>
      </c>
      <c r="H9" s="10" t="s">
        <v>602</v>
      </c>
      <c r="I9" s="10" t="s">
        <v>410</v>
      </c>
      <c r="J9" s="2" t="s">
        <v>411</v>
      </c>
      <c r="K9" s="2" t="s">
        <v>256</v>
      </c>
    </row>
    <row r="10" spans="2:11" ht="19" customHeight="1" x14ac:dyDescent="0.35">
      <c r="B10" s="29" t="s">
        <v>433</v>
      </c>
      <c r="C10" s="6" t="s">
        <v>434</v>
      </c>
      <c r="D10" s="7" t="s">
        <v>435</v>
      </c>
      <c r="E10" s="7" t="s">
        <v>603</v>
      </c>
      <c r="F10" s="7" t="s">
        <v>426</v>
      </c>
      <c r="G10" s="25">
        <v>850000</v>
      </c>
      <c r="H10" s="25">
        <v>420000</v>
      </c>
      <c r="I10" s="25">
        <f t="shared" ref="I10:I15" si="0">G10-H10</f>
        <v>430000</v>
      </c>
      <c r="J10" s="7" t="s">
        <v>416</v>
      </c>
      <c r="K10" s="6" t="s">
        <v>428</v>
      </c>
    </row>
    <row r="11" spans="2:11" ht="19" customHeight="1" x14ac:dyDescent="0.35">
      <c r="B11" s="29" t="s">
        <v>436</v>
      </c>
      <c r="C11" s="6" t="s">
        <v>437</v>
      </c>
      <c r="D11" s="7" t="s">
        <v>438</v>
      </c>
      <c r="E11" s="7" t="s">
        <v>604</v>
      </c>
      <c r="F11" s="7" t="s">
        <v>439</v>
      </c>
      <c r="G11" s="25">
        <v>2400000</v>
      </c>
      <c r="H11" s="25">
        <v>1800000</v>
      </c>
      <c r="I11" s="25">
        <f t="shared" si="0"/>
        <v>600000</v>
      </c>
      <c r="J11" s="7" t="s">
        <v>416</v>
      </c>
      <c r="K11" s="6" t="s">
        <v>417</v>
      </c>
    </row>
    <row r="12" spans="2:11" ht="19" customHeight="1" x14ac:dyDescent="0.35">
      <c r="B12" s="29" t="s">
        <v>429</v>
      </c>
      <c r="C12" s="6" t="s">
        <v>430</v>
      </c>
      <c r="D12" s="7" t="s">
        <v>431</v>
      </c>
      <c r="E12" s="7" t="s">
        <v>605</v>
      </c>
      <c r="F12" s="7" t="s">
        <v>432</v>
      </c>
      <c r="G12" s="25">
        <v>600000</v>
      </c>
      <c r="H12" s="25">
        <v>300000</v>
      </c>
      <c r="I12" s="25">
        <f t="shared" si="0"/>
        <v>300000</v>
      </c>
      <c r="J12" s="7" t="s">
        <v>427</v>
      </c>
      <c r="K12" s="6" t="s">
        <v>428</v>
      </c>
    </row>
    <row r="13" spans="2:11" ht="19" customHeight="1" x14ac:dyDescent="0.35">
      <c r="B13" s="29" t="s">
        <v>418</v>
      </c>
      <c r="C13" s="6" t="s">
        <v>419</v>
      </c>
      <c r="D13" s="7" t="s">
        <v>420</v>
      </c>
      <c r="E13" s="7" t="s">
        <v>606</v>
      </c>
      <c r="F13" s="7" t="s">
        <v>421</v>
      </c>
      <c r="G13" s="25">
        <v>150000</v>
      </c>
      <c r="H13" s="25">
        <v>0</v>
      </c>
      <c r="I13" s="25">
        <f t="shared" si="0"/>
        <v>150000</v>
      </c>
      <c r="J13" s="7" t="s">
        <v>416</v>
      </c>
      <c r="K13" s="6" t="s">
        <v>422</v>
      </c>
    </row>
    <row r="14" spans="2:11" ht="19" customHeight="1" x14ac:dyDescent="0.35">
      <c r="B14" s="29" t="s">
        <v>412</v>
      </c>
      <c r="C14" s="6" t="s">
        <v>413</v>
      </c>
      <c r="D14" s="7" t="s">
        <v>414</v>
      </c>
      <c r="E14" s="7" t="s">
        <v>607</v>
      </c>
      <c r="F14" s="7" t="s">
        <v>415</v>
      </c>
      <c r="G14" s="25">
        <v>0</v>
      </c>
      <c r="H14" s="25">
        <v>0</v>
      </c>
      <c r="I14" s="25">
        <f t="shared" si="0"/>
        <v>0</v>
      </c>
      <c r="J14" s="7" t="s">
        <v>416</v>
      </c>
      <c r="K14" s="6" t="s">
        <v>417</v>
      </c>
    </row>
    <row r="15" spans="2:11" ht="19" customHeight="1" x14ac:dyDescent="0.35">
      <c r="B15" s="29" t="s">
        <v>423</v>
      </c>
      <c r="C15" s="6" t="s">
        <v>424</v>
      </c>
      <c r="D15" s="7" t="s">
        <v>425</v>
      </c>
      <c r="E15" s="7" t="s">
        <v>608</v>
      </c>
      <c r="F15" s="7" t="s">
        <v>426</v>
      </c>
      <c r="G15" s="25">
        <v>350000</v>
      </c>
      <c r="H15" s="25">
        <v>180000</v>
      </c>
      <c r="I15" s="25">
        <f t="shared" si="0"/>
        <v>170000</v>
      </c>
      <c r="J15" s="7" t="s">
        <v>427</v>
      </c>
      <c r="K15" s="6" t="s">
        <v>428</v>
      </c>
    </row>
    <row r="16" spans="2:11" ht="21" customHeight="1" x14ac:dyDescent="0.35">
      <c r="B16" s="20" t="s">
        <v>609</v>
      </c>
      <c r="C16" s="20" t="s">
        <v>610</v>
      </c>
      <c r="D16" s="20"/>
      <c r="E16" s="20"/>
      <c r="F16" s="20"/>
      <c r="G16" s="21">
        <f>SUM(G10:G15)</f>
        <v>4350000</v>
      </c>
      <c r="H16" s="21">
        <f>SUM(H10:H15)</f>
        <v>2700000</v>
      </c>
      <c r="I16" s="21">
        <f>SUM(I10:I15)</f>
        <v>1650000</v>
      </c>
      <c r="J16" s="20"/>
      <c r="K16" s="20" t="s">
        <v>442</v>
      </c>
    </row>
  </sheetData>
  <mergeCells count="17">
    <mergeCell ref="B1:I1"/>
    <mergeCell ref="B4:C4"/>
    <mergeCell ref="B2:J2"/>
    <mergeCell ref="D6:E6"/>
    <mergeCell ref="B6:C6"/>
    <mergeCell ref="F4:G4"/>
    <mergeCell ref="J4:K4"/>
    <mergeCell ref="H6:I6"/>
    <mergeCell ref="J5:K5"/>
    <mergeCell ref="J6:K6"/>
    <mergeCell ref="B5:C5"/>
    <mergeCell ref="F5:G5"/>
    <mergeCell ref="D5:E5"/>
    <mergeCell ref="F6:G6"/>
    <mergeCell ref="D4:E4"/>
    <mergeCell ref="H5:I5"/>
    <mergeCell ref="H4:I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E40AF"/>
  </sheetPr>
  <dimension ref="B1:K30"/>
  <sheetViews>
    <sheetView zoomScale="85" workbookViewId="0"/>
  </sheetViews>
  <sheetFormatPr defaultRowHeight="14.5" x14ac:dyDescent="0.35"/>
  <cols>
    <col min="1" max="1" width="11" customWidth="1"/>
    <col min="2" max="2" width="121" customWidth="1"/>
    <col min="3" max="3" width="48" customWidth="1"/>
    <col min="4" max="4" width="35" customWidth="1"/>
    <col min="5" max="5" width="21" customWidth="1"/>
    <col min="6" max="6" width="28" customWidth="1"/>
    <col min="7" max="7" width="18" customWidth="1"/>
    <col min="8" max="8" width="41" customWidth="1"/>
    <col min="9" max="9" width="13" customWidth="1"/>
    <col min="10" max="10" width="29" customWidth="1"/>
  </cols>
  <sheetData>
    <row r="1" spans="2:11" ht="24" customHeight="1" x14ac:dyDescent="0.35">
      <c r="B1" s="57" t="s">
        <v>611</v>
      </c>
      <c r="C1" s="55"/>
      <c r="D1" s="55"/>
      <c r="E1" s="55"/>
      <c r="F1" s="55"/>
      <c r="G1" s="55"/>
      <c r="H1" s="55"/>
      <c r="I1" s="55"/>
      <c r="J1" s="9" t="str">
        <f>HYPERLINK("#'00_Forside_Navigasjon'!A1", "← Hovedmeny")</f>
        <v>← Hovedmeny</v>
      </c>
    </row>
    <row r="2" spans="2:11" ht="18" customHeight="1" x14ac:dyDescent="0.35">
      <c r="B2" s="58" t="s">
        <v>612</v>
      </c>
      <c r="C2" s="55"/>
      <c r="D2" s="55"/>
      <c r="E2" s="55"/>
      <c r="F2" s="55"/>
      <c r="G2" s="55"/>
      <c r="H2" s="55"/>
      <c r="I2" s="55"/>
      <c r="J2" s="55"/>
    </row>
    <row r="4" spans="2:11" ht="16" customHeight="1" x14ac:dyDescent="0.35">
      <c r="B4" s="51" t="s">
        <v>613</v>
      </c>
      <c r="C4" s="52"/>
      <c r="D4" s="51" t="s">
        <v>614</v>
      </c>
      <c r="E4" s="52"/>
      <c r="F4" s="51" t="s">
        <v>615</v>
      </c>
      <c r="G4" s="52"/>
      <c r="H4" s="51" t="s">
        <v>616</v>
      </c>
      <c r="I4" s="52"/>
      <c r="J4" s="51" t="s">
        <v>617</v>
      </c>
      <c r="K4" s="52"/>
    </row>
    <row r="5" spans="2:11" ht="24" customHeight="1" x14ac:dyDescent="0.35">
      <c r="B5" s="50">
        <v>26045791.489999998</v>
      </c>
      <c r="C5" s="47"/>
      <c r="D5" s="50">
        <v>-130604.63</v>
      </c>
      <c r="E5" s="47"/>
      <c r="F5" s="62">
        <v>0.91890000000000005</v>
      </c>
      <c r="G5" s="47"/>
      <c r="H5" s="53" t="s">
        <v>618</v>
      </c>
      <c r="I5" s="47"/>
      <c r="J5" s="50">
        <v>16040791.49</v>
      </c>
      <c r="K5" s="47"/>
    </row>
    <row r="6" spans="2:11" ht="16" customHeight="1" x14ac:dyDescent="0.35">
      <c r="B6" s="48" t="s">
        <v>619</v>
      </c>
      <c r="C6" s="49"/>
      <c r="D6" s="48" t="s">
        <v>620</v>
      </c>
      <c r="E6" s="49"/>
      <c r="F6" s="48" t="s">
        <v>621</v>
      </c>
      <c r="G6" s="49"/>
      <c r="H6" s="48" t="s">
        <v>622</v>
      </c>
      <c r="I6" s="49"/>
      <c r="J6" s="48" t="s">
        <v>623</v>
      </c>
      <c r="K6" s="49"/>
    </row>
    <row r="8" spans="2:11" ht="16.5" x14ac:dyDescent="0.45">
      <c r="B8" s="1" t="s">
        <v>624</v>
      </c>
    </row>
    <row r="9" spans="2:11" ht="20" customHeight="1" x14ac:dyDescent="0.35">
      <c r="B9" s="2" t="s">
        <v>625</v>
      </c>
      <c r="C9" s="2" t="s">
        <v>626</v>
      </c>
      <c r="D9" s="2" t="s">
        <v>252</v>
      </c>
      <c r="E9" s="10" t="s">
        <v>253</v>
      </c>
      <c r="F9" s="10" t="s">
        <v>254</v>
      </c>
      <c r="G9" s="10" t="s">
        <v>239</v>
      </c>
      <c r="H9" s="10" t="s">
        <v>240</v>
      </c>
      <c r="I9" s="10" t="s">
        <v>241</v>
      </c>
    </row>
    <row r="10" spans="2:11" ht="19" customHeight="1" x14ac:dyDescent="0.35">
      <c r="B10" s="29">
        <v>3900</v>
      </c>
      <c r="C10" s="6" t="s">
        <v>627</v>
      </c>
      <c r="D10" s="7" t="s">
        <v>257</v>
      </c>
      <c r="E10" s="25">
        <v>0</v>
      </c>
      <c r="F10" s="25">
        <v>-468352000</v>
      </c>
      <c r="G10" s="25">
        <v>-53560000</v>
      </c>
      <c r="H10" s="25">
        <f t="shared" ref="H10:H19" si="0">G10-F10</f>
        <v>414792000</v>
      </c>
      <c r="I10" s="6" t="str">
        <f t="shared" ref="I10:I19" si="1">IF(H10&gt;0, "🔴 Merforbruk", "🟢 Mindreforbruk")</f>
        <v>🔴 Merforbruk</v>
      </c>
    </row>
    <row r="11" spans="2:11" ht="19" customHeight="1" x14ac:dyDescent="0.35">
      <c r="B11" s="29">
        <v>5000</v>
      </c>
      <c r="C11" s="6" t="s">
        <v>628</v>
      </c>
      <c r="D11" s="7" t="s">
        <v>258</v>
      </c>
      <c r="E11" s="25">
        <v>36298306</v>
      </c>
      <c r="F11" s="25">
        <v>329864000</v>
      </c>
      <c r="G11" s="25">
        <v>37904000</v>
      </c>
      <c r="H11" s="25">
        <f t="shared" si="0"/>
        <v>-291960000</v>
      </c>
      <c r="I11" s="6" t="str">
        <f t="shared" si="1"/>
        <v>🟢 Mindreforbruk</v>
      </c>
    </row>
    <row r="12" spans="2:11" ht="19" customHeight="1" x14ac:dyDescent="0.35">
      <c r="B12" s="29">
        <v>6300</v>
      </c>
      <c r="C12" s="6" t="s">
        <v>629</v>
      </c>
      <c r="D12" s="7" t="s">
        <v>259</v>
      </c>
      <c r="E12" s="25">
        <v>6800000</v>
      </c>
      <c r="F12" s="25">
        <v>27812000</v>
      </c>
      <c r="G12" s="25">
        <v>7004000</v>
      </c>
      <c r="H12" s="25">
        <f t="shared" si="0"/>
        <v>-20808000</v>
      </c>
      <c r="I12" s="6" t="str">
        <f t="shared" si="1"/>
        <v>🟢 Mindreforbruk</v>
      </c>
    </row>
    <row r="13" spans="2:11" ht="19" customHeight="1" x14ac:dyDescent="0.35">
      <c r="B13" s="29">
        <v>5100</v>
      </c>
      <c r="C13" s="6" t="s">
        <v>630</v>
      </c>
      <c r="D13" s="7" t="s">
        <v>258</v>
      </c>
      <c r="E13" s="25">
        <v>5583151.7000000002</v>
      </c>
      <c r="F13" s="25">
        <v>23558400</v>
      </c>
      <c r="G13" s="25">
        <v>5932800</v>
      </c>
      <c r="H13" s="25">
        <f t="shared" si="0"/>
        <v>-17625600</v>
      </c>
      <c r="I13" s="6" t="str">
        <f t="shared" si="1"/>
        <v>🟢 Mindreforbruk</v>
      </c>
    </row>
    <row r="14" spans="2:11" ht="19" customHeight="1" x14ac:dyDescent="0.35">
      <c r="B14" s="29">
        <v>3400</v>
      </c>
      <c r="C14" s="6" t="s">
        <v>631</v>
      </c>
      <c r="D14" s="7" t="s">
        <v>260</v>
      </c>
      <c r="E14" s="25">
        <v>-1024136</v>
      </c>
      <c r="F14" s="25">
        <v>-23558400</v>
      </c>
      <c r="G14" s="25">
        <v>-5932800</v>
      </c>
      <c r="H14" s="25">
        <f t="shared" si="0"/>
        <v>17625600</v>
      </c>
      <c r="I14" s="6" t="str">
        <f t="shared" si="1"/>
        <v>🔴 Merforbruk</v>
      </c>
    </row>
    <row r="15" spans="2:11" ht="19" customHeight="1" x14ac:dyDescent="0.35">
      <c r="B15" s="29">
        <v>5400</v>
      </c>
      <c r="C15" s="6" t="s">
        <v>632</v>
      </c>
      <c r="D15" s="7" t="s">
        <v>258</v>
      </c>
      <c r="E15" s="25">
        <v>5118061.1399999997</v>
      </c>
      <c r="F15" s="25">
        <v>21222192</v>
      </c>
      <c r="G15" s="25">
        <v>5344464</v>
      </c>
      <c r="H15" s="25">
        <f t="shared" si="0"/>
        <v>-15877728</v>
      </c>
      <c r="I15" s="6" t="str">
        <f t="shared" si="1"/>
        <v>🟢 Mindreforbruk</v>
      </c>
    </row>
    <row r="16" spans="2:11" ht="19" customHeight="1" x14ac:dyDescent="0.35">
      <c r="B16" s="29">
        <v>1250</v>
      </c>
      <c r="C16" s="6" t="s">
        <v>633</v>
      </c>
      <c r="D16" s="7" t="s">
        <v>263</v>
      </c>
      <c r="E16" s="25">
        <v>1200000</v>
      </c>
      <c r="F16" s="25">
        <v>0</v>
      </c>
      <c r="G16" s="25">
        <v>0</v>
      </c>
      <c r="H16" s="25">
        <f t="shared" si="0"/>
        <v>0</v>
      </c>
      <c r="I16" s="6" t="str">
        <f t="shared" si="1"/>
        <v>🟢 Mindreforbruk</v>
      </c>
    </row>
    <row r="17" spans="2:9" ht="19" customHeight="1" x14ac:dyDescent="0.35">
      <c r="B17" s="29">
        <v>2050</v>
      </c>
      <c r="C17" s="6" t="s">
        <v>634</v>
      </c>
      <c r="D17" s="7" t="s">
        <v>262</v>
      </c>
      <c r="E17" s="25">
        <v>-1200000</v>
      </c>
      <c r="F17" s="25">
        <v>0</v>
      </c>
      <c r="G17" s="25">
        <v>0</v>
      </c>
      <c r="H17" s="25">
        <f t="shared" si="0"/>
        <v>0</v>
      </c>
      <c r="I17" s="6" t="str">
        <f t="shared" si="1"/>
        <v>🟢 Mindreforbruk</v>
      </c>
    </row>
    <row r="18" spans="2:9" ht="19" customHeight="1" x14ac:dyDescent="0.35">
      <c r="B18" s="29">
        <v>2080</v>
      </c>
      <c r="C18" s="6" t="s">
        <v>635</v>
      </c>
      <c r="D18" s="7" t="s">
        <v>264</v>
      </c>
      <c r="E18" s="25">
        <v>-4800000</v>
      </c>
      <c r="F18" s="25">
        <v>0</v>
      </c>
      <c r="G18" s="25">
        <v>0</v>
      </c>
      <c r="H18" s="25">
        <f t="shared" si="0"/>
        <v>0</v>
      </c>
      <c r="I18" s="6" t="str">
        <f t="shared" si="1"/>
        <v>🟢 Mindreforbruk</v>
      </c>
    </row>
    <row r="19" spans="2:9" ht="19" customHeight="1" x14ac:dyDescent="0.35">
      <c r="B19" s="29">
        <v>2180</v>
      </c>
      <c r="C19" s="6" t="s">
        <v>636</v>
      </c>
      <c r="D19" s="7" t="s">
        <v>265</v>
      </c>
      <c r="E19" s="25">
        <v>2007372</v>
      </c>
      <c r="F19" s="25">
        <v>0</v>
      </c>
      <c r="G19" s="25">
        <v>0</v>
      </c>
      <c r="H19" s="25">
        <f t="shared" si="0"/>
        <v>0</v>
      </c>
      <c r="I19" s="6" t="str">
        <f t="shared" si="1"/>
        <v>🟢 Mindreforbruk</v>
      </c>
    </row>
    <row r="22" spans="2:9" ht="16.5" x14ac:dyDescent="0.45">
      <c r="B22" s="1" t="s">
        <v>637</v>
      </c>
    </row>
    <row r="23" spans="2:9" ht="20" customHeight="1" x14ac:dyDescent="0.35">
      <c r="B23" s="2" t="s">
        <v>638</v>
      </c>
      <c r="C23" s="2" t="s">
        <v>639</v>
      </c>
      <c r="D23" s="2" t="s">
        <v>640</v>
      </c>
      <c r="E23" s="10" t="s">
        <v>641</v>
      </c>
      <c r="F23" s="10" t="s">
        <v>642</v>
      </c>
      <c r="G23" s="10" t="s">
        <v>643</v>
      </c>
      <c r="H23" s="2" t="s">
        <v>644</v>
      </c>
    </row>
    <row r="24" spans="2:9" ht="20" customHeight="1" x14ac:dyDescent="0.35">
      <c r="B24" s="6" t="s">
        <v>645</v>
      </c>
      <c r="C24" s="7" t="s">
        <v>646</v>
      </c>
      <c r="D24" s="29" t="s">
        <v>647</v>
      </c>
      <c r="E24" s="23">
        <v>-2138486811.0899999</v>
      </c>
      <c r="F24" s="18">
        <v>-2138356206.46</v>
      </c>
      <c r="G24" s="23">
        <v>-130604.63</v>
      </c>
      <c r="H24" s="6" t="s">
        <v>648</v>
      </c>
    </row>
    <row r="25" spans="2:9" ht="20" customHeight="1" x14ac:dyDescent="0.35">
      <c r="B25" s="6" t="s">
        <v>649</v>
      </c>
      <c r="C25" s="7" t="s">
        <v>650</v>
      </c>
      <c r="D25" s="29" t="s">
        <v>651</v>
      </c>
      <c r="E25" s="23">
        <v>1482173092.3499999</v>
      </c>
      <c r="F25" s="18">
        <v>1482173092.3499999</v>
      </c>
      <c r="G25" s="23">
        <v>0</v>
      </c>
      <c r="H25" s="6" t="s">
        <v>652</v>
      </c>
    </row>
    <row r="26" spans="2:9" ht="20" customHeight="1" x14ac:dyDescent="0.35">
      <c r="B26" s="6" t="s">
        <v>266</v>
      </c>
      <c r="C26" s="7" t="s">
        <v>653</v>
      </c>
      <c r="D26" s="29" t="s">
        <v>654</v>
      </c>
      <c r="E26" s="23">
        <v>107341205.17</v>
      </c>
      <c r="F26" s="18">
        <v>107341205.17</v>
      </c>
      <c r="G26" s="23">
        <v>0</v>
      </c>
      <c r="H26" s="6" t="s">
        <v>655</v>
      </c>
    </row>
    <row r="27" spans="2:9" ht="20" customHeight="1" x14ac:dyDescent="0.35">
      <c r="B27" s="6" t="s">
        <v>259</v>
      </c>
      <c r="C27" s="7" t="s">
        <v>656</v>
      </c>
      <c r="D27" s="29" t="s">
        <v>657</v>
      </c>
      <c r="E27" s="23">
        <v>559589641.75999999</v>
      </c>
      <c r="F27" s="18">
        <v>559589641.75999999</v>
      </c>
      <c r="G27" s="23">
        <v>0</v>
      </c>
      <c r="H27" s="6" t="s">
        <v>658</v>
      </c>
    </row>
    <row r="28" spans="2:9" ht="20" customHeight="1" x14ac:dyDescent="0.35">
      <c r="B28" s="3" t="s">
        <v>659</v>
      </c>
      <c r="C28" s="4" t="s">
        <v>660</v>
      </c>
      <c r="D28" s="38" t="s">
        <v>661</v>
      </c>
      <c r="E28" s="24">
        <v>10617128.189999999</v>
      </c>
      <c r="F28" s="40">
        <v>10747732.82</v>
      </c>
      <c r="G28" s="24">
        <v>-130604.63</v>
      </c>
      <c r="H28" s="3" t="s">
        <v>662</v>
      </c>
    </row>
    <row r="29" spans="2:9" ht="20" customHeight="1" x14ac:dyDescent="0.35">
      <c r="B29" s="6" t="s">
        <v>663</v>
      </c>
      <c r="C29" s="7" t="s">
        <v>664</v>
      </c>
      <c r="D29" s="29" t="s">
        <v>665</v>
      </c>
      <c r="E29" s="23">
        <v>106939940.48</v>
      </c>
      <c r="F29" s="18">
        <v>106939940.48</v>
      </c>
      <c r="G29" s="23">
        <v>0</v>
      </c>
      <c r="H29" s="6" t="s">
        <v>666</v>
      </c>
    </row>
    <row r="30" spans="2:9" ht="20" customHeight="1" x14ac:dyDescent="0.35">
      <c r="B30" s="3" t="s">
        <v>667</v>
      </c>
      <c r="C30" s="4" t="s">
        <v>668</v>
      </c>
      <c r="D30" s="38" t="s">
        <v>669</v>
      </c>
      <c r="E30" s="24">
        <v>130604.63</v>
      </c>
      <c r="F30" s="40">
        <v>106939940.48</v>
      </c>
      <c r="G30" s="24">
        <v>106809335.84999999</v>
      </c>
      <c r="H30" s="3" t="s">
        <v>670</v>
      </c>
    </row>
  </sheetData>
  <mergeCells count="17">
    <mergeCell ref="B1:I1"/>
    <mergeCell ref="B4:C4"/>
    <mergeCell ref="B2:J2"/>
    <mergeCell ref="D6:E6"/>
    <mergeCell ref="B6:C6"/>
    <mergeCell ref="F4:G4"/>
    <mergeCell ref="J4:K4"/>
    <mergeCell ref="H6:I6"/>
    <mergeCell ref="J5:K5"/>
    <mergeCell ref="J6:K6"/>
    <mergeCell ref="B5:C5"/>
    <mergeCell ref="F5:G5"/>
    <mergeCell ref="D5:E5"/>
    <mergeCell ref="F6:G6"/>
    <mergeCell ref="D4:E4"/>
    <mergeCell ref="H5:I5"/>
    <mergeCell ref="H4:I4"/>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47857"/>
  </sheetPr>
  <dimension ref="B1:K69"/>
  <sheetViews>
    <sheetView zoomScale="85" workbookViewId="0"/>
  </sheetViews>
  <sheetFormatPr defaultRowHeight="14.5" x14ac:dyDescent="0.35"/>
  <cols>
    <col min="1" max="1" width="11" customWidth="1"/>
    <col min="2" max="2" width="6" customWidth="1"/>
    <col min="3" max="3" width="18" customWidth="1"/>
    <col min="4" max="4" width="25" customWidth="1"/>
    <col min="5" max="5" width="22" customWidth="1"/>
    <col min="6" max="7" width="45" customWidth="1"/>
    <col min="8" max="8" width="35" customWidth="1"/>
    <col min="9" max="9" width="18" customWidth="1"/>
    <col min="10" max="10" width="20" customWidth="1"/>
    <col min="11" max="11" width="11" customWidth="1"/>
  </cols>
  <sheetData>
    <row r="1" spans="2:11" ht="24" customHeight="1" x14ac:dyDescent="0.35">
      <c r="B1" s="57" t="s">
        <v>671</v>
      </c>
      <c r="C1" s="55"/>
      <c r="D1" s="55"/>
      <c r="E1" s="55"/>
      <c r="F1" s="55"/>
      <c r="G1" s="55"/>
      <c r="H1" s="55"/>
      <c r="I1" s="55"/>
      <c r="J1" s="9" t="str">
        <f>HYPERLINK("#'00_Forside_Navigasjon'!A1", "← Hovedmeny")</f>
        <v>← Hovedmeny</v>
      </c>
    </row>
    <row r="2" spans="2:11" ht="18" customHeight="1" x14ac:dyDescent="0.35">
      <c r="B2" s="58" t="s">
        <v>672</v>
      </c>
      <c r="C2" s="55"/>
      <c r="D2" s="55"/>
      <c r="E2" s="55"/>
      <c r="F2" s="55"/>
      <c r="G2" s="55"/>
      <c r="H2" s="55"/>
      <c r="I2" s="55"/>
      <c r="J2" s="55"/>
    </row>
    <row r="4" spans="2:11" ht="16" customHeight="1" x14ac:dyDescent="0.35">
      <c r="B4" s="51" t="s">
        <v>673</v>
      </c>
      <c r="C4" s="52"/>
      <c r="D4" s="51" t="s">
        <v>674</v>
      </c>
      <c r="E4" s="52"/>
      <c r="F4" s="51" t="s">
        <v>675</v>
      </c>
      <c r="G4" s="52"/>
      <c r="H4" s="51" t="s">
        <v>676</v>
      </c>
      <c r="I4" s="52"/>
      <c r="J4" s="51" t="s">
        <v>677</v>
      </c>
      <c r="K4" s="52"/>
    </row>
    <row r="5" spans="2:11" ht="24" customHeight="1" x14ac:dyDescent="0.35">
      <c r="B5" s="46">
        <v>60</v>
      </c>
      <c r="C5" s="47"/>
      <c r="D5" s="46">
        <v>8</v>
      </c>
      <c r="E5" s="47"/>
      <c r="F5" s="50">
        <v>36793524.310000002</v>
      </c>
      <c r="G5" s="47"/>
      <c r="H5" s="53">
        <v>3</v>
      </c>
      <c r="I5" s="47"/>
      <c r="J5" s="53" t="s">
        <v>678</v>
      </c>
      <c r="K5" s="47"/>
    </row>
    <row r="6" spans="2:11" ht="16" customHeight="1" x14ac:dyDescent="0.35">
      <c r="B6" s="48" t="s">
        <v>679</v>
      </c>
      <c r="C6" s="49"/>
      <c r="D6" s="48" t="s">
        <v>680</v>
      </c>
      <c r="E6" s="49"/>
      <c r="F6" s="48" t="s">
        <v>681</v>
      </c>
      <c r="G6" s="49"/>
      <c r="H6" s="48" t="s">
        <v>682</v>
      </c>
      <c r="I6" s="49"/>
      <c r="J6" s="48" t="s">
        <v>683</v>
      </c>
      <c r="K6" s="49"/>
    </row>
    <row r="8" spans="2:11" ht="16.5" x14ac:dyDescent="0.45">
      <c r="B8" s="1" t="s">
        <v>684</v>
      </c>
    </row>
    <row r="9" spans="2:11" ht="20" customHeight="1" x14ac:dyDescent="0.35">
      <c r="B9" s="2" t="s">
        <v>14</v>
      </c>
      <c r="C9" s="2" t="s">
        <v>685</v>
      </c>
      <c r="D9" s="2" t="s">
        <v>686</v>
      </c>
      <c r="E9" s="2" t="s">
        <v>124</v>
      </c>
      <c r="F9" s="2" t="s">
        <v>687</v>
      </c>
      <c r="G9" s="2" t="s">
        <v>688</v>
      </c>
      <c r="H9" s="2" t="s">
        <v>689</v>
      </c>
      <c r="I9" s="2" t="s">
        <v>690</v>
      </c>
      <c r="J9" s="2" t="s">
        <v>691</v>
      </c>
    </row>
    <row r="10" spans="2:11" ht="22" customHeight="1" x14ac:dyDescent="0.35">
      <c r="B10" s="38">
        <v>1</v>
      </c>
      <c r="C10" s="3" t="s">
        <v>692</v>
      </c>
      <c r="D10" s="4" t="s">
        <v>693</v>
      </c>
      <c r="E10" s="3" t="s">
        <v>694</v>
      </c>
      <c r="F10" s="4" t="s">
        <v>695</v>
      </c>
      <c r="G10" s="4" t="s">
        <v>696</v>
      </c>
      <c r="H10" s="38" t="s">
        <v>697</v>
      </c>
      <c r="I10" s="4" t="s">
        <v>698</v>
      </c>
      <c r="J10" s="3" t="s">
        <v>699</v>
      </c>
    </row>
    <row r="11" spans="2:11" ht="22" customHeight="1" x14ac:dyDescent="0.35">
      <c r="B11" s="29">
        <v>2</v>
      </c>
      <c r="C11" s="6" t="s">
        <v>700</v>
      </c>
      <c r="D11" s="7" t="s">
        <v>701</v>
      </c>
      <c r="E11" s="6" t="s">
        <v>694</v>
      </c>
      <c r="F11" s="7" t="s">
        <v>702</v>
      </c>
      <c r="G11" s="7" t="s">
        <v>703</v>
      </c>
      <c r="H11" s="29" t="s">
        <v>704</v>
      </c>
      <c r="I11" s="7" t="s">
        <v>705</v>
      </c>
      <c r="J11" s="6" t="s">
        <v>699</v>
      </c>
    </row>
    <row r="12" spans="2:11" ht="22" customHeight="1" x14ac:dyDescent="0.35">
      <c r="B12" s="38">
        <v>3</v>
      </c>
      <c r="C12" s="3" t="s">
        <v>706</v>
      </c>
      <c r="D12" s="4" t="s">
        <v>707</v>
      </c>
      <c r="E12" s="3" t="s">
        <v>694</v>
      </c>
      <c r="F12" s="4" t="s">
        <v>708</v>
      </c>
      <c r="G12" s="4" t="s">
        <v>709</v>
      </c>
      <c r="H12" s="38" t="s">
        <v>710</v>
      </c>
      <c r="I12" s="4" t="s">
        <v>711</v>
      </c>
      <c r="J12" s="3" t="s">
        <v>712</v>
      </c>
    </row>
    <row r="13" spans="2:11" ht="22" customHeight="1" x14ac:dyDescent="0.35">
      <c r="B13" s="29">
        <v>4</v>
      </c>
      <c r="C13" s="6" t="s">
        <v>255</v>
      </c>
      <c r="D13" s="7" t="s">
        <v>713</v>
      </c>
      <c r="E13" s="6" t="s">
        <v>714</v>
      </c>
      <c r="F13" s="7" t="s">
        <v>715</v>
      </c>
      <c r="G13" s="7" t="s">
        <v>716</v>
      </c>
      <c r="H13" s="29" t="s">
        <v>717</v>
      </c>
      <c r="I13" s="7" t="s">
        <v>698</v>
      </c>
      <c r="J13" s="6" t="s">
        <v>699</v>
      </c>
    </row>
    <row r="14" spans="2:11" ht="22" customHeight="1" x14ac:dyDescent="0.35">
      <c r="B14" s="38">
        <v>5</v>
      </c>
      <c r="C14" s="3" t="s">
        <v>718</v>
      </c>
      <c r="D14" s="4" t="s">
        <v>719</v>
      </c>
      <c r="E14" s="3" t="s">
        <v>720</v>
      </c>
      <c r="F14" s="4" t="s">
        <v>721</v>
      </c>
      <c r="G14" s="4" t="s">
        <v>722</v>
      </c>
      <c r="H14" s="38" t="s">
        <v>723</v>
      </c>
      <c r="I14" s="4" t="s">
        <v>724</v>
      </c>
      <c r="J14" s="3" t="s">
        <v>699</v>
      </c>
    </row>
    <row r="15" spans="2:11" ht="22" customHeight="1" x14ac:dyDescent="0.35">
      <c r="B15" s="29">
        <v>6</v>
      </c>
      <c r="C15" s="6" t="s">
        <v>725</v>
      </c>
      <c r="D15" s="7" t="s">
        <v>726</v>
      </c>
      <c r="E15" s="6" t="s">
        <v>727</v>
      </c>
      <c r="F15" s="7" t="s">
        <v>728</v>
      </c>
      <c r="G15" s="7" t="s">
        <v>729</v>
      </c>
      <c r="H15" s="29" t="s">
        <v>730</v>
      </c>
      <c r="I15" s="7" t="s">
        <v>731</v>
      </c>
      <c r="J15" s="6" t="s">
        <v>732</v>
      </c>
    </row>
    <row r="16" spans="2:11" ht="22" customHeight="1" x14ac:dyDescent="0.35">
      <c r="B16" s="38">
        <v>7</v>
      </c>
      <c r="C16" s="3" t="s">
        <v>733</v>
      </c>
      <c r="D16" s="4" t="s">
        <v>734</v>
      </c>
      <c r="E16" s="3" t="s">
        <v>694</v>
      </c>
      <c r="F16" s="4" t="s">
        <v>735</v>
      </c>
      <c r="G16" s="4" t="s">
        <v>736</v>
      </c>
      <c r="H16" s="38" t="s">
        <v>737</v>
      </c>
      <c r="I16" s="4" t="s">
        <v>738</v>
      </c>
      <c r="J16" s="3" t="s">
        <v>739</v>
      </c>
    </row>
    <row r="17" spans="2:10" ht="22" customHeight="1" x14ac:dyDescent="0.35">
      <c r="B17" s="29">
        <v>8</v>
      </c>
      <c r="C17" s="6" t="s">
        <v>740</v>
      </c>
      <c r="D17" s="7" t="s">
        <v>741</v>
      </c>
      <c r="E17" s="6" t="s">
        <v>694</v>
      </c>
      <c r="F17" s="7" t="s">
        <v>742</v>
      </c>
      <c r="G17" s="7" t="s">
        <v>743</v>
      </c>
      <c r="H17" s="29" t="s">
        <v>744</v>
      </c>
      <c r="I17" s="7" t="s">
        <v>698</v>
      </c>
      <c r="J17" s="6" t="s">
        <v>712</v>
      </c>
    </row>
    <row r="18" spans="2:10" ht="22" customHeight="1" x14ac:dyDescent="0.35">
      <c r="B18" s="38">
        <v>9</v>
      </c>
      <c r="C18" s="3" t="s">
        <v>336</v>
      </c>
      <c r="D18" s="4" t="s">
        <v>745</v>
      </c>
      <c r="E18" s="3" t="s">
        <v>694</v>
      </c>
      <c r="F18" s="4" t="s">
        <v>746</v>
      </c>
      <c r="G18" s="4" t="s">
        <v>747</v>
      </c>
      <c r="H18" s="38" t="s">
        <v>748</v>
      </c>
      <c r="I18" s="4" t="s">
        <v>749</v>
      </c>
      <c r="J18" s="3" t="s">
        <v>750</v>
      </c>
    </row>
    <row r="19" spans="2:10" ht="22" customHeight="1" x14ac:dyDescent="0.35">
      <c r="B19" s="29">
        <v>10</v>
      </c>
      <c r="C19" s="6" t="s">
        <v>751</v>
      </c>
      <c r="D19" s="7" t="s">
        <v>752</v>
      </c>
      <c r="E19" s="6" t="s">
        <v>694</v>
      </c>
      <c r="F19" s="7" t="s">
        <v>753</v>
      </c>
      <c r="G19" s="7" t="s">
        <v>754</v>
      </c>
      <c r="H19" s="29" t="s">
        <v>755</v>
      </c>
      <c r="I19" s="7" t="s">
        <v>749</v>
      </c>
      <c r="J19" s="6" t="s">
        <v>750</v>
      </c>
    </row>
    <row r="20" spans="2:10" ht="22" customHeight="1" x14ac:dyDescent="0.35">
      <c r="B20" s="38">
        <v>11</v>
      </c>
      <c r="C20" s="3" t="s">
        <v>756</v>
      </c>
      <c r="D20" s="4" t="s">
        <v>350</v>
      </c>
      <c r="E20" s="3" t="s">
        <v>694</v>
      </c>
      <c r="F20" s="4" t="s">
        <v>757</v>
      </c>
      <c r="G20" s="4" t="s">
        <v>758</v>
      </c>
      <c r="H20" s="38" t="s">
        <v>759</v>
      </c>
      <c r="I20" s="4" t="s">
        <v>738</v>
      </c>
      <c r="J20" s="3" t="s">
        <v>739</v>
      </c>
    </row>
    <row r="21" spans="2:10" ht="22" customHeight="1" x14ac:dyDescent="0.35">
      <c r="B21" s="29">
        <v>12</v>
      </c>
      <c r="C21" s="6" t="s">
        <v>760</v>
      </c>
      <c r="D21" s="7" t="s">
        <v>761</v>
      </c>
      <c r="E21" s="6" t="s">
        <v>694</v>
      </c>
      <c r="F21" s="7" t="s">
        <v>762</v>
      </c>
      <c r="G21" s="7" t="s">
        <v>763</v>
      </c>
      <c r="H21" s="29" t="s">
        <v>764</v>
      </c>
      <c r="I21" s="7" t="s">
        <v>698</v>
      </c>
      <c r="J21" s="6" t="s">
        <v>712</v>
      </c>
    </row>
    <row r="22" spans="2:10" ht="22" customHeight="1" x14ac:dyDescent="0.35">
      <c r="B22" s="38">
        <v>13</v>
      </c>
      <c r="C22" s="3" t="s">
        <v>765</v>
      </c>
      <c r="D22" s="4" t="s">
        <v>766</v>
      </c>
      <c r="E22" s="3" t="s">
        <v>767</v>
      </c>
      <c r="F22" s="4" t="s">
        <v>768</v>
      </c>
      <c r="G22" s="4" t="s">
        <v>769</v>
      </c>
      <c r="H22" s="38" t="s">
        <v>770</v>
      </c>
      <c r="I22" s="4" t="s">
        <v>705</v>
      </c>
      <c r="J22" s="3" t="s">
        <v>699</v>
      </c>
    </row>
    <row r="23" spans="2:10" ht="22" customHeight="1" x14ac:dyDescent="0.35">
      <c r="B23" s="29">
        <v>14</v>
      </c>
      <c r="C23" s="6" t="s">
        <v>771</v>
      </c>
      <c r="D23" s="7" t="s">
        <v>772</v>
      </c>
      <c r="E23" s="6" t="s">
        <v>720</v>
      </c>
      <c r="F23" s="7" t="s">
        <v>773</v>
      </c>
      <c r="G23" s="7" t="s">
        <v>774</v>
      </c>
      <c r="H23" s="29" t="s">
        <v>775</v>
      </c>
      <c r="I23" s="7" t="s">
        <v>698</v>
      </c>
      <c r="J23" s="6" t="s">
        <v>776</v>
      </c>
    </row>
    <row r="24" spans="2:10" ht="22" customHeight="1" x14ac:dyDescent="0.35">
      <c r="B24" s="38">
        <v>15</v>
      </c>
      <c r="C24" s="3" t="s">
        <v>777</v>
      </c>
      <c r="D24" s="4" t="s">
        <v>778</v>
      </c>
      <c r="E24" s="3" t="s">
        <v>767</v>
      </c>
      <c r="F24" s="4" t="s">
        <v>779</v>
      </c>
      <c r="G24" s="4" t="s">
        <v>780</v>
      </c>
      <c r="H24" s="38" t="s">
        <v>781</v>
      </c>
      <c r="I24" s="4" t="s">
        <v>782</v>
      </c>
      <c r="J24" s="3" t="s">
        <v>783</v>
      </c>
    </row>
    <row r="25" spans="2:10" ht="22" customHeight="1" x14ac:dyDescent="0.35">
      <c r="B25" s="29">
        <v>16</v>
      </c>
      <c r="C25" s="6" t="s">
        <v>784</v>
      </c>
      <c r="D25" s="7" t="s">
        <v>785</v>
      </c>
      <c r="E25" s="6" t="s">
        <v>767</v>
      </c>
      <c r="F25" s="7" t="s">
        <v>786</v>
      </c>
      <c r="G25" s="7" t="s">
        <v>787</v>
      </c>
      <c r="H25" s="29" t="s">
        <v>788</v>
      </c>
      <c r="I25" s="7" t="s">
        <v>784</v>
      </c>
      <c r="J25" s="6" t="s">
        <v>789</v>
      </c>
    </row>
    <row r="26" spans="2:10" ht="22" customHeight="1" x14ac:dyDescent="0.35">
      <c r="B26" s="38">
        <v>17</v>
      </c>
      <c r="C26" s="3" t="s">
        <v>790</v>
      </c>
      <c r="D26" s="4" t="s">
        <v>791</v>
      </c>
      <c r="E26" s="3" t="s">
        <v>694</v>
      </c>
      <c r="F26" s="4" t="s">
        <v>792</v>
      </c>
      <c r="G26" s="4" t="s">
        <v>793</v>
      </c>
      <c r="H26" s="38" t="s">
        <v>794</v>
      </c>
      <c r="I26" s="4" t="s">
        <v>705</v>
      </c>
      <c r="J26" s="3" t="s">
        <v>699</v>
      </c>
    </row>
    <row r="27" spans="2:10" ht="22" customHeight="1" x14ac:dyDescent="0.35">
      <c r="B27" s="29">
        <v>18</v>
      </c>
      <c r="C27" s="6" t="s">
        <v>92</v>
      </c>
      <c r="D27" s="7" t="s">
        <v>795</v>
      </c>
      <c r="E27" s="6" t="s">
        <v>767</v>
      </c>
      <c r="F27" s="7" t="s">
        <v>796</v>
      </c>
      <c r="G27" s="7" t="s">
        <v>797</v>
      </c>
      <c r="H27" s="29" t="s">
        <v>798</v>
      </c>
      <c r="I27" s="7" t="s">
        <v>705</v>
      </c>
      <c r="J27" s="6" t="s">
        <v>699</v>
      </c>
    </row>
    <row r="28" spans="2:10" ht="22" customHeight="1" x14ac:dyDescent="0.35">
      <c r="B28" s="38">
        <v>19</v>
      </c>
      <c r="C28" s="3" t="s">
        <v>94</v>
      </c>
      <c r="D28" s="4" t="s">
        <v>799</v>
      </c>
      <c r="E28" s="3" t="s">
        <v>767</v>
      </c>
      <c r="F28" s="4" t="s">
        <v>800</v>
      </c>
      <c r="G28" s="4" t="s">
        <v>801</v>
      </c>
      <c r="H28" s="38" t="s">
        <v>802</v>
      </c>
      <c r="I28" s="4" t="s">
        <v>698</v>
      </c>
      <c r="J28" s="3" t="s">
        <v>803</v>
      </c>
    </row>
    <row r="29" spans="2:10" ht="22" customHeight="1" x14ac:dyDescent="0.35">
      <c r="B29" s="29">
        <v>20</v>
      </c>
      <c r="C29" s="6" t="s">
        <v>804</v>
      </c>
      <c r="D29" s="7" t="s">
        <v>805</v>
      </c>
      <c r="E29" s="6" t="s">
        <v>767</v>
      </c>
      <c r="F29" s="7" t="s">
        <v>806</v>
      </c>
      <c r="G29" s="7" t="s">
        <v>807</v>
      </c>
      <c r="H29" s="29" t="s">
        <v>808</v>
      </c>
      <c r="I29" s="7" t="s">
        <v>698</v>
      </c>
      <c r="J29" s="6" t="s">
        <v>712</v>
      </c>
    </row>
    <row r="30" spans="2:10" ht="22" customHeight="1" x14ac:dyDescent="0.35">
      <c r="B30" s="38">
        <v>21</v>
      </c>
      <c r="C30" s="3" t="s">
        <v>809</v>
      </c>
      <c r="D30" s="4" t="s">
        <v>810</v>
      </c>
      <c r="E30" s="3" t="s">
        <v>767</v>
      </c>
      <c r="F30" s="4" t="s">
        <v>811</v>
      </c>
      <c r="G30" s="4" t="s">
        <v>812</v>
      </c>
      <c r="H30" s="38" t="s">
        <v>813</v>
      </c>
      <c r="I30" s="4" t="s">
        <v>698</v>
      </c>
      <c r="J30" s="3" t="s">
        <v>814</v>
      </c>
    </row>
    <row r="31" spans="2:10" ht="22" customHeight="1" x14ac:dyDescent="0.35">
      <c r="B31" s="29">
        <v>22</v>
      </c>
      <c r="C31" s="6" t="s">
        <v>815</v>
      </c>
      <c r="D31" s="7" t="s">
        <v>816</v>
      </c>
      <c r="E31" s="6" t="s">
        <v>727</v>
      </c>
      <c r="F31" s="7" t="s">
        <v>817</v>
      </c>
      <c r="G31" s="7" t="s">
        <v>818</v>
      </c>
      <c r="H31" s="29" t="s">
        <v>819</v>
      </c>
      <c r="I31" s="7" t="s">
        <v>698</v>
      </c>
      <c r="J31" s="6" t="s">
        <v>712</v>
      </c>
    </row>
    <row r="32" spans="2:10" ht="22" customHeight="1" x14ac:dyDescent="0.35">
      <c r="B32" s="38">
        <v>23</v>
      </c>
      <c r="C32" s="3" t="s">
        <v>820</v>
      </c>
      <c r="D32" s="4" t="s">
        <v>821</v>
      </c>
      <c r="E32" s="3" t="s">
        <v>727</v>
      </c>
      <c r="F32" s="4" t="s">
        <v>822</v>
      </c>
      <c r="G32" s="4" t="s">
        <v>823</v>
      </c>
      <c r="H32" s="38" t="s">
        <v>824</v>
      </c>
      <c r="I32" s="4" t="s">
        <v>825</v>
      </c>
      <c r="J32" s="3" t="s">
        <v>732</v>
      </c>
    </row>
    <row r="33" spans="2:10" ht="22" customHeight="1" x14ac:dyDescent="0.35">
      <c r="B33" s="29">
        <v>24</v>
      </c>
      <c r="C33" s="6" t="s">
        <v>826</v>
      </c>
      <c r="D33" s="7" t="s">
        <v>827</v>
      </c>
      <c r="E33" s="6" t="s">
        <v>694</v>
      </c>
      <c r="F33" s="7" t="s">
        <v>828</v>
      </c>
      <c r="G33" s="7" t="s">
        <v>829</v>
      </c>
      <c r="H33" s="29" t="s">
        <v>830</v>
      </c>
      <c r="I33" s="7" t="s">
        <v>435</v>
      </c>
      <c r="J33" s="6" t="s">
        <v>750</v>
      </c>
    </row>
    <row r="34" spans="2:10" ht="22" customHeight="1" x14ac:dyDescent="0.35">
      <c r="B34" s="38">
        <v>25</v>
      </c>
      <c r="C34" s="3" t="s">
        <v>831</v>
      </c>
      <c r="D34" s="4" t="s">
        <v>832</v>
      </c>
      <c r="E34" s="3" t="s">
        <v>727</v>
      </c>
      <c r="F34" s="4" t="s">
        <v>833</v>
      </c>
      <c r="G34" s="4" t="s">
        <v>834</v>
      </c>
      <c r="H34" s="38" t="s">
        <v>835</v>
      </c>
      <c r="I34" s="4" t="s">
        <v>825</v>
      </c>
      <c r="J34" s="3" t="s">
        <v>732</v>
      </c>
    </row>
    <row r="35" spans="2:10" ht="22" customHeight="1" x14ac:dyDescent="0.35">
      <c r="B35" s="29">
        <v>26</v>
      </c>
      <c r="C35" s="6" t="s">
        <v>836</v>
      </c>
      <c r="D35" s="7" t="s">
        <v>837</v>
      </c>
      <c r="E35" s="6" t="s">
        <v>720</v>
      </c>
      <c r="F35" s="7" t="s">
        <v>838</v>
      </c>
      <c r="G35" s="7" t="s">
        <v>839</v>
      </c>
      <c r="H35" s="29" t="s">
        <v>840</v>
      </c>
      <c r="I35" s="7" t="s">
        <v>825</v>
      </c>
      <c r="J35" s="6" t="s">
        <v>732</v>
      </c>
    </row>
    <row r="36" spans="2:10" ht="22" customHeight="1" x14ac:dyDescent="0.35">
      <c r="B36" s="38">
        <v>27</v>
      </c>
      <c r="C36" s="3" t="s">
        <v>108</v>
      </c>
      <c r="D36" s="4" t="s">
        <v>841</v>
      </c>
      <c r="E36" s="3" t="s">
        <v>842</v>
      </c>
      <c r="F36" s="4" t="s">
        <v>843</v>
      </c>
      <c r="G36" s="4" t="s">
        <v>844</v>
      </c>
      <c r="H36" s="38" t="s">
        <v>845</v>
      </c>
      <c r="I36" s="4" t="s">
        <v>846</v>
      </c>
      <c r="J36" s="3" t="s">
        <v>847</v>
      </c>
    </row>
    <row r="37" spans="2:10" ht="22" customHeight="1" x14ac:dyDescent="0.35">
      <c r="B37" s="29">
        <v>28</v>
      </c>
      <c r="C37" s="6" t="s">
        <v>100</v>
      </c>
      <c r="D37" s="7" t="s">
        <v>848</v>
      </c>
      <c r="E37" s="6" t="s">
        <v>694</v>
      </c>
      <c r="F37" s="7" t="s">
        <v>849</v>
      </c>
      <c r="G37" s="7" t="s">
        <v>850</v>
      </c>
      <c r="H37" s="29" t="s">
        <v>851</v>
      </c>
      <c r="I37" s="7" t="s">
        <v>705</v>
      </c>
      <c r="J37" s="6" t="s">
        <v>699</v>
      </c>
    </row>
    <row r="38" spans="2:10" ht="22" customHeight="1" x14ac:dyDescent="0.35">
      <c r="B38" s="38">
        <v>29</v>
      </c>
      <c r="C38" s="3" t="s">
        <v>102</v>
      </c>
      <c r="D38" s="4" t="s">
        <v>852</v>
      </c>
      <c r="E38" s="3" t="s">
        <v>714</v>
      </c>
      <c r="F38" s="4" t="s">
        <v>853</v>
      </c>
      <c r="G38" s="4" t="s">
        <v>854</v>
      </c>
      <c r="H38" s="38" t="s">
        <v>855</v>
      </c>
      <c r="I38" s="4" t="s">
        <v>856</v>
      </c>
      <c r="J38" s="3" t="s">
        <v>712</v>
      </c>
    </row>
    <row r="39" spans="2:10" ht="22" customHeight="1" x14ac:dyDescent="0.35">
      <c r="B39" s="29">
        <v>30</v>
      </c>
      <c r="C39" s="6" t="s">
        <v>104</v>
      </c>
      <c r="D39" s="7" t="s">
        <v>857</v>
      </c>
      <c r="E39" s="6" t="s">
        <v>858</v>
      </c>
      <c r="F39" s="7" t="s">
        <v>859</v>
      </c>
      <c r="G39" s="7" t="s">
        <v>860</v>
      </c>
      <c r="H39" s="29" t="s">
        <v>861</v>
      </c>
      <c r="I39" s="7" t="s">
        <v>862</v>
      </c>
      <c r="J39" s="6" t="s">
        <v>863</v>
      </c>
    </row>
    <row r="40" spans="2:10" ht="22" customHeight="1" x14ac:dyDescent="0.35">
      <c r="B40" s="38">
        <v>31</v>
      </c>
      <c r="C40" s="3" t="s">
        <v>110</v>
      </c>
      <c r="D40" s="4" t="s">
        <v>864</v>
      </c>
      <c r="E40" s="3" t="s">
        <v>694</v>
      </c>
      <c r="F40" s="4" t="s">
        <v>865</v>
      </c>
      <c r="G40" s="4" t="s">
        <v>866</v>
      </c>
      <c r="H40" s="38" t="s">
        <v>867</v>
      </c>
      <c r="I40" s="4" t="s">
        <v>705</v>
      </c>
      <c r="J40" s="3" t="s">
        <v>868</v>
      </c>
    </row>
    <row r="41" spans="2:10" ht="22" customHeight="1" x14ac:dyDescent="0.35">
      <c r="B41" s="29">
        <v>32</v>
      </c>
      <c r="C41" s="6" t="s">
        <v>106</v>
      </c>
      <c r="D41" s="7" t="s">
        <v>869</v>
      </c>
      <c r="E41" s="6" t="s">
        <v>870</v>
      </c>
      <c r="F41" s="7" t="s">
        <v>871</v>
      </c>
      <c r="G41" s="7" t="s">
        <v>872</v>
      </c>
      <c r="H41" s="29" t="s">
        <v>873</v>
      </c>
      <c r="I41" s="7" t="s">
        <v>874</v>
      </c>
      <c r="J41" s="6" t="s">
        <v>875</v>
      </c>
    </row>
    <row r="42" spans="2:10" ht="22" customHeight="1" x14ac:dyDescent="0.35">
      <c r="B42" s="38">
        <v>33</v>
      </c>
      <c r="C42" s="3" t="s">
        <v>876</v>
      </c>
      <c r="D42" s="4" t="s">
        <v>877</v>
      </c>
      <c r="E42" s="3" t="s">
        <v>858</v>
      </c>
      <c r="F42" s="4" t="s">
        <v>878</v>
      </c>
      <c r="G42" s="4" t="s">
        <v>879</v>
      </c>
      <c r="H42" s="38" t="s">
        <v>880</v>
      </c>
      <c r="I42" s="4" t="s">
        <v>881</v>
      </c>
      <c r="J42" s="3" t="s">
        <v>789</v>
      </c>
    </row>
    <row r="43" spans="2:10" ht="22" customHeight="1" x14ac:dyDescent="0.35">
      <c r="B43" s="29">
        <v>34</v>
      </c>
      <c r="C43" s="6" t="s">
        <v>882</v>
      </c>
      <c r="D43" s="7" t="s">
        <v>883</v>
      </c>
      <c r="E43" s="6" t="s">
        <v>714</v>
      </c>
      <c r="F43" s="7" t="s">
        <v>884</v>
      </c>
      <c r="G43" s="7" t="s">
        <v>885</v>
      </c>
      <c r="H43" s="29" t="s">
        <v>886</v>
      </c>
      <c r="I43" s="7" t="s">
        <v>856</v>
      </c>
      <c r="J43" s="6" t="s">
        <v>712</v>
      </c>
    </row>
    <row r="44" spans="2:10" ht="22" customHeight="1" x14ac:dyDescent="0.35">
      <c r="B44" s="38">
        <v>35</v>
      </c>
      <c r="C44" s="3" t="s">
        <v>240</v>
      </c>
      <c r="D44" s="4" t="s">
        <v>887</v>
      </c>
      <c r="E44" s="3" t="s">
        <v>714</v>
      </c>
      <c r="F44" s="4" t="s">
        <v>888</v>
      </c>
      <c r="G44" s="4" t="s">
        <v>889</v>
      </c>
      <c r="H44" s="38" t="s">
        <v>890</v>
      </c>
      <c r="I44" s="4" t="s">
        <v>698</v>
      </c>
      <c r="J44" s="3" t="s">
        <v>712</v>
      </c>
    </row>
    <row r="45" spans="2:10" ht="22" customHeight="1" x14ac:dyDescent="0.35">
      <c r="B45" s="29">
        <v>36</v>
      </c>
      <c r="C45" s="6" t="s">
        <v>891</v>
      </c>
      <c r="D45" s="7" t="s">
        <v>892</v>
      </c>
      <c r="E45" s="6" t="s">
        <v>720</v>
      </c>
      <c r="F45" s="7" t="s">
        <v>893</v>
      </c>
      <c r="G45" s="7" t="s">
        <v>894</v>
      </c>
      <c r="H45" s="29" t="s">
        <v>895</v>
      </c>
      <c r="I45" s="7" t="s">
        <v>738</v>
      </c>
      <c r="J45" s="6" t="s">
        <v>712</v>
      </c>
    </row>
    <row r="46" spans="2:10" ht="22" customHeight="1" x14ac:dyDescent="0.35">
      <c r="B46" s="38">
        <v>37</v>
      </c>
      <c r="C46" s="3" t="s">
        <v>896</v>
      </c>
      <c r="D46" s="4" t="s">
        <v>897</v>
      </c>
      <c r="E46" s="3" t="s">
        <v>858</v>
      </c>
      <c r="F46" s="4" t="s">
        <v>898</v>
      </c>
      <c r="G46" s="4" t="s">
        <v>899</v>
      </c>
      <c r="H46" s="38" t="s">
        <v>900</v>
      </c>
      <c r="I46" s="4" t="s">
        <v>901</v>
      </c>
      <c r="J46" s="3" t="s">
        <v>863</v>
      </c>
    </row>
    <row r="47" spans="2:10" ht="22" customHeight="1" x14ac:dyDescent="0.35">
      <c r="B47" s="29">
        <v>38</v>
      </c>
      <c r="C47" s="6" t="s">
        <v>902</v>
      </c>
      <c r="D47" s="7" t="s">
        <v>903</v>
      </c>
      <c r="E47" s="6" t="s">
        <v>767</v>
      </c>
      <c r="F47" s="7" t="s">
        <v>904</v>
      </c>
      <c r="G47" s="7" t="s">
        <v>905</v>
      </c>
      <c r="H47" s="29" t="s">
        <v>906</v>
      </c>
      <c r="I47" s="7" t="s">
        <v>902</v>
      </c>
      <c r="J47" s="6" t="s">
        <v>803</v>
      </c>
    </row>
    <row r="48" spans="2:10" ht="22" customHeight="1" x14ac:dyDescent="0.35">
      <c r="B48" s="38">
        <v>39</v>
      </c>
      <c r="C48" s="3" t="s">
        <v>907</v>
      </c>
      <c r="D48" s="4" t="s">
        <v>908</v>
      </c>
      <c r="E48" s="3" t="s">
        <v>694</v>
      </c>
      <c r="F48" s="4" t="s">
        <v>909</v>
      </c>
      <c r="G48" s="4" t="s">
        <v>910</v>
      </c>
      <c r="H48" s="38" t="s">
        <v>911</v>
      </c>
      <c r="I48" s="4" t="s">
        <v>738</v>
      </c>
      <c r="J48" s="3" t="s">
        <v>739</v>
      </c>
    </row>
    <row r="49" spans="2:10" ht="22" customHeight="1" x14ac:dyDescent="0.35">
      <c r="B49" s="29">
        <v>40</v>
      </c>
      <c r="C49" s="6" t="s">
        <v>912</v>
      </c>
      <c r="D49" s="7" t="s">
        <v>913</v>
      </c>
      <c r="E49" s="6" t="s">
        <v>870</v>
      </c>
      <c r="F49" s="7" t="s">
        <v>914</v>
      </c>
      <c r="G49" s="7" t="s">
        <v>915</v>
      </c>
      <c r="H49" s="29" t="s">
        <v>916</v>
      </c>
      <c r="I49" s="7" t="s">
        <v>917</v>
      </c>
      <c r="J49" s="6" t="s">
        <v>875</v>
      </c>
    </row>
    <row r="50" spans="2:10" ht="22" customHeight="1" x14ac:dyDescent="0.35">
      <c r="B50" s="38">
        <v>41</v>
      </c>
      <c r="C50" s="3" t="s">
        <v>918</v>
      </c>
      <c r="D50" s="4" t="s">
        <v>919</v>
      </c>
      <c r="E50" s="3" t="s">
        <v>714</v>
      </c>
      <c r="F50" s="4" t="s">
        <v>920</v>
      </c>
      <c r="G50" s="4" t="s">
        <v>921</v>
      </c>
      <c r="H50" s="38" t="s">
        <v>922</v>
      </c>
      <c r="I50" s="4" t="s">
        <v>698</v>
      </c>
      <c r="J50" s="3" t="s">
        <v>712</v>
      </c>
    </row>
    <row r="51" spans="2:10" ht="22" customHeight="1" x14ac:dyDescent="0.35">
      <c r="B51" s="29">
        <v>42</v>
      </c>
      <c r="C51" s="6" t="s">
        <v>923</v>
      </c>
      <c r="D51" s="7" t="s">
        <v>924</v>
      </c>
      <c r="E51" s="6" t="s">
        <v>858</v>
      </c>
      <c r="F51" s="7" t="s">
        <v>925</v>
      </c>
      <c r="G51" s="7" t="s">
        <v>926</v>
      </c>
      <c r="H51" s="29" t="s">
        <v>927</v>
      </c>
      <c r="I51" s="7" t="s">
        <v>928</v>
      </c>
      <c r="J51" s="6" t="s">
        <v>789</v>
      </c>
    </row>
    <row r="52" spans="2:10" ht="22" customHeight="1" x14ac:dyDescent="0.35">
      <c r="B52" s="38">
        <v>43</v>
      </c>
      <c r="C52" s="3" t="s">
        <v>335</v>
      </c>
      <c r="D52" s="4" t="s">
        <v>929</v>
      </c>
      <c r="E52" s="3" t="s">
        <v>694</v>
      </c>
      <c r="F52" s="4" t="s">
        <v>930</v>
      </c>
      <c r="G52" s="4" t="s">
        <v>931</v>
      </c>
      <c r="H52" s="38" t="s">
        <v>932</v>
      </c>
      <c r="I52" s="4" t="s">
        <v>749</v>
      </c>
      <c r="J52" s="3" t="s">
        <v>750</v>
      </c>
    </row>
    <row r="53" spans="2:10" ht="22" customHeight="1" x14ac:dyDescent="0.35">
      <c r="B53" s="29">
        <v>44</v>
      </c>
      <c r="C53" s="6" t="s">
        <v>333</v>
      </c>
      <c r="D53" s="7" t="s">
        <v>933</v>
      </c>
      <c r="E53" s="6" t="s">
        <v>694</v>
      </c>
      <c r="F53" s="7" t="s">
        <v>934</v>
      </c>
      <c r="G53" s="7" t="s">
        <v>935</v>
      </c>
      <c r="H53" s="29" t="s">
        <v>936</v>
      </c>
      <c r="I53" s="7" t="s">
        <v>749</v>
      </c>
      <c r="J53" s="6" t="s">
        <v>750</v>
      </c>
    </row>
    <row r="54" spans="2:10" ht="22" customHeight="1" x14ac:dyDescent="0.35">
      <c r="B54" s="38">
        <v>45</v>
      </c>
      <c r="C54" s="3" t="s">
        <v>937</v>
      </c>
      <c r="D54" s="4" t="s">
        <v>938</v>
      </c>
      <c r="E54" s="3" t="s">
        <v>767</v>
      </c>
      <c r="F54" s="4" t="s">
        <v>939</v>
      </c>
      <c r="G54" s="4" t="s">
        <v>940</v>
      </c>
      <c r="H54" s="38" t="s">
        <v>941</v>
      </c>
      <c r="I54" s="4" t="s">
        <v>942</v>
      </c>
      <c r="J54" s="3" t="s">
        <v>943</v>
      </c>
    </row>
    <row r="55" spans="2:10" ht="22" customHeight="1" x14ac:dyDescent="0.35">
      <c r="B55" s="29">
        <v>46</v>
      </c>
      <c r="C55" s="6" t="s">
        <v>944</v>
      </c>
      <c r="D55" s="7" t="s">
        <v>945</v>
      </c>
      <c r="E55" s="6" t="s">
        <v>767</v>
      </c>
      <c r="F55" s="7" t="s">
        <v>946</v>
      </c>
      <c r="G55" s="7" t="s">
        <v>947</v>
      </c>
      <c r="H55" s="29" t="s">
        <v>948</v>
      </c>
      <c r="I55" s="7" t="s">
        <v>942</v>
      </c>
      <c r="J55" s="6" t="s">
        <v>949</v>
      </c>
    </row>
    <row r="56" spans="2:10" ht="22" customHeight="1" x14ac:dyDescent="0.35">
      <c r="B56" s="38">
        <v>47</v>
      </c>
      <c r="C56" s="3" t="s">
        <v>950</v>
      </c>
      <c r="D56" s="4" t="s">
        <v>951</v>
      </c>
      <c r="E56" s="3" t="s">
        <v>720</v>
      </c>
      <c r="F56" s="4" t="s">
        <v>952</v>
      </c>
      <c r="G56" s="4" t="s">
        <v>953</v>
      </c>
      <c r="H56" s="38" t="s">
        <v>954</v>
      </c>
      <c r="I56" s="4" t="s">
        <v>698</v>
      </c>
      <c r="J56" s="3" t="s">
        <v>776</v>
      </c>
    </row>
    <row r="57" spans="2:10" ht="22" customHeight="1" x14ac:dyDescent="0.35">
      <c r="B57" s="29">
        <v>48</v>
      </c>
      <c r="C57" s="6" t="s">
        <v>955</v>
      </c>
      <c r="D57" s="7" t="s">
        <v>956</v>
      </c>
      <c r="E57" s="6" t="s">
        <v>842</v>
      </c>
      <c r="F57" s="7" t="s">
        <v>957</v>
      </c>
      <c r="G57" s="7" t="s">
        <v>958</v>
      </c>
      <c r="H57" s="29" t="s">
        <v>959</v>
      </c>
      <c r="I57" s="7" t="s">
        <v>711</v>
      </c>
      <c r="J57" s="6" t="s">
        <v>847</v>
      </c>
    </row>
    <row r="58" spans="2:10" ht="22" customHeight="1" x14ac:dyDescent="0.35">
      <c r="B58" s="38">
        <v>49</v>
      </c>
      <c r="C58" s="3" t="s">
        <v>410</v>
      </c>
      <c r="D58" s="4" t="s">
        <v>960</v>
      </c>
      <c r="E58" s="3" t="s">
        <v>842</v>
      </c>
      <c r="F58" s="4" t="s">
        <v>961</v>
      </c>
      <c r="G58" s="4" t="s">
        <v>962</v>
      </c>
      <c r="H58" s="38" t="s">
        <v>963</v>
      </c>
      <c r="I58" s="4" t="s">
        <v>738</v>
      </c>
      <c r="J58" s="3" t="s">
        <v>712</v>
      </c>
    </row>
    <row r="59" spans="2:10" ht="22" customHeight="1" x14ac:dyDescent="0.35">
      <c r="B59" s="29">
        <v>50</v>
      </c>
      <c r="C59" s="6" t="s">
        <v>541</v>
      </c>
      <c r="D59" s="7" t="s">
        <v>964</v>
      </c>
      <c r="E59" s="6" t="s">
        <v>870</v>
      </c>
      <c r="F59" s="7" t="s">
        <v>965</v>
      </c>
      <c r="G59" s="7" t="s">
        <v>966</v>
      </c>
      <c r="H59" s="29" t="s">
        <v>967</v>
      </c>
      <c r="I59" s="7" t="s">
        <v>968</v>
      </c>
      <c r="J59" s="6" t="s">
        <v>875</v>
      </c>
    </row>
    <row r="60" spans="2:10" ht="22" customHeight="1" x14ac:dyDescent="0.35">
      <c r="B60" s="38">
        <v>51</v>
      </c>
      <c r="C60" s="3" t="s">
        <v>969</v>
      </c>
      <c r="D60" s="4" t="s">
        <v>970</v>
      </c>
      <c r="E60" s="3" t="s">
        <v>694</v>
      </c>
      <c r="F60" s="4" t="s">
        <v>971</v>
      </c>
      <c r="G60" s="4" t="s">
        <v>972</v>
      </c>
      <c r="H60" s="38" t="s">
        <v>794</v>
      </c>
      <c r="I60" s="4" t="s">
        <v>705</v>
      </c>
      <c r="J60" s="3" t="s">
        <v>699</v>
      </c>
    </row>
    <row r="61" spans="2:10" ht="22" customHeight="1" x14ac:dyDescent="0.35">
      <c r="B61" s="29">
        <v>52</v>
      </c>
      <c r="C61" s="6" t="s">
        <v>973</v>
      </c>
      <c r="D61" s="7" t="s">
        <v>974</v>
      </c>
      <c r="E61" s="6" t="s">
        <v>870</v>
      </c>
      <c r="F61" s="7" t="s">
        <v>975</v>
      </c>
      <c r="G61" s="7" t="s">
        <v>976</v>
      </c>
      <c r="H61" s="29" t="s">
        <v>977</v>
      </c>
      <c r="I61" s="7" t="s">
        <v>874</v>
      </c>
      <c r="J61" s="6" t="s">
        <v>875</v>
      </c>
    </row>
    <row r="62" spans="2:10" ht="22" customHeight="1" x14ac:dyDescent="0.35">
      <c r="B62" s="38">
        <v>53</v>
      </c>
      <c r="C62" s="3" t="s">
        <v>978</v>
      </c>
      <c r="D62" s="4" t="s">
        <v>979</v>
      </c>
      <c r="E62" s="3" t="s">
        <v>858</v>
      </c>
      <c r="F62" s="4" t="s">
        <v>980</v>
      </c>
      <c r="G62" s="4" t="s">
        <v>981</v>
      </c>
      <c r="H62" s="38" t="s">
        <v>982</v>
      </c>
      <c r="I62" s="4" t="s">
        <v>901</v>
      </c>
      <c r="J62" s="3" t="s">
        <v>863</v>
      </c>
    </row>
    <row r="63" spans="2:10" ht="22" customHeight="1" x14ac:dyDescent="0.35">
      <c r="B63" s="29">
        <v>54</v>
      </c>
      <c r="C63" s="6" t="s">
        <v>983</v>
      </c>
      <c r="D63" s="7" t="s">
        <v>984</v>
      </c>
      <c r="E63" s="6" t="s">
        <v>694</v>
      </c>
      <c r="F63" s="7" t="s">
        <v>985</v>
      </c>
      <c r="G63" s="7" t="s">
        <v>986</v>
      </c>
      <c r="H63" s="29" t="s">
        <v>794</v>
      </c>
      <c r="I63" s="7" t="s">
        <v>749</v>
      </c>
      <c r="J63" s="6" t="s">
        <v>750</v>
      </c>
    </row>
    <row r="64" spans="2:10" ht="22" customHeight="1" x14ac:dyDescent="0.35">
      <c r="B64" s="38">
        <v>55</v>
      </c>
      <c r="C64" s="3" t="s">
        <v>987</v>
      </c>
      <c r="D64" s="4" t="s">
        <v>988</v>
      </c>
      <c r="E64" s="3" t="s">
        <v>720</v>
      </c>
      <c r="F64" s="4" t="s">
        <v>989</v>
      </c>
      <c r="G64" s="4" t="s">
        <v>990</v>
      </c>
      <c r="H64" s="38" t="s">
        <v>991</v>
      </c>
      <c r="I64" s="4" t="s">
        <v>711</v>
      </c>
      <c r="J64" s="3" t="s">
        <v>847</v>
      </c>
    </row>
    <row r="65" spans="2:10" ht="22" customHeight="1" x14ac:dyDescent="0.35">
      <c r="B65" s="29">
        <v>56</v>
      </c>
      <c r="C65" s="6" t="s">
        <v>992</v>
      </c>
      <c r="D65" s="7" t="s">
        <v>993</v>
      </c>
      <c r="E65" s="6" t="s">
        <v>767</v>
      </c>
      <c r="F65" s="7" t="s">
        <v>994</v>
      </c>
      <c r="G65" s="7" t="s">
        <v>995</v>
      </c>
      <c r="H65" s="29" t="s">
        <v>996</v>
      </c>
      <c r="I65" s="7" t="s">
        <v>942</v>
      </c>
      <c r="J65" s="6" t="s">
        <v>783</v>
      </c>
    </row>
    <row r="66" spans="2:10" ht="22" customHeight="1" x14ac:dyDescent="0.35">
      <c r="B66" s="38">
        <v>57</v>
      </c>
      <c r="C66" s="3" t="s">
        <v>997</v>
      </c>
      <c r="D66" s="4" t="s">
        <v>998</v>
      </c>
      <c r="E66" s="3" t="s">
        <v>858</v>
      </c>
      <c r="F66" s="4" t="s">
        <v>999</v>
      </c>
      <c r="G66" s="4" t="s">
        <v>1000</v>
      </c>
      <c r="H66" s="38" t="s">
        <v>1001</v>
      </c>
      <c r="I66" s="4" t="s">
        <v>435</v>
      </c>
      <c r="J66" s="3" t="s">
        <v>803</v>
      </c>
    </row>
    <row r="67" spans="2:10" ht="22" customHeight="1" x14ac:dyDescent="0.35">
      <c r="B67" s="29">
        <v>58</v>
      </c>
      <c r="C67" s="6" t="s">
        <v>1002</v>
      </c>
      <c r="D67" s="7" t="s">
        <v>1003</v>
      </c>
      <c r="E67" s="6" t="s">
        <v>727</v>
      </c>
      <c r="F67" s="7" t="s">
        <v>1004</v>
      </c>
      <c r="G67" s="7" t="s">
        <v>1005</v>
      </c>
      <c r="H67" s="29" t="s">
        <v>1006</v>
      </c>
      <c r="I67" s="7" t="s">
        <v>825</v>
      </c>
      <c r="J67" s="6" t="s">
        <v>732</v>
      </c>
    </row>
    <row r="68" spans="2:10" ht="22" customHeight="1" x14ac:dyDescent="0.35">
      <c r="B68" s="38">
        <v>59</v>
      </c>
      <c r="C68" s="3" t="s">
        <v>1007</v>
      </c>
      <c r="D68" s="4" t="s">
        <v>1008</v>
      </c>
      <c r="E68" s="3" t="s">
        <v>727</v>
      </c>
      <c r="F68" s="4" t="s">
        <v>1009</v>
      </c>
      <c r="G68" s="4" t="s">
        <v>1010</v>
      </c>
      <c r="H68" s="38" t="s">
        <v>1011</v>
      </c>
      <c r="I68" s="4" t="s">
        <v>825</v>
      </c>
      <c r="J68" s="3" t="s">
        <v>732</v>
      </c>
    </row>
    <row r="69" spans="2:10" ht="22" customHeight="1" x14ac:dyDescent="0.35">
      <c r="B69" s="29">
        <v>60</v>
      </c>
      <c r="C69" s="6" t="s">
        <v>1012</v>
      </c>
      <c r="D69" s="7" t="s">
        <v>1013</v>
      </c>
      <c r="E69" s="6" t="s">
        <v>694</v>
      </c>
      <c r="F69" s="7" t="s">
        <v>1014</v>
      </c>
      <c r="G69" s="7" t="s">
        <v>1015</v>
      </c>
      <c r="H69" s="29" t="s">
        <v>1016</v>
      </c>
      <c r="I69" s="7" t="s">
        <v>698</v>
      </c>
      <c r="J69" s="6" t="s">
        <v>699</v>
      </c>
    </row>
  </sheetData>
  <mergeCells count="17">
    <mergeCell ref="B1:I1"/>
    <mergeCell ref="B4:C4"/>
    <mergeCell ref="B2:J2"/>
    <mergeCell ref="D6:E6"/>
    <mergeCell ref="B6:C6"/>
    <mergeCell ref="F4:G4"/>
    <mergeCell ref="J4:K4"/>
    <mergeCell ref="H6:I6"/>
    <mergeCell ref="J5:K5"/>
    <mergeCell ref="J6:K6"/>
    <mergeCell ref="B5:C5"/>
    <mergeCell ref="F5:G5"/>
    <mergeCell ref="D5:E5"/>
    <mergeCell ref="F6:G6"/>
    <mergeCell ref="D4:E4"/>
    <mergeCell ref="H5:I5"/>
    <mergeCell ref="H4:I4"/>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DC2626"/>
  </sheetPr>
  <dimension ref="B1:K15"/>
  <sheetViews>
    <sheetView zoomScale="85" workbookViewId="0"/>
  </sheetViews>
  <sheetFormatPr defaultRowHeight="14.5" x14ac:dyDescent="0.35"/>
  <cols>
    <col min="1" max="1" width="11" customWidth="1"/>
    <col min="2" max="2" width="140" customWidth="1"/>
    <col min="3" max="3" width="20" customWidth="1"/>
    <col min="4" max="4" width="100" customWidth="1"/>
    <col min="5" max="5" width="20" customWidth="1"/>
    <col min="6" max="6" width="23" customWidth="1"/>
    <col min="7" max="7" width="85" customWidth="1"/>
    <col min="8" max="8" width="30" customWidth="1"/>
    <col min="9" max="9" width="18" customWidth="1"/>
    <col min="10" max="10" width="27" customWidth="1"/>
  </cols>
  <sheetData>
    <row r="1" spans="2:11" ht="24" customHeight="1" x14ac:dyDescent="0.35">
      <c r="B1" s="57" t="s">
        <v>1017</v>
      </c>
      <c r="C1" s="55"/>
      <c r="D1" s="55"/>
      <c r="E1" s="55"/>
      <c r="F1" s="55"/>
      <c r="G1" s="55"/>
      <c r="H1" s="55"/>
      <c r="I1" s="55"/>
      <c r="J1" s="9" t="str">
        <f>HYPERLINK("#'00_Forside_Navigasjon'!A1", "← Hovedmeny")</f>
        <v>← Hovedmeny</v>
      </c>
    </row>
    <row r="2" spans="2:11" ht="18" customHeight="1" x14ac:dyDescent="0.35">
      <c r="B2" s="58" t="s">
        <v>1018</v>
      </c>
      <c r="C2" s="55"/>
      <c r="D2" s="55"/>
      <c r="E2" s="55"/>
      <c r="F2" s="55"/>
      <c r="G2" s="55"/>
      <c r="H2" s="55"/>
      <c r="I2" s="55"/>
      <c r="J2" s="55"/>
    </row>
    <row r="4" spans="2:11" ht="16" customHeight="1" x14ac:dyDescent="0.35">
      <c r="B4" s="51" t="s">
        <v>1019</v>
      </c>
      <c r="C4" s="52"/>
      <c r="D4" s="51" t="s">
        <v>296</v>
      </c>
      <c r="E4" s="52"/>
      <c r="F4" s="51" t="s">
        <v>1020</v>
      </c>
      <c r="G4" s="52"/>
      <c r="H4" s="51" t="s">
        <v>1021</v>
      </c>
      <c r="I4" s="52"/>
      <c r="J4" s="51" t="s">
        <v>1022</v>
      </c>
      <c r="K4" s="52"/>
    </row>
    <row r="5" spans="2:11" ht="24" customHeight="1" x14ac:dyDescent="0.35">
      <c r="B5" s="50">
        <v>-4800000</v>
      </c>
      <c r="C5" s="47"/>
      <c r="D5" s="62">
        <v>0.78310000000000002</v>
      </c>
      <c r="E5" s="47"/>
      <c r="F5" s="50">
        <v>2010000</v>
      </c>
      <c r="G5" s="47"/>
      <c r="H5" s="50">
        <v>1200000</v>
      </c>
      <c r="I5" s="47"/>
      <c r="J5" s="50">
        <v>1150000</v>
      </c>
      <c r="K5" s="47"/>
    </row>
    <row r="6" spans="2:11" ht="16" customHeight="1" x14ac:dyDescent="0.35">
      <c r="B6" s="48" t="s">
        <v>1023</v>
      </c>
      <c r="C6" s="49"/>
      <c r="D6" s="48" t="s">
        <v>301</v>
      </c>
      <c r="E6" s="49"/>
      <c r="F6" s="48" t="s">
        <v>1024</v>
      </c>
      <c r="G6" s="49"/>
      <c r="H6" s="48" t="s">
        <v>1025</v>
      </c>
      <c r="I6" s="49"/>
      <c r="J6" s="48" t="s">
        <v>1026</v>
      </c>
      <c r="K6" s="49"/>
    </row>
    <row r="8" spans="2:11" ht="16.5" x14ac:dyDescent="0.45">
      <c r="B8" s="1" t="s">
        <v>1027</v>
      </c>
    </row>
    <row r="9" spans="2:11" ht="20" customHeight="1" x14ac:dyDescent="0.35">
      <c r="B9" s="2" t="s">
        <v>1028</v>
      </c>
      <c r="C9" s="2" t="s">
        <v>1029</v>
      </c>
      <c r="D9" s="2" t="s">
        <v>1030</v>
      </c>
      <c r="E9" s="10" t="s">
        <v>1031</v>
      </c>
      <c r="F9" s="2" t="s">
        <v>404</v>
      </c>
      <c r="G9" s="2" t="s">
        <v>1032</v>
      </c>
      <c r="H9" s="2" t="s">
        <v>1033</v>
      </c>
      <c r="I9" s="2" t="s">
        <v>241</v>
      </c>
    </row>
    <row r="10" spans="2:11" ht="20" customHeight="1" x14ac:dyDescent="0.35">
      <c r="B10" s="29" t="s">
        <v>1034</v>
      </c>
      <c r="C10" s="6" t="s">
        <v>664</v>
      </c>
      <c r="D10" s="7" t="s">
        <v>1035</v>
      </c>
      <c r="E10" s="23">
        <v>2120000</v>
      </c>
      <c r="F10" s="29" t="s">
        <v>436</v>
      </c>
      <c r="G10" s="7" t="s">
        <v>1036</v>
      </c>
      <c r="H10" s="7" t="s">
        <v>1037</v>
      </c>
      <c r="I10" s="41" t="s">
        <v>1038</v>
      </c>
    </row>
    <row r="11" spans="2:11" ht="20" customHeight="1" x14ac:dyDescent="0.35">
      <c r="B11" s="29" t="s">
        <v>1039</v>
      </c>
      <c r="C11" s="6" t="s">
        <v>1040</v>
      </c>
      <c r="D11" s="7" t="s">
        <v>1041</v>
      </c>
      <c r="E11" s="23">
        <v>2010000</v>
      </c>
      <c r="F11" s="29" t="s">
        <v>412</v>
      </c>
      <c r="G11" s="7" t="s">
        <v>1042</v>
      </c>
      <c r="H11" s="7" t="s">
        <v>1043</v>
      </c>
      <c r="I11" s="42" t="s">
        <v>1044</v>
      </c>
    </row>
    <row r="12" spans="2:11" ht="20" customHeight="1" x14ac:dyDescent="0.35">
      <c r="B12" s="29" t="s">
        <v>1045</v>
      </c>
      <c r="C12" s="6" t="s">
        <v>1046</v>
      </c>
      <c r="D12" s="7" t="s">
        <v>1047</v>
      </c>
      <c r="E12" s="23">
        <v>450000</v>
      </c>
      <c r="F12" s="29" t="s">
        <v>429</v>
      </c>
      <c r="G12" s="7" t="s">
        <v>1048</v>
      </c>
      <c r="H12" s="7" t="s">
        <v>902</v>
      </c>
      <c r="I12" s="41" t="s">
        <v>1049</v>
      </c>
    </row>
    <row r="13" spans="2:11" ht="20" customHeight="1" x14ac:dyDescent="0.35">
      <c r="B13" s="29" t="s">
        <v>1050</v>
      </c>
      <c r="C13" s="6" t="s">
        <v>1051</v>
      </c>
      <c r="D13" s="7" t="s">
        <v>1052</v>
      </c>
      <c r="E13" s="23">
        <v>1200000</v>
      </c>
      <c r="F13" s="29" t="s">
        <v>433</v>
      </c>
      <c r="G13" s="7" t="s">
        <v>1053</v>
      </c>
      <c r="H13" s="7" t="s">
        <v>1054</v>
      </c>
      <c r="I13" s="31" t="s">
        <v>1055</v>
      </c>
    </row>
    <row r="14" spans="2:11" ht="20" customHeight="1" x14ac:dyDescent="0.35">
      <c r="B14" s="29" t="s">
        <v>1056</v>
      </c>
      <c r="C14" s="6" t="s">
        <v>1057</v>
      </c>
      <c r="D14" s="7" t="s">
        <v>1058</v>
      </c>
      <c r="E14" s="23">
        <v>620000</v>
      </c>
      <c r="F14" s="29" t="s">
        <v>418</v>
      </c>
      <c r="G14" s="7" t="s">
        <v>1059</v>
      </c>
      <c r="H14" s="7" t="s">
        <v>414</v>
      </c>
      <c r="I14" s="42" t="s">
        <v>1060</v>
      </c>
    </row>
    <row r="15" spans="2:11" ht="20" customHeight="1" x14ac:dyDescent="0.35">
      <c r="B15" s="29" t="s">
        <v>1061</v>
      </c>
      <c r="C15" s="6" t="s">
        <v>1062</v>
      </c>
      <c r="D15" s="7" t="s">
        <v>1063</v>
      </c>
      <c r="E15" s="23">
        <v>1150000</v>
      </c>
      <c r="F15" s="29" t="s">
        <v>423</v>
      </c>
      <c r="G15" s="7" t="s">
        <v>1064</v>
      </c>
      <c r="H15" s="7" t="s">
        <v>1065</v>
      </c>
      <c r="I15" s="42" t="s">
        <v>428</v>
      </c>
    </row>
  </sheetData>
  <mergeCells count="17">
    <mergeCell ref="B1:I1"/>
    <mergeCell ref="B4:C4"/>
    <mergeCell ref="B2:J2"/>
    <mergeCell ref="D6:E6"/>
    <mergeCell ref="B6:C6"/>
    <mergeCell ref="F4:G4"/>
    <mergeCell ref="J4:K4"/>
    <mergeCell ref="H6:I6"/>
    <mergeCell ref="J5:K5"/>
    <mergeCell ref="J6:K6"/>
    <mergeCell ref="B5:C5"/>
    <mergeCell ref="F5:G5"/>
    <mergeCell ref="D5:E5"/>
    <mergeCell ref="F6:G6"/>
    <mergeCell ref="D4:E4"/>
    <mergeCell ref="H5:I5"/>
    <mergeCell ref="H4:I4"/>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6A34A"/>
  </sheetPr>
  <dimension ref="B1:K20"/>
  <sheetViews>
    <sheetView zoomScale="85" workbookViewId="0"/>
  </sheetViews>
  <sheetFormatPr defaultRowHeight="14.5" x14ac:dyDescent="0.35"/>
  <cols>
    <col min="1" max="1" width="11" customWidth="1"/>
    <col min="2" max="2" width="131" customWidth="1"/>
    <col min="3" max="3" width="56" customWidth="1"/>
    <col min="4" max="4" width="27" customWidth="1"/>
    <col min="5" max="5" width="16" customWidth="1"/>
    <col min="6" max="6" width="29" customWidth="1"/>
    <col min="7" max="7" width="23" customWidth="1"/>
    <col min="8" max="8" width="55" customWidth="1"/>
    <col min="9" max="9" width="34" customWidth="1"/>
    <col min="10" max="10" width="26" customWidth="1"/>
  </cols>
  <sheetData>
    <row r="1" spans="2:11" ht="24" customHeight="1" x14ac:dyDescent="0.35">
      <c r="B1" s="57" t="s">
        <v>1066</v>
      </c>
      <c r="C1" s="55"/>
      <c r="D1" s="55"/>
      <c r="E1" s="55"/>
      <c r="F1" s="55"/>
      <c r="G1" s="55"/>
      <c r="H1" s="55"/>
      <c r="I1" s="55"/>
      <c r="J1" s="9" t="str">
        <f>HYPERLINK("#'00_Forside_Navigasjon'!A1", "← Hovedmeny")</f>
        <v>← Hovedmeny</v>
      </c>
    </row>
    <row r="2" spans="2:11" ht="18" customHeight="1" x14ac:dyDescent="0.35">
      <c r="B2" s="58" t="s">
        <v>1067</v>
      </c>
      <c r="C2" s="55"/>
      <c r="D2" s="55"/>
      <c r="E2" s="55"/>
      <c r="F2" s="55"/>
      <c r="G2" s="55"/>
      <c r="H2" s="55"/>
      <c r="I2" s="55"/>
      <c r="J2" s="55"/>
    </row>
    <row r="4" spans="2:11" ht="16" customHeight="1" x14ac:dyDescent="0.35">
      <c r="B4" s="51" t="s">
        <v>1068</v>
      </c>
      <c r="C4" s="52"/>
      <c r="D4" s="51" t="s">
        <v>1069</v>
      </c>
      <c r="E4" s="52"/>
      <c r="F4" s="51" t="s">
        <v>1070</v>
      </c>
      <c r="G4" s="52"/>
      <c r="H4" s="51" t="s">
        <v>1071</v>
      </c>
      <c r="I4" s="52"/>
      <c r="J4" s="51" t="s">
        <v>1072</v>
      </c>
      <c r="K4" s="52"/>
    </row>
    <row r="5" spans="2:11" ht="24" customHeight="1" x14ac:dyDescent="0.35">
      <c r="B5" s="61">
        <v>2589.6</v>
      </c>
      <c r="C5" s="47"/>
      <c r="D5" s="50">
        <v>176012760</v>
      </c>
      <c r="E5" s="47"/>
      <c r="F5" s="50">
        <v>71707880</v>
      </c>
      <c r="G5" s="47"/>
      <c r="H5" s="50">
        <v>104284880</v>
      </c>
      <c r="I5" s="47"/>
      <c r="J5" s="62">
        <v>0.86380000000000001</v>
      </c>
      <c r="K5" s="47"/>
    </row>
    <row r="6" spans="2:11" ht="16" customHeight="1" x14ac:dyDescent="0.35">
      <c r="B6" s="48" t="s">
        <v>1073</v>
      </c>
      <c r="C6" s="49"/>
      <c r="D6" s="48" t="s">
        <v>1074</v>
      </c>
      <c r="E6" s="49"/>
      <c r="F6" s="48" t="s">
        <v>1075</v>
      </c>
      <c r="G6" s="49"/>
      <c r="H6" s="48" t="s">
        <v>1076</v>
      </c>
      <c r="I6" s="49"/>
      <c r="J6" s="48" t="s">
        <v>1077</v>
      </c>
      <c r="K6" s="49"/>
    </row>
    <row r="8" spans="2:11" ht="16.5" x14ac:dyDescent="0.45">
      <c r="B8" s="1" t="s">
        <v>1078</v>
      </c>
    </row>
    <row r="9" spans="2:11" ht="20" customHeight="1" x14ac:dyDescent="0.35">
      <c r="B9" s="2" t="s">
        <v>566</v>
      </c>
      <c r="C9" s="2" t="s">
        <v>1079</v>
      </c>
      <c r="D9" s="10" t="s">
        <v>1080</v>
      </c>
      <c r="E9" s="10" t="s">
        <v>1081</v>
      </c>
      <c r="F9" s="10" t="s">
        <v>1082</v>
      </c>
      <c r="G9" s="10" t="s">
        <v>1083</v>
      </c>
      <c r="H9" s="2" t="s">
        <v>1084</v>
      </c>
    </row>
    <row r="10" spans="2:11" ht="20" customHeight="1" x14ac:dyDescent="0.35">
      <c r="B10" s="6" t="s">
        <v>570</v>
      </c>
      <c r="C10" s="7" t="s">
        <v>1085</v>
      </c>
      <c r="D10" s="25">
        <v>89200</v>
      </c>
      <c r="E10" s="36">
        <v>803.9</v>
      </c>
      <c r="F10" s="23">
        <v>71707880</v>
      </c>
      <c r="G10" s="26">
        <v>0.40739999999999998</v>
      </c>
      <c r="H10" s="7" t="s">
        <v>1086</v>
      </c>
    </row>
    <row r="11" spans="2:11" ht="20" customHeight="1" x14ac:dyDescent="0.35">
      <c r="B11" s="6" t="s">
        <v>574</v>
      </c>
      <c r="C11" s="7" t="s">
        <v>1087</v>
      </c>
      <c r="D11" s="25">
        <v>58400</v>
      </c>
      <c r="E11" s="36">
        <v>1785.7</v>
      </c>
      <c r="F11" s="23">
        <v>104284880</v>
      </c>
      <c r="G11" s="26">
        <v>0.59260000000000002</v>
      </c>
      <c r="H11" s="7" t="s">
        <v>1088</v>
      </c>
    </row>
    <row r="12" spans="2:11" ht="20" customHeight="1" x14ac:dyDescent="0.35">
      <c r="B12" s="6" t="s">
        <v>578</v>
      </c>
      <c r="C12" s="7" t="s">
        <v>1089</v>
      </c>
      <c r="D12" s="25">
        <v>0</v>
      </c>
      <c r="E12" s="36">
        <v>0</v>
      </c>
      <c r="F12" s="23">
        <v>0</v>
      </c>
      <c r="G12" s="26">
        <v>0</v>
      </c>
      <c r="H12" s="7" t="s">
        <v>1090</v>
      </c>
    </row>
    <row r="13" spans="2:11" ht="20" customHeight="1" x14ac:dyDescent="0.35">
      <c r="B13" s="20" t="s">
        <v>440</v>
      </c>
      <c r="C13" s="32" t="s">
        <v>1091</v>
      </c>
      <c r="D13" s="43">
        <v>67969.09</v>
      </c>
      <c r="E13" s="44">
        <v>2589.6</v>
      </c>
      <c r="F13" s="21">
        <v>176012760</v>
      </c>
      <c r="G13" s="45">
        <v>1</v>
      </c>
      <c r="H13" s="32" t="s">
        <v>1092</v>
      </c>
    </row>
    <row r="16" spans="2:11" ht="16.5" x14ac:dyDescent="0.45">
      <c r="B16" s="1" t="s">
        <v>1093</v>
      </c>
    </row>
    <row r="17" spans="2:9" ht="20" customHeight="1" x14ac:dyDescent="0.35">
      <c r="B17" s="2" t="s">
        <v>1094</v>
      </c>
      <c r="C17" s="2" t="s">
        <v>1095</v>
      </c>
      <c r="D17" s="2" t="s">
        <v>537</v>
      </c>
      <c r="E17" s="2" t="s">
        <v>1096</v>
      </c>
      <c r="F17" s="10" t="s">
        <v>1097</v>
      </c>
      <c r="G17" s="10" t="s">
        <v>1098</v>
      </c>
      <c r="H17" s="10" t="s">
        <v>1099</v>
      </c>
      <c r="I17" s="2" t="s">
        <v>256</v>
      </c>
    </row>
    <row r="18" spans="2:9" ht="20" customHeight="1" x14ac:dyDescent="0.35">
      <c r="B18" s="6" t="s">
        <v>1100</v>
      </c>
      <c r="C18" s="29" t="s">
        <v>1101</v>
      </c>
      <c r="D18" s="7" t="s">
        <v>1102</v>
      </c>
      <c r="E18" s="7" t="s">
        <v>574</v>
      </c>
      <c r="F18" s="35">
        <v>180</v>
      </c>
      <c r="G18" s="35">
        <v>480</v>
      </c>
      <c r="H18" s="26">
        <v>0.82499999999999996</v>
      </c>
      <c r="I18" s="6" t="s">
        <v>1103</v>
      </c>
    </row>
    <row r="19" spans="2:9" ht="20" customHeight="1" x14ac:dyDescent="0.35">
      <c r="B19" s="6" t="s">
        <v>1104</v>
      </c>
      <c r="C19" s="29" t="s">
        <v>1105</v>
      </c>
      <c r="D19" s="7" t="s">
        <v>1106</v>
      </c>
      <c r="E19" s="7" t="s">
        <v>570</v>
      </c>
      <c r="F19" s="35">
        <v>120</v>
      </c>
      <c r="G19" s="35">
        <v>195</v>
      </c>
      <c r="H19" s="26">
        <v>0.89200000000000002</v>
      </c>
      <c r="I19" s="6" t="s">
        <v>1107</v>
      </c>
    </row>
    <row r="20" spans="2:9" ht="20" customHeight="1" x14ac:dyDescent="0.35">
      <c r="B20" s="6" t="s">
        <v>1108</v>
      </c>
      <c r="C20" s="29" t="s">
        <v>1109</v>
      </c>
      <c r="D20" s="7" t="s">
        <v>1110</v>
      </c>
      <c r="E20" s="7" t="s">
        <v>578</v>
      </c>
      <c r="F20" s="35">
        <v>60</v>
      </c>
      <c r="G20" s="35">
        <v>85</v>
      </c>
      <c r="H20" s="26">
        <v>0.94</v>
      </c>
      <c r="I20" s="6" t="s">
        <v>1111</v>
      </c>
    </row>
  </sheetData>
  <mergeCells count="17">
    <mergeCell ref="B1:I1"/>
    <mergeCell ref="B4:C4"/>
    <mergeCell ref="B2:J2"/>
    <mergeCell ref="D6:E6"/>
    <mergeCell ref="B6:C6"/>
    <mergeCell ref="F4:G4"/>
    <mergeCell ref="J4:K4"/>
    <mergeCell ref="H6:I6"/>
    <mergeCell ref="J5:K5"/>
    <mergeCell ref="J6:K6"/>
    <mergeCell ref="B5:C5"/>
    <mergeCell ref="F5:G5"/>
    <mergeCell ref="D5:E5"/>
    <mergeCell ref="F6:G6"/>
    <mergeCell ref="D4:E4"/>
    <mergeCell ref="H5:I5"/>
    <mergeCell ref="H4:I4"/>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E7490"/>
  </sheetPr>
  <dimension ref="B1:J109"/>
  <sheetViews>
    <sheetView zoomScale="85" workbookViewId="0"/>
  </sheetViews>
  <sheetFormatPr defaultRowHeight="14.5" x14ac:dyDescent="0.35"/>
  <cols>
    <col min="1" max="1" width="11" customWidth="1"/>
    <col min="2" max="2" width="118" customWidth="1"/>
    <col min="3" max="3" width="11" customWidth="1"/>
    <col min="4" max="4" width="18" customWidth="1"/>
    <col min="5" max="5" width="11" customWidth="1"/>
    <col min="6" max="6" width="18" customWidth="1"/>
    <col min="7" max="7" width="14" customWidth="1"/>
    <col min="8" max="8" width="53" customWidth="1"/>
    <col min="9" max="9" width="36" customWidth="1"/>
    <col min="10" max="10" width="11" customWidth="1"/>
  </cols>
  <sheetData>
    <row r="1" spans="2:10" ht="24" customHeight="1" x14ac:dyDescent="0.35">
      <c r="B1" s="57" t="s">
        <v>1112</v>
      </c>
      <c r="C1" s="55"/>
      <c r="D1" s="55"/>
      <c r="E1" s="55"/>
      <c r="F1" s="55"/>
      <c r="G1" s="55"/>
      <c r="H1" s="55"/>
      <c r="I1" s="55"/>
      <c r="J1" s="9" t="str">
        <f>HYPERLINK("#'00_Forside_Navigasjon'!A1", "← Hovedmeny")</f>
        <v>← Hovedmeny</v>
      </c>
    </row>
    <row r="2" spans="2:10" ht="18" customHeight="1" x14ac:dyDescent="0.35">
      <c r="B2" s="58" t="s">
        <v>1113</v>
      </c>
      <c r="C2" s="55"/>
      <c r="D2" s="55"/>
      <c r="E2" s="55"/>
      <c r="F2" s="55"/>
      <c r="G2" s="55"/>
      <c r="H2" s="55"/>
      <c r="I2" s="55"/>
      <c r="J2" s="55"/>
    </row>
    <row r="4" spans="2:10" ht="16" customHeight="1" x14ac:dyDescent="0.35">
      <c r="B4" s="51" t="s">
        <v>1114</v>
      </c>
      <c r="C4" s="52"/>
      <c r="D4" s="51" t="s">
        <v>1115</v>
      </c>
      <c r="E4" s="52"/>
      <c r="F4" s="51" t="s">
        <v>1116</v>
      </c>
      <c r="G4" s="52"/>
      <c r="H4" s="51" t="s">
        <v>1117</v>
      </c>
      <c r="I4" s="52"/>
    </row>
    <row r="5" spans="2:10" ht="24" customHeight="1" x14ac:dyDescent="0.35">
      <c r="B5" s="50">
        <v>10617128.189999999</v>
      </c>
      <c r="C5" s="47"/>
      <c r="D5" s="50">
        <v>2138486811.0899999</v>
      </c>
      <c r="E5" s="47"/>
      <c r="F5" s="50">
        <v>2149103939.2800002</v>
      </c>
      <c r="G5" s="47"/>
      <c r="H5" s="46">
        <v>35760</v>
      </c>
      <c r="I5" s="47"/>
    </row>
    <row r="6" spans="2:10" ht="16" customHeight="1" x14ac:dyDescent="0.35">
      <c r="B6" s="48" t="s">
        <v>1118</v>
      </c>
      <c r="C6" s="49"/>
      <c r="D6" s="48" t="s">
        <v>647</v>
      </c>
      <c r="E6" s="49"/>
      <c r="F6" s="48" t="s">
        <v>1119</v>
      </c>
      <c r="G6" s="49"/>
      <c r="H6" s="48" t="s">
        <v>1120</v>
      </c>
      <c r="I6" s="49"/>
    </row>
    <row r="8" spans="2:10" ht="16.5" x14ac:dyDescent="0.45">
      <c r="B8" s="1" t="s">
        <v>1121</v>
      </c>
    </row>
    <row r="9" spans="2:10" ht="20" customHeight="1" x14ac:dyDescent="0.35">
      <c r="B9" s="2" t="s">
        <v>1122</v>
      </c>
      <c r="C9" s="2" t="s">
        <v>1123</v>
      </c>
      <c r="D9" s="2" t="s">
        <v>1124</v>
      </c>
      <c r="E9" s="2" t="s">
        <v>625</v>
      </c>
      <c r="F9" s="2" t="s">
        <v>1125</v>
      </c>
      <c r="G9" s="10" t="s">
        <v>273</v>
      </c>
      <c r="H9" s="2" t="s">
        <v>1126</v>
      </c>
      <c r="I9" s="2" t="s">
        <v>1127</v>
      </c>
    </row>
    <row r="10" spans="2:10" ht="19" customHeight="1" x14ac:dyDescent="0.35">
      <c r="B10" s="29" t="s">
        <v>1128</v>
      </c>
      <c r="C10" s="7" t="s">
        <v>1129</v>
      </c>
      <c r="D10" s="7" t="s">
        <v>1130</v>
      </c>
      <c r="E10" s="29">
        <v>2080</v>
      </c>
      <c r="F10" s="7" t="s">
        <v>1131</v>
      </c>
      <c r="G10" s="23">
        <v>-2400000</v>
      </c>
      <c r="H10" s="7" t="s">
        <v>1132</v>
      </c>
      <c r="I10" s="7" t="s">
        <v>1133</v>
      </c>
    </row>
    <row r="11" spans="2:10" ht="19" customHeight="1" x14ac:dyDescent="0.35">
      <c r="B11" s="29" t="s">
        <v>1134</v>
      </c>
      <c r="C11" s="7" t="s">
        <v>1135</v>
      </c>
      <c r="D11" s="7" t="s">
        <v>1130</v>
      </c>
      <c r="E11" s="29">
        <v>2080</v>
      </c>
      <c r="F11" s="7" t="s">
        <v>1131</v>
      </c>
      <c r="G11" s="23">
        <v>-2400000</v>
      </c>
      <c r="H11" s="7" t="s">
        <v>1132</v>
      </c>
      <c r="I11" s="7" t="s">
        <v>1133</v>
      </c>
    </row>
    <row r="12" spans="2:10" ht="19" customHeight="1" x14ac:dyDescent="0.35">
      <c r="B12" s="29" t="s">
        <v>1136</v>
      </c>
      <c r="C12" s="7" t="s">
        <v>1137</v>
      </c>
      <c r="D12" s="7" t="s">
        <v>1138</v>
      </c>
      <c r="E12" s="29">
        <v>2050</v>
      </c>
      <c r="F12" s="7" t="s">
        <v>1139</v>
      </c>
      <c r="G12" s="23">
        <v>-1200000</v>
      </c>
      <c r="H12" s="7" t="s">
        <v>634</v>
      </c>
      <c r="I12" s="7" t="s">
        <v>1140</v>
      </c>
    </row>
    <row r="13" spans="2:10" ht="19" customHeight="1" x14ac:dyDescent="0.35">
      <c r="B13" s="29" t="s">
        <v>1141</v>
      </c>
      <c r="C13" s="7" t="s">
        <v>1137</v>
      </c>
      <c r="D13" s="7" t="s">
        <v>1138</v>
      </c>
      <c r="E13" s="29">
        <v>1250</v>
      </c>
      <c r="F13" s="7" t="s">
        <v>1139</v>
      </c>
      <c r="G13" s="23">
        <v>1200000</v>
      </c>
      <c r="H13" s="7" t="s">
        <v>1142</v>
      </c>
      <c r="I13" s="7" t="s">
        <v>1143</v>
      </c>
    </row>
    <row r="14" spans="2:10" ht="19" customHeight="1" x14ac:dyDescent="0.35">
      <c r="B14" s="29" t="s">
        <v>1144</v>
      </c>
      <c r="C14" s="7" t="s">
        <v>1145</v>
      </c>
      <c r="D14" s="7" t="s">
        <v>1130</v>
      </c>
      <c r="E14" s="29">
        <v>6710</v>
      </c>
      <c r="F14" s="7" t="s">
        <v>1131</v>
      </c>
      <c r="G14" s="23">
        <v>620000</v>
      </c>
      <c r="H14" s="7" t="s">
        <v>1146</v>
      </c>
      <c r="I14" s="7" t="s">
        <v>1147</v>
      </c>
    </row>
    <row r="15" spans="2:10" ht="19" customHeight="1" x14ac:dyDescent="0.35">
      <c r="B15" s="29" t="s">
        <v>1148</v>
      </c>
      <c r="C15" s="7" t="s">
        <v>1149</v>
      </c>
      <c r="D15" s="7" t="s">
        <v>1150</v>
      </c>
      <c r="E15" s="29">
        <v>5000</v>
      </c>
      <c r="F15" s="7" t="s">
        <v>1131</v>
      </c>
      <c r="G15" s="23">
        <v>479209</v>
      </c>
      <c r="H15" s="7" t="s">
        <v>1151</v>
      </c>
      <c r="I15" s="7" t="s">
        <v>1152</v>
      </c>
    </row>
    <row r="16" spans="2:10" ht="19" customHeight="1" x14ac:dyDescent="0.35">
      <c r="B16" s="29" t="s">
        <v>1153</v>
      </c>
      <c r="C16" s="7" t="s">
        <v>1145</v>
      </c>
      <c r="D16" s="7" t="s">
        <v>1150</v>
      </c>
      <c r="E16" s="29">
        <v>5000</v>
      </c>
      <c r="F16" s="7" t="s">
        <v>1131</v>
      </c>
      <c r="G16" s="23">
        <v>478956</v>
      </c>
      <c r="H16" s="7" t="s">
        <v>1151</v>
      </c>
      <c r="I16" s="7" t="s">
        <v>1152</v>
      </c>
    </row>
    <row r="17" spans="2:9" ht="19" customHeight="1" x14ac:dyDescent="0.35">
      <c r="B17" s="29" t="s">
        <v>1154</v>
      </c>
      <c r="C17" s="7" t="s">
        <v>1135</v>
      </c>
      <c r="D17" s="7" t="s">
        <v>1155</v>
      </c>
      <c r="E17" s="29">
        <v>5000</v>
      </c>
      <c r="F17" s="7" t="s">
        <v>1131</v>
      </c>
      <c r="G17" s="23">
        <v>478823</v>
      </c>
      <c r="H17" s="7" t="s">
        <v>1151</v>
      </c>
      <c r="I17" s="7" t="s">
        <v>1152</v>
      </c>
    </row>
    <row r="18" spans="2:9" ht="19" customHeight="1" x14ac:dyDescent="0.35">
      <c r="B18" s="29" t="s">
        <v>1156</v>
      </c>
      <c r="C18" s="7" t="s">
        <v>1157</v>
      </c>
      <c r="D18" s="7" t="s">
        <v>1158</v>
      </c>
      <c r="E18" s="29">
        <v>5000</v>
      </c>
      <c r="F18" s="7" t="s">
        <v>1131</v>
      </c>
      <c r="G18" s="23">
        <v>478598</v>
      </c>
      <c r="H18" s="7" t="s">
        <v>1151</v>
      </c>
      <c r="I18" s="7" t="s">
        <v>1152</v>
      </c>
    </row>
    <row r="19" spans="2:9" ht="19" customHeight="1" x14ac:dyDescent="0.35">
      <c r="B19" s="29" t="s">
        <v>1159</v>
      </c>
      <c r="C19" s="7" t="s">
        <v>1137</v>
      </c>
      <c r="D19" s="7" t="s">
        <v>1155</v>
      </c>
      <c r="E19" s="29">
        <v>5000</v>
      </c>
      <c r="F19" s="7" t="s">
        <v>1131</v>
      </c>
      <c r="G19" s="23">
        <v>477784</v>
      </c>
      <c r="H19" s="7" t="s">
        <v>1151</v>
      </c>
      <c r="I19" s="7" t="s">
        <v>1152</v>
      </c>
    </row>
    <row r="20" spans="2:9" ht="19" customHeight="1" x14ac:dyDescent="0.35">
      <c r="B20" s="29" t="s">
        <v>1160</v>
      </c>
      <c r="C20" s="7" t="s">
        <v>1129</v>
      </c>
      <c r="D20" s="7" t="s">
        <v>1138</v>
      </c>
      <c r="E20" s="29">
        <v>5000</v>
      </c>
      <c r="F20" s="7" t="s">
        <v>1131</v>
      </c>
      <c r="G20" s="23">
        <v>477405</v>
      </c>
      <c r="H20" s="7" t="s">
        <v>1151</v>
      </c>
      <c r="I20" s="7" t="s">
        <v>1152</v>
      </c>
    </row>
    <row r="21" spans="2:9" ht="19" customHeight="1" x14ac:dyDescent="0.35">
      <c r="B21" s="29" t="s">
        <v>1161</v>
      </c>
      <c r="C21" s="7" t="s">
        <v>1157</v>
      </c>
      <c r="D21" s="7" t="s">
        <v>1155</v>
      </c>
      <c r="E21" s="29">
        <v>5000</v>
      </c>
      <c r="F21" s="7" t="s">
        <v>1131</v>
      </c>
      <c r="G21" s="23">
        <v>476925</v>
      </c>
      <c r="H21" s="7" t="s">
        <v>1151</v>
      </c>
      <c r="I21" s="7" t="s">
        <v>1152</v>
      </c>
    </row>
    <row r="22" spans="2:9" ht="19" customHeight="1" x14ac:dyDescent="0.35">
      <c r="B22" s="29" t="s">
        <v>1162</v>
      </c>
      <c r="C22" s="7" t="s">
        <v>1145</v>
      </c>
      <c r="D22" s="7" t="s">
        <v>1138</v>
      </c>
      <c r="E22" s="29">
        <v>5000</v>
      </c>
      <c r="F22" s="7" t="s">
        <v>1131</v>
      </c>
      <c r="G22" s="23">
        <v>474676</v>
      </c>
      <c r="H22" s="7" t="s">
        <v>1151</v>
      </c>
      <c r="I22" s="7" t="s">
        <v>1152</v>
      </c>
    </row>
    <row r="23" spans="2:9" ht="19" customHeight="1" x14ac:dyDescent="0.35">
      <c r="B23" s="29" t="s">
        <v>1163</v>
      </c>
      <c r="C23" s="7" t="s">
        <v>1157</v>
      </c>
      <c r="D23" s="7" t="s">
        <v>1164</v>
      </c>
      <c r="E23" s="29">
        <v>5000</v>
      </c>
      <c r="F23" s="7" t="s">
        <v>1131</v>
      </c>
      <c r="G23" s="23">
        <v>474348</v>
      </c>
      <c r="H23" s="7" t="s">
        <v>1151</v>
      </c>
      <c r="I23" s="7" t="s">
        <v>1152</v>
      </c>
    </row>
    <row r="24" spans="2:9" ht="19" customHeight="1" x14ac:dyDescent="0.35">
      <c r="B24" s="29" t="s">
        <v>1165</v>
      </c>
      <c r="C24" s="7" t="s">
        <v>1137</v>
      </c>
      <c r="D24" s="7" t="s">
        <v>1130</v>
      </c>
      <c r="E24" s="29">
        <v>5000</v>
      </c>
      <c r="F24" s="7" t="s">
        <v>1131</v>
      </c>
      <c r="G24" s="23">
        <v>473920</v>
      </c>
      <c r="H24" s="7" t="s">
        <v>1151</v>
      </c>
      <c r="I24" s="7" t="s">
        <v>1152</v>
      </c>
    </row>
    <row r="25" spans="2:9" ht="19" customHeight="1" x14ac:dyDescent="0.35">
      <c r="B25" s="29" t="s">
        <v>1166</v>
      </c>
      <c r="C25" s="7" t="s">
        <v>1135</v>
      </c>
      <c r="D25" s="7" t="s">
        <v>1130</v>
      </c>
      <c r="E25" s="29">
        <v>5000</v>
      </c>
      <c r="F25" s="7" t="s">
        <v>1131</v>
      </c>
      <c r="G25" s="23">
        <v>472129</v>
      </c>
      <c r="H25" s="7" t="s">
        <v>1151</v>
      </c>
      <c r="I25" s="7" t="s">
        <v>1152</v>
      </c>
    </row>
    <row r="26" spans="2:9" ht="19" customHeight="1" x14ac:dyDescent="0.35">
      <c r="B26" s="29" t="s">
        <v>1167</v>
      </c>
      <c r="C26" s="7" t="s">
        <v>1157</v>
      </c>
      <c r="D26" s="7" t="s">
        <v>1150</v>
      </c>
      <c r="E26" s="29">
        <v>5000</v>
      </c>
      <c r="F26" s="7" t="s">
        <v>1131</v>
      </c>
      <c r="G26" s="23">
        <v>471905</v>
      </c>
      <c r="H26" s="7" t="s">
        <v>1151</v>
      </c>
      <c r="I26" s="7" t="s">
        <v>1152</v>
      </c>
    </row>
    <row r="27" spans="2:9" ht="19" customHeight="1" x14ac:dyDescent="0.35">
      <c r="B27" s="29" t="s">
        <v>1168</v>
      </c>
      <c r="C27" s="7" t="s">
        <v>1137</v>
      </c>
      <c r="D27" s="7" t="s">
        <v>1169</v>
      </c>
      <c r="E27" s="29">
        <v>5000</v>
      </c>
      <c r="F27" s="7" t="s">
        <v>1131</v>
      </c>
      <c r="G27" s="23">
        <v>471660</v>
      </c>
      <c r="H27" s="7" t="s">
        <v>1151</v>
      </c>
      <c r="I27" s="7" t="s">
        <v>1152</v>
      </c>
    </row>
    <row r="28" spans="2:9" ht="19" customHeight="1" x14ac:dyDescent="0.35">
      <c r="B28" s="29" t="s">
        <v>1170</v>
      </c>
      <c r="C28" s="7" t="s">
        <v>1171</v>
      </c>
      <c r="D28" s="7" t="s">
        <v>1138</v>
      </c>
      <c r="E28" s="29">
        <v>5000</v>
      </c>
      <c r="F28" s="7" t="s">
        <v>1131</v>
      </c>
      <c r="G28" s="23">
        <v>471198</v>
      </c>
      <c r="H28" s="7" t="s">
        <v>1151</v>
      </c>
      <c r="I28" s="7" t="s">
        <v>1152</v>
      </c>
    </row>
    <row r="29" spans="2:9" ht="19" customHeight="1" x14ac:dyDescent="0.35">
      <c r="B29" s="29" t="s">
        <v>1172</v>
      </c>
      <c r="C29" s="7" t="s">
        <v>1137</v>
      </c>
      <c r="D29" s="7" t="s">
        <v>1173</v>
      </c>
      <c r="E29" s="29">
        <v>5000</v>
      </c>
      <c r="F29" s="7" t="s">
        <v>1131</v>
      </c>
      <c r="G29" s="23">
        <v>469920</v>
      </c>
      <c r="H29" s="7" t="s">
        <v>1151</v>
      </c>
      <c r="I29" s="7" t="s">
        <v>1152</v>
      </c>
    </row>
    <row r="30" spans="2:9" ht="19" customHeight="1" x14ac:dyDescent="0.35">
      <c r="B30" s="29" t="s">
        <v>1174</v>
      </c>
      <c r="C30" s="7" t="s">
        <v>1149</v>
      </c>
      <c r="D30" s="7" t="s">
        <v>1175</v>
      </c>
      <c r="E30" s="29">
        <v>5000</v>
      </c>
      <c r="F30" s="7" t="s">
        <v>1131</v>
      </c>
      <c r="G30" s="23">
        <v>469909</v>
      </c>
      <c r="H30" s="7" t="s">
        <v>1151</v>
      </c>
      <c r="I30" s="7" t="s">
        <v>1152</v>
      </c>
    </row>
    <row r="31" spans="2:9" ht="19" customHeight="1" x14ac:dyDescent="0.35">
      <c r="B31" s="29" t="s">
        <v>1176</v>
      </c>
      <c r="C31" s="7" t="s">
        <v>1177</v>
      </c>
      <c r="D31" s="7" t="s">
        <v>1130</v>
      </c>
      <c r="E31" s="29">
        <v>5000</v>
      </c>
      <c r="F31" s="7" t="s">
        <v>1131</v>
      </c>
      <c r="G31" s="23">
        <v>469753</v>
      </c>
      <c r="H31" s="7" t="s">
        <v>1151</v>
      </c>
      <c r="I31" s="7" t="s">
        <v>1152</v>
      </c>
    </row>
    <row r="32" spans="2:9" ht="19" customHeight="1" x14ac:dyDescent="0.35">
      <c r="B32" s="29" t="s">
        <v>1178</v>
      </c>
      <c r="C32" s="7" t="s">
        <v>1145</v>
      </c>
      <c r="D32" s="7" t="s">
        <v>1175</v>
      </c>
      <c r="E32" s="29">
        <v>5000</v>
      </c>
      <c r="F32" s="7" t="s">
        <v>1131</v>
      </c>
      <c r="G32" s="23">
        <v>469086</v>
      </c>
      <c r="H32" s="7" t="s">
        <v>1151</v>
      </c>
      <c r="I32" s="7" t="s">
        <v>1152</v>
      </c>
    </row>
    <row r="33" spans="2:9" ht="19" customHeight="1" x14ac:dyDescent="0.35">
      <c r="B33" s="29" t="s">
        <v>1179</v>
      </c>
      <c r="C33" s="7" t="s">
        <v>1157</v>
      </c>
      <c r="D33" s="7" t="s">
        <v>1169</v>
      </c>
      <c r="E33" s="29">
        <v>5000</v>
      </c>
      <c r="F33" s="7" t="s">
        <v>1131</v>
      </c>
      <c r="G33" s="23">
        <v>468698</v>
      </c>
      <c r="H33" s="7" t="s">
        <v>1151</v>
      </c>
      <c r="I33" s="7" t="s">
        <v>1152</v>
      </c>
    </row>
    <row r="34" spans="2:9" ht="19" customHeight="1" x14ac:dyDescent="0.35">
      <c r="B34" s="29" t="s">
        <v>1180</v>
      </c>
      <c r="C34" s="7" t="s">
        <v>1129</v>
      </c>
      <c r="D34" s="7" t="s">
        <v>1164</v>
      </c>
      <c r="E34" s="29">
        <v>5000</v>
      </c>
      <c r="F34" s="7" t="s">
        <v>1131</v>
      </c>
      <c r="G34" s="23">
        <v>468564</v>
      </c>
      <c r="H34" s="7" t="s">
        <v>1151</v>
      </c>
      <c r="I34" s="7" t="s">
        <v>1152</v>
      </c>
    </row>
    <row r="35" spans="2:9" ht="19" customHeight="1" x14ac:dyDescent="0.35">
      <c r="B35" s="29" t="s">
        <v>1181</v>
      </c>
      <c r="C35" s="7" t="s">
        <v>1145</v>
      </c>
      <c r="D35" s="7" t="s">
        <v>1158</v>
      </c>
      <c r="E35" s="29">
        <v>5000</v>
      </c>
      <c r="F35" s="7" t="s">
        <v>1131</v>
      </c>
      <c r="G35" s="23">
        <v>468242</v>
      </c>
      <c r="H35" s="7" t="s">
        <v>1151</v>
      </c>
      <c r="I35" s="7" t="s">
        <v>1152</v>
      </c>
    </row>
    <row r="36" spans="2:9" ht="19" customHeight="1" x14ac:dyDescent="0.35">
      <c r="B36" s="29" t="s">
        <v>1182</v>
      </c>
      <c r="C36" s="7" t="s">
        <v>1137</v>
      </c>
      <c r="D36" s="7" t="s">
        <v>1150</v>
      </c>
      <c r="E36" s="29">
        <v>5000</v>
      </c>
      <c r="F36" s="7" t="s">
        <v>1131</v>
      </c>
      <c r="G36" s="23">
        <v>467837</v>
      </c>
      <c r="H36" s="7" t="s">
        <v>1151</v>
      </c>
      <c r="I36" s="7" t="s">
        <v>1152</v>
      </c>
    </row>
    <row r="37" spans="2:9" ht="19" customHeight="1" x14ac:dyDescent="0.35">
      <c r="B37" s="29" t="s">
        <v>1183</v>
      </c>
      <c r="C37" s="7" t="s">
        <v>1171</v>
      </c>
      <c r="D37" s="7" t="s">
        <v>1155</v>
      </c>
      <c r="E37" s="29">
        <v>5000</v>
      </c>
      <c r="F37" s="7" t="s">
        <v>1131</v>
      </c>
      <c r="G37" s="23">
        <v>466178</v>
      </c>
      <c r="H37" s="7" t="s">
        <v>1151</v>
      </c>
      <c r="I37" s="7" t="s">
        <v>1152</v>
      </c>
    </row>
    <row r="38" spans="2:9" ht="19" customHeight="1" x14ac:dyDescent="0.35">
      <c r="B38" s="29" t="s">
        <v>1184</v>
      </c>
      <c r="C38" s="7" t="s">
        <v>1177</v>
      </c>
      <c r="D38" s="7" t="s">
        <v>1173</v>
      </c>
      <c r="E38" s="29">
        <v>5000</v>
      </c>
      <c r="F38" s="7" t="s">
        <v>1131</v>
      </c>
      <c r="G38" s="23">
        <v>465343</v>
      </c>
      <c r="H38" s="7" t="s">
        <v>1151</v>
      </c>
      <c r="I38" s="7" t="s">
        <v>1152</v>
      </c>
    </row>
    <row r="39" spans="2:9" ht="19" customHeight="1" x14ac:dyDescent="0.35">
      <c r="B39" s="29" t="s">
        <v>1185</v>
      </c>
      <c r="C39" s="7" t="s">
        <v>1129</v>
      </c>
      <c r="D39" s="7" t="s">
        <v>1155</v>
      </c>
      <c r="E39" s="29">
        <v>5000</v>
      </c>
      <c r="F39" s="7" t="s">
        <v>1131</v>
      </c>
      <c r="G39" s="23">
        <v>465339</v>
      </c>
      <c r="H39" s="7" t="s">
        <v>1151</v>
      </c>
      <c r="I39" s="7" t="s">
        <v>1152</v>
      </c>
    </row>
    <row r="40" spans="2:9" ht="19" customHeight="1" x14ac:dyDescent="0.35">
      <c r="B40" s="29" t="s">
        <v>1186</v>
      </c>
      <c r="C40" s="7" t="s">
        <v>1135</v>
      </c>
      <c r="D40" s="7" t="s">
        <v>1138</v>
      </c>
      <c r="E40" s="29">
        <v>5000</v>
      </c>
      <c r="F40" s="7" t="s">
        <v>1131</v>
      </c>
      <c r="G40" s="23">
        <v>465322</v>
      </c>
      <c r="H40" s="7" t="s">
        <v>1151</v>
      </c>
      <c r="I40" s="7" t="s">
        <v>1152</v>
      </c>
    </row>
    <row r="41" spans="2:9" ht="19" customHeight="1" x14ac:dyDescent="0.35">
      <c r="B41" s="29" t="s">
        <v>1187</v>
      </c>
      <c r="C41" s="7" t="s">
        <v>1149</v>
      </c>
      <c r="D41" s="7" t="s">
        <v>1173</v>
      </c>
      <c r="E41" s="29">
        <v>5000</v>
      </c>
      <c r="F41" s="7" t="s">
        <v>1131</v>
      </c>
      <c r="G41" s="23">
        <v>464757</v>
      </c>
      <c r="H41" s="7" t="s">
        <v>1151</v>
      </c>
      <c r="I41" s="7" t="s">
        <v>1152</v>
      </c>
    </row>
    <row r="42" spans="2:9" ht="19" customHeight="1" x14ac:dyDescent="0.35">
      <c r="B42" s="29" t="s">
        <v>1188</v>
      </c>
      <c r="C42" s="7" t="s">
        <v>1145</v>
      </c>
      <c r="D42" s="7" t="s">
        <v>1173</v>
      </c>
      <c r="E42" s="29">
        <v>5000</v>
      </c>
      <c r="F42" s="7" t="s">
        <v>1131</v>
      </c>
      <c r="G42" s="23">
        <v>464676</v>
      </c>
      <c r="H42" s="7" t="s">
        <v>1151</v>
      </c>
      <c r="I42" s="7" t="s">
        <v>1152</v>
      </c>
    </row>
    <row r="43" spans="2:9" ht="19" customHeight="1" x14ac:dyDescent="0.35">
      <c r="B43" s="29" t="s">
        <v>1189</v>
      </c>
      <c r="C43" s="7" t="s">
        <v>1149</v>
      </c>
      <c r="D43" s="7" t="s">
        <v>1164</v>
      </c>
      <c r="E43" s="29">
        <v>5000</v>
      </c>
      <c r="F43" s="7" t="s">
        <v>1131</v>
      </c>
      <c r="G43" s="23">
        <v>462806</v>
      </c>
      <c r="H43" s="7" t="s">
        <v>1151</v>
      </c>
      <c r="I43" s="7" t="s">
        <v>1152</v>
      </c>
    </row>
    <row r="44" spans="2:9" ht="19" customHeight="1" x14ac:dyDescent="0.35">
      <c r="B44" s="29" t="s">
        <v>1190</v>
      </c>
      <c r="C44" s="7" t="s">
        <v>1129</v>
      </c>
      <c r="D44" s="7" t="s">
        <v>1150</v>
      </c>
      <c r="E44" s="29">
        <v>5000</v>
      </c>
      <c r="F44" s="7" t="s">
        <v>1131</v>
      </c>
      <c r="G44" s="23">
        <v>459588</v>
      </c>
      <c r="H44" s="7" t="s">
        <v>1151</v>
      </c>
      <c r="I44" s="7" t="s">
        <v>1152</v>
      </c>
    </row>
    <row r="45" spans="2:9" ht="19" customHeight="1" x14ac:dyDescent="0.35">
      <c r="B45" s="29" t="s">
        <v>1191</v>
      </c>
      <c r="C45" s="7" t="s">
        <v>1171</v>
      </c>
      <c r="D45" s="7" t="s">
        <v>1150</v>
      </c>
      <c r="E45" s="29">
        <v>5000</v>
      </c>
      <c r="F45" s="7" t="s">
        <v>1131</v>
      </c>
      <c r="G45" s="23">
        <v>459439</v>
      </c>
      <c r="H45" s="7" t="s">
        <v>1151</v>
      </c>
      <c r="I45" s="7" t="s">
        <v>1152</v>
      </c>
    </row>
    <row r="46" spans="2:9" ht="19" customHeight="1" x14ac:dyDescent="0.35">
      <c r="B46" s="29" t="s">
        <v>1192</v>
      </c>
      <c r="C46" s="7" t="s">
        <v>1177</v>
      </c>
      <c r="D46" s="7" t="s">
        <v>1138</v>
      </c>
      <c r="E46" s="29">
        <v>5000</v>
      </c>
      <c r="F46" s="7" t="s">
        <v>1131</v>
      </c>
      <c r="G46" s="23">
        <v>458711</v>
      </c>
      <c r="H46" s="7" t="s">
        <v>1151</v>
      </c>
      <c r="I46" s="7" t="s">
        <v>1152</v>
      </c>
    </row>
    <row r="47" spans="2:9" ht="19" customHeight="1" x14ac:dyDescent="0.35">
      <c r="B47" s="29" t="s">
        <v>1193</v>
      </c>
      <c r="C47" s="7" t="s">
        <v>1157</v>
      </c>
      <c r="D47" s="7" t="s">
        <v>1138</v>
      </c>
      <c r="E47" s="29">
        <v>5000</v>
      </c>
      <c r="F47" s="7" t="s">
        <v>1131</v>
      </c>
      <c r="G47" s="23">
        <v>457493</v>
      </c>
      <c r="H47" s="7" t="s">
        <v>1151</v>
      </c>
      <c r="I47" s="7" t="s">
        <v>1152</v>
      </c>
    </row>
    <row r="48" spans="2:9" ht="19" customHeight="1" x14ac:dyDescent="0.35">
      <c r="B48" s="29" t="s">
        <v>1194</v>
      </c>
      <c r="C48" s="7" t="s">
        <v>1135</v>
      </c>
      <c r="D48" s="7" t="s">
        <v>1164</v>
      </c>
      <c r="E48" s="29">
        <v>5000</v>
      </c>
      <c r="F48" s="7" t="s">
        <v>1131</v>
      </c>
      <c r="G48" s="23">
        <v>456290</v>
      </c>
      <c r="H48" s="7" t="s">
        <v>1151</v>
      </c>
      <c r="I48" s="7" t="s">
        <v>1152</v>
      </c>
    </row>
    <row r="49" spans="2:9" ht="19" customHeight="1" x14ac:dyDescent="0.35">
      <c r="B49" s="29" t="s">
        <v>1195</v>
      </c>
      <c r="C49" s="7" t="s">
        <v>1177</v>
      </c>
      <c r="D49" s="7" t="s">
        <v>1155</v>
      </c>
      <c r="E49" s="29">
        <v>5000</v>
      </c>
      <c r="F49" s="7" t="s">
        <v>1131</v>
      </c>
      <c r="G49" s="23">
        <v>456148</v>
      </c>
      <c r="H49" s="7" t="s">
        <v>1151</v>
      </c>
      <c r="I49" s="7" t="s">
        <v>1152</v>
      </c>
    </row>
    <row r="50" spans="2:9" ht="19" customHeight="1" x14ac:dyDescent="0.35">
      <c r="B50" s="29" t="s">
        <v>1196</v>
      </c>
      <c r="C50" s="7" t="s">
        <v>1145</v>
      </c>
      <c r="D50" s="7" t="s">
        <v>1130</v>
      </c>
      <c r="E50" s="29">
        <v>5000</v>
      </c>
      <c r="F50" s="7" t="s">
        <v>1131</v>
      </c>
      <c r="G50" s="23">
        <v>455009</v>
      </c>
      <c r="H50" s="7" t="s">
        <v>1151</v>
      </c>
      <c r="I50" s="7" t="s">
        <v>1152</v>
      </c>
    </row>
    <row r="51" spans="2:9" ht="19" customHeight="1" x14ac:dyDescent="0.35">
      <c r="B51" s="29" t="s">
        <v>1197</v>
      </c>
      <c r="C51" s="7" t="s">
        <v>1137</v>
      </c>
      <c r="D51" s="7" t="s">
        <v>1164</v>
      </c>
      <c r="E51" s="29">
        <v>5000</v>
      </c>
      <c r="F51" s="7" t="s">
        <v>1131</v>
      </c>
      <c r="G51" s="23">
        <v>454911</v>
      </c>
      <c r="H51" s="7" t="s">
        <v>1151</v>
      </c>
      <c r="I51" s="7" t="s">
        <v>1152</v>
      </c>
    </row>
    <row r="52" spans="2:9" ht="19" customHeight="1" x14ac:dyDescent="0.35">
      <c r="B52" s="29" t="s">
        <v>1198</v>
      </c>
      <c r="C52" s="7" t="s">
        <v>1171</v>
      </c>
      <c r="D52" s="7" t="s">
        <v>1169</v>
      </c>
      <c r="E52" s="29">
        <v>5000</v>
      </c>
      <c r="F52" s="7" t="s">
        <v>1131</v>
      </c>
      <c r="G52" s="23">
        <v>454898</v>
      </c>
      <c r="H52" s="7" t="s">
        <v>1151</v>
      </c>
      <c r="I52" s="7" t="s">
        <v>1152</v>
      </c>
    </row>
    <row r="53" spans="2:9" ht="19" customHeight="1" x14ac:dyDescent="0.35">
      <c r="B53" s="29" t="s">
        <v>1199</v>
      </c>
      <c r="C53" s="7" t="s">
        <v>1135</v>
      </c>
      <c r="D53" s="7" t="s">
        <v>1150</v>
      </c>
      <c r="E53" s="29">
        <v>5000</v>
      </c>
      <c r="F53" s="7" t="s">
        <v>1131</v>
      </c>
      <c r="G53" s="23">
        <v>454867</v>
      </c>
      <c r="H53" s="7" t="s">
        <v>1151</v>
      </c>
      <c r="I53" s="7" t="s">
        <v>1152</v>
      </c>
    </row>
    <row r="54" spans="2:9" ht="19" customHeight="1" x14ac:dyDescent="0.35">
      <c r="B54" s="29" t="s">
        <v>1200</v>
      </c>
      <c r="C54" s="7" t="s">
        <v>1149</v>
      </c>
      <c r="D54" s="7" t="s">
        <v>1130</v>
      </c>
      <c r="E54" s="29">
        <v>5000</v>
      </c>
      <c r="F54" s="7" t="s">
        <v>1131</v>
      </c>
      <c r="G54" s="23">
        <v>454504</v>
      </c>
      <c r="H54" s="7" t="s">
        <v>1151</v>
      </c>
      <c r="I54" s="7" t="s">
        <v>1152</v>
      </c>
    </row>
    <row r="55" spans="2:9" ht="19" customHeight="1" x14ac:dyDescent="0.35">
      <c r="B55" s="29" t="s">
        <v>1201</v>
      </c>
      <c r="C55" s="7" t="s">
        <v>1137</v>
      </c>
      <c r="D55" s="7" t="s">
        <v>1175</v>
      </c>
      <c r="E55" s="29">
        <v>5000</v>
      </c>
      <c r="F55" s="7" t="s">
        <v>1131</v>
      </c>
      <c r="G55" s="23">
        <v>454260</v>
      </c>
      <c r="H55" s="7" t="s">
        <v>1151</v>
      </c>
      <c r="I55" s="7" t="s">
        <v>1152</v>
      </c>
    </row>
    <row r="56" spans="2:9" ht="19" customHeight="1" x14ac:dyDescent="0.35">
      <c r="B56" s="29" t="s">
        <v>1202</v>
      </c>
      <c r="C56" s="7" t="s">
        <v>1177</v>
      </c>
      <c r="D56" s="7" t="s">
        <v>1150</v>
      </c>
      <c r="E56" s="29">
        <v>5000</v>
      </c>
      <c r="F56" s="7" t="s">
        <v>1131</v>
      </c>
      <c r="G56" s="23">
        <v>453788</v>
      </c>
      <c r="H56" s="7" t="s">
        <v>1151</v>
      </c>
      <c r="I56" s="7" t="s">
        <v>1152</v>
      </c>
    </row>
    <row r="57" spans="2:9" ht="19" customHeight="1" x14ac:dyDescent="0.35">
      <c r="B57" s="29" t="s">
        <v>1203</v>
      </c>
      <c r="C57" s="7" t="s">
        <v>1171</v>
      </c>
      <c r="D57" s="7" t="s">
        <v>1175</v>
      </c>
      <c r="E57" s="29">
        <v>5000</v>
      </c>
      <c r="F57" s="7" t="s">
        <v>1131</v>
      </c>
      <c r="G57" s="23">
        <v>452541</v>
      </c>
      <c r="H57" s="7" t="s">
        <v>1151</v>
      </c>
      <c r="I57" s="7" t="s">
        <v>1152</v>
      </c>
    </row>
    <row r="58" spans="2:9" ht="19" customHeight="1" x14ac:dyDescent="0.35">
      <c r="B58" s="29" t="s">
        <v>1204</v>
      </c>
      <c r="C58" s="7" t="s">
        <v>1171</v>
      </c>
      <c r="D58" s="7" t="s">
        <v>1205</v>
      </c>
      <c r="E58" s="29">
        <v>5000</v>
      </c>
      <c r="F58" s="7" t="s">
        <v>1131</v>
      </c>
      <c r="G58" s="23">
        <v>452298</v>
      </c>
      <c r="H58" s="7" t="s">
        <v>1151</v>
      </c>
      <c r="I58" s="7" t="s">
        <v>1152</v>
      </c>
    </row>
    <row r="59" spans="2:9" ht="19" customHeight="1" x14ac:dyDescent="0.35">
      <c r="B59" s="29" t="s">
        <v>1206</v>
      </c>
      <c r="C59" s="7" t="s">
        <v>1171</v>
      </c>
      <c r="D59" s="7" t="s">
        <v>1164</v>
      </c>
      <c r="E59" s="29">
        <v>5000</v>
      </c>
      <c r="F59" s="7" t="s">
        <v>1131</v>
      </c>
      <c r="G59" s="23">
        <v>452059</v>
      </c>
      <c r="H59" s="7" t="s">
        <v>1151</v>
      </c>
      <c r="I59" s="7" t="s">
        <v>1152</v>
      </c>
    </row>
    <row r="60" spans="2:9" ht="19" customHeight="1" x14ac:dyDescent="0.35">
      <c r="B60" s="29" t="s">
        <v>1207</v>
      </c>
      <c r="C60" s="7" t="s">
        <v>1149</v>
      </c>
      <c r="D60" s="7" t="s">
        <v>1155</v>
      </c>
      <c r="E60" s="29">
        <v>5000</v>
      </c>
      <c r="F60" s="7" t="s">
        <v>1131</v>
      </c>
      <c r="G60" s="23">
        <v>451243</v>
      </c>
      <c r="H60" s="7" t="s">
        <v>1151</v>
      </c>
      <c r="I60" s="7" t="s">
        <v>1152</v>
      </c>
    </row>
    <row r="61" spans="2:9" ht="19" customHeight="1" x14ac:dyDescent="0.35">
      <c r="B61" s="29" t="s">
        <v>1208</v>
      </c>
      <c r="C61" s="7" t="s">
        <v>1129</v>
      </c>
      <c r="D61" s="7" t="s">
        <v>1173</v>
      </c>
      <c r="E61" s="29">
        <v>5000</v>
      </c>
      <c r="F61" s="7" t="s">
        <v>1131</v>
      </c>
      <c r="G61" s="23">
        <v>448250</v>
      </c>
      <c r="H61" s="7" t="s">
        <v>1151</v>
      </c>
      <c r="I61" s="7" t="s">
        <v>1152</v>
      </c>
    </row>
    <row r="62" spans="2:9" ht="19" customHeight="1" x14ac:dyDescent="0.35">
      <c r="B62" s="29" t="s">
        <v>1209</v>
      </c>
      <c r="C62" s="7" t="s">
        <v>1135</v>
      </c>
      <c r="D62" s="7" t="s">
        <v>1173</v>
      </c>
      <c r="E62" s="29">
        <v>5000</v>
      </c>
      <c r="F62" s="7" t="s">
        <v>1131</v>
      </c>
      <c r="G62" s="23">
        <v>447359</v>
      </c>
      <c r="H62" s="7" t="s">
        <v>1151</v>
      </c>
      <c r="I62" s="7" t="s">
        <v>1152</v>
      </c>
    </row>
    <row r="63" spans="2:9" ht="19" customHeight="1" x14ac:dyDescent="0.35">
      <c r="B63" s="29" t="s">
        <v>1210</v>
      </c>
      <c r="C63" s="7" t="s">
        <v>1157</v>
      </c>
      <c r="D63" s="7" t="s">
        <v>1130</v>
      </c>
      <c r="E63" s="29">
        <v>5000</v>
      </c>
      <c r="F63" s="7" t="s">
        <v>1131</v>
      </c>
      <c r="G63" s="23">
        <v>445247</v>
      </c>
      <c r="H63" s="7" t="s">
        <v>1151</v>
      </c>
      <c r="I63" s="7" t="s">
        <v>1152</v>
      </c>
    </row>
    <row r="64" spans="2:9" ht="19" customHeight="1" x14ac:dyDescent="0.35">
      <c r="B64" s="29" t="s">
        <v>1211</v>
      </c>
      <c r="C64" s="7" t="s">
        <v>1135</v>
      </c>
      <c r="D64" s="7" t="s">
        <v>1205</v>
      </c>
      <c r="E64" s="29">
        <v>5000</v>
      </c>
      <c r="F64" s="7" t="s">
        <v>1131</v>
      </c>
      <c r="G64" s="23">
        <v>445010</v>
      </c>
      <c r="H64" s="7" t="s">
        <v>1151</v>
      </c>
      <c r="I64" s="7" t="s">
        <v>1152</v>
      </c>
    </row>
    <row r="65" spans="2:9" ht="19" customHeight="1" x14ac:dyDescent="0.35">
      <c r="B65" s="29" t="s">
        <v>1212</v>
      </c>
      <c r="C65" s="7" t="s">
        <v>1129</v>
      </c>
      <c r="D65" s="7" t="s">
        <v>1158</v>
      </c>
      <c r="E65" s="29">
        <v>5000</v>
      </c>
      <c r="F65" s="7" t="s">
        <v>1131</v>
      </c>
      <c r="G65" s="23">
        <v>444725</v>
      </c>
      <c r="H65" s="7" t="s">
        <v>1151</v>
      </c>
      <c r="I65" s="7" t="s">
        <v>1152</v>
      </c>
    </row>
    <row r="66" spans="2:9" ht="19" customHeight="1" x14ac:dyDescent="0.35">
      <c r="B66" s="29" t="s">
        <v>1213</v>
      </c>
      <c r="C66" s="7" t="s">
        <v>1157</v>
      </c>
      <c r="D66" s="7" t="s">
        <v>1205</v>
      </c>
      <c r="E66" s="29">
        <v>5000</v>
      </c>
      <c r="F66" s="7" t="s">
        <v>1131</v>
      </c>
      <c r="G66" s="23">
        <v>444628</v>
      </c>
      <c r="H66" s="7" t="s">
        <v>1151</v>
      </c>
      <c r="I66" s="7" t="s">
        <v>1152</v>
      </c>
    </row>
    <row r="67" spans="2:9" ht="19" customHeight="1" x14ac:dyDescent="0.35">
      <c r="B67" s="29" t="s">
        <v>1214</v>
      </c>
      <c r="C67" s="7" t="s">
        <v>1135</v>
      </c>
      <c r="D67" s="7" t="s">
        <v>1158</v>
      </c>
      <c r="E67" s="29">
        <v>5000</v>
      </c>
      <c r="F67" s="7" t="s">
        <v>1131</v>
      </c>
      <c r="G67" s="23">
        <v>444392</v>
      </c>
      <c r="H67" s="7" t="s">
        <v>1151</v>
      </c>
      <c r="I67" s="7" t="s">
        <v>1152</v>
      </c>
    </row>
    <row r="68" spans="2:9" ht="19" customHeight="1" x14ac:dyDescent="0.35">
      <c r="B68" s="29" t="s">
        <v>1215</v>
      </c>
      <c r="C68" s="7" t="s">
        <v>1145</v>
      </c>
      <c r="D68" s="7" t="s">
        <v>1205</v>
      </c>
      <c r="E68" s="29">
        <v>5000</v>
      </c>
      <c r="F68" s="7" t="s">
        <v>1131</v>
      </c>
      <c r="G68" s="23">
        <v>444373</v>
      </c>
      <c r="H68" s="7" t="s">
        <v>1151</v>
      </c>
      <c r="I68" s="7" t="s">
        <v>1152</v>
      </c>
    </row>
    <row r="69" spans="2:9" ht="19" customHeight="1" x14ac:dyDescent="0.35">
      <c r="B69" s="29" t="s">
        <v>1216</v>
      </c>
      <c r="C69" s="7" t="s">
        <v>1135</v>
      </c>
      <c r="D69" s="7" t="s">
        <v>1175</v>
      </c>
      <c r="E69" s="29">
        <v>5000</v>
      </c>
      <c r="F69" s="7" t="s">
        <v>1131</v>
      </c>
      <c r="G69" s="23">
        <v>443934</v>
      </c>
      <c r="H69" s="7" t="s">
        <v>1151</v>
      </c>
      <c r="I69" s="7" t="s">
        <v>1152</v>
      </c>
    </row>
    <row r="70" spans="2:9" ht="19" customHeight="1" x14ac:dyDescent="0.35">
      <c r="B70" s="29" t="s">
        <v>1217</v>
      </c>
      <c r="C70" s="7" t="s">
        <v>1135</v>
      </c>
      <c r="D70" s="7" t="s">
        <v>1169</v>
      </c>
      <c r="E70" s="29">
        <v>5000</v>
      </c>
      <c r="F70" s="7" t="s">
        <v>1131</v>
      </c>
      <c r="G70" s="23">
        <v>443826</v>
      </c>
      <c r="H70" s="7" t="s">
        <v>1151</v>
      </c>
      <c r="I70" s="7" t="s">
        <v>1152</v>
      </c>
    </row>
    <row r="71" spans="2:9" ht="19" customHeight="1" x14ac:dyDescent="0.35">
      <c r="B71" s="29" t="s">
        <v>1218</v>
      </c>
      <c r="C71" s="7" t="s">
        <v>1177</v>
      </c>
      <c r="D71" s="7" t="s">
        <v>1175</v>
      </c>
      <c r="E71" s="29">
        <v>5000</v>
      </c>
      <c r="F71" s="7" t="s">
        <v>1131</v>
      </c>
      <c r="G71" s="23">
        <v>440821</v>
      </c>
      <c r="H71" s="7" t="s">
        <v>1151</v>
      </c>
      <c r="I71" s="7" t="s">
        <v>1152</v>
      </c>
    </row>
    <row r="72" spans="2:9" ht="19" customHeight="1" x14ac:dyDescent="0.35">
      <c r="B72" s="29" t="s">
        <v>1219</v>
      </c>
      <c r="C72" s="7" t="s">
        <v>1137</v>
      </c>
      <c r="D72" s="7" t="s">
        <v>1138</v>
      </c>
      <c r="E72" s="29">
        <v>5000</v>
      </c>
      <c r="F72" s="7" t="s">
        <v>1131</v>
      </c>
      <c r="G72" s="23">
        <v>440708</v>
      </c>
      <c r="H72" s="7" t="s">
        <v>1151</v>
      </c>
      <c r="I72" s="7" t="s">
        <v>1152</v>
      </c>
    </row>
    <row r="73" spans="2:9" ht="19" customHeight="1" x14ac:dyDescent="0.35">
      <c r="B73" s="29" t="s">
        <v>1220</v>
      </c>
      <c r="C73" s="7" t="s">
        <v>1149</v>
      </c>
      <c r="D73" s="7" t="s">
        <v>1205</v>
      </c>
      <c r="E73" s="29">
        <v>5000</v>
      </c>
      <c r="F73" s="7" t="s">
        <v>1131</v>
      </c>
      <c r="G73" s="23">
        <v>440365</v>
      </c>
      <c r="H73" s="7" t="s">
        <v>1151</v>
      </c>
      <c r="I73" s="7" t="s">
        <v>1152</v>
      </c>
    </row>
    <row r="74" spans="2:9" ht="19" customHeight="1" x14ac:dyDescent="0.35">
      <c r="B74" s="29" t="s">
        <v>1221</v>
      </c>
      <c r="C74" s="7" t="s">
        <v>1145</v>
      </c>
      <c r="D74" s="7" t="s">
        <v>1169</v>
      </c>
      <c r="E74" s="29">
        <v>5000</v>
      </c>
      <c r="F74" s="7" t="s">
        <v>1131</v>
      </c>
      <c r="G74" s="23">
        <v>440016</v>
      </c>
      <c r="H74" s="7" t="s">
        <v>1151</v>
      </c>
      <c r="I74" s="7" t="s">
        <v>1152</v>
      </c>
    </row>
    <row r="75" spans="2:9" ht="19" customHeight="1" x14ac:dyDescent="0.35">
      <c r="B75" s="29" t="s">
        <v>1222</v>
      </c>
      <c r="C75" s="7" t="s">
        <v>1177</v>
      </c>
      <c r="D75" s="7" t="s">
        <v>1169</v>
      </c>
      <c r="E75" s="29">
        <v>5000</v>
      </c>
      <c r="F75" s="7" t="s">
        <v>1131</v>
      </c>
      <c r="G75" s="23">
        <v>438414</v>
      </c>
      <c r="H75" s="7" t="s">
        <v>1151</v>
      </c>
      <c r="I75" s="7" t="s">
        <v>1152</v>
      </c>
    </row>
    <row r="76" spans="2:9" ht="19" customHeight="1" x14ac:dyDescent="0.35">
      <c r="B76" s="29" t="s">
        <v>1223</v>
      </c>
      <c r="C76" s="7" t="s">
        <v>1171</v>
      </c>
      <c r="D76" s="7" t="s">
        <v>1173</v>
      </c>
      <c r="E76" s="29">
        <v>5000</v>
      </c>
      <c r="F76" s="7" t="s">
        <v>1131</v>
      </c>
      <c r="G76" s="23">
        <v>438180</v>
      </c>
      <c r="H76" s="7" t="s">
        <v>1151</v>
      </c>
      <c r="I76" s="7" t="s">
        <v>1152</v>
      </c>
    </row>
    <row r="77" spans="2:9" ht="19" customHeight="1" x14ac:dyDescent="0.35">
      <c r="B77" s="29" t="s">
        <v>1224</v>
      </c>
      <c r="C77" s="7" t="s">
        <v>1149</v>
      </c>
      <c r="D77" s="7" t="s">
        <v>1158</v>
      </c>
      <c r="E77" s="29">
        <v>5000</v>
      </c>
      <c r="F77" s="7" t="s">
        <v>1131</v>
      </c>
      <c r="G77" s="23">
        <v>437310</v>
      </c>
      <c r="H77" s="7" t="s">
        <v>1151</v>
      </c>
      <c r="I77" s="7" t="s">
        <v>1152</v>
      </c>
    </row>
    <row r="78" spans="2:9" ht="19" customHeight="1" x14ac:dyDescent="0.35">
      <c r="B78" s="29" t="s">
        <v>1225</v>
      </c>
      <c r="C78" s="7" t="s">
        <v>1149</v>
      </c>
      <c r="D78" s="7" t="s">
        <v>1169</v>
      </c>
      <c r="E78" s="29">
        <v>5000</v>
      </c>
      <c r="F78" s="7" t="s">
        <v>1131</v>
      </c>
      <c r="G78" s="23">
        <v>436973</v>
      </c>
      <c r="H78" s="7" t="s">
        <v>1151</v>
      </c>
      <c r="I78" s="7" t="s">
        <v>1152</v>
      </c>
    </row>
    <row r="79" spans="2:9" ht="19" customHeight="1" x14ac:dyDescent="0.35">
      <c r="B79" s="29" t="s">
        <v>1226</v>
      </c>
      <c r="C79" s="7" t="s">
        <v>1145</v>
      </c>
      <c r="D79" s="7" t="s">
        <v>1164</v>
      </c>
      <c r="E79" s="29">
        <v>5000</v>
      </c>
      <c r="F79" s="7" t="s">
        <v>1131</v>
      </c>
      <c r="G79" s="23">
        <v>435957</v>
      </c>
      <c r="H79" s="7" t="s">
        <v>1151</v>
      </c>
      <c r="I79" s="7" t="s">
        <v>1152</v>
      </c>
    </row>
    <row r="80" spans="2:9" ht="19" customHeight="1" x14ac:dyDescent="0.35">
      <c r="B80" s="29" t="s">
        <v>1227</v>
      </c>
      <c r="C80" s="7" t="s">
        <v>1137</v>
      </c>
      <c r="D80" s="7" t="s">
        <v>1205</v>
      </c>
      <c r="E80" s="29">
        <v>5000</v>
      </c>
      <c r="F80" s="7" t="s">
        <v>1131</v>
      </c>
      <c r="G80" s="23">
        <v>435229</v>
      </c>
      <c r="H80" s="7" t="s">
        <v>1151</v>
      </c>
      <c r="I80" s="7" t="s">
        <v>1152</v>
      </c>
    </row>
    <row r="81" spans="2:9" ht="19" customHeight="1" x14ac:dyDescent="0.35">
      <c r="B81" s="29" t="s">
        <v>1228</v>
      </c>
      <c r="C81" s="7" t="s">
        <v>1177</v>
      </c>
      <c r="D81" s="7" t="s">
        <v>1205</v>
      </c>
      <c r="E81" s="29">
        <v>5000</v>
      </c>
      <c r="F81" s="7" t="s">
        <v>1131</v>
      </c>
      <c r="G81" s="23">
        <v>435161</v>
      </c>
      <c r="H81" s="7" t="s">
        <v>1151</v>
      </c>
      <c r="I81" s="7" t="s">
        <v>1152</v>
      </c>
    </row>
    <row r="82" spans="2:9" ht="19" customHeight="1" x14ac:dyDescent="0.35">
      <c r="B82" s="29" t="s">
        <v>1229</v>
      </c>
      <c r="C82" s="7" t="s">
        <v>1129</v>
      </c>
      <c r="D82" s="7" t="s">
        <v>1169</v>
      </c>
      <c r="E82" s="29">
        <v>5000</v>
      </c>
      <c r="F82" s="7" t="s">
        <v>1131</v>
      </c>
      <c r="G82" s="23">
        <v>434652</v>
      </c>
      <c r="H82" s="7" t="s">
        <v>1151</v>
      </c>
      <c r="I82" s="7" t="s">
        <v>1152</v>
      </c>
    </row>
    <row r="83" spans="2:9" ht="19" customHeight="1" x14ac:dyDescent="0.35">
      <c r="B83" s="29" t="s">
        <v>1230</v>
      </c>
      <c r="C83" s="7" t="s">
        <v>1129</v>
      </c>
      <c r="D83" s="7" t="s">
        <v>1130</v>
      </c>
      <c r="E83" s="29">
        <v>5000</v>
      </c>
      <c r="F83" s="7" t="s">
        <v>1131</v>
      </c>
      <c r="G83" s="23">
        <v>434643</v>
      </c>
      <c r="H83" s="7" t="s">
        <v>1151</v>
      </c>
      <c r="I83" s="7" t="s">
        <v>1152</v>
      </c>
    </row>
    <row r="84" spans="2:9" ht="19" customHeight="1" x14ac:dyDescent="0.35">
      <c r="B84" s="29" t="s">
        <v>1231</v>
      </c>
      <c r="C84" s="7" t="s">
        <v>1177</v>
      </c>
      <c r="D84" s="7" t="s">
        <v>1164</v>
      </c>
      <c r="E84" s="29">
        <v>5000</v>
      </c>
      <c r="F84" s="7" t="s">
        <v>1131</v>
      </c>
      <c r="G84" s="23">
        <v>434535</v>
      </c>
      <c r="H84" s="7" t="s">
        <v>1151</v>
      </c>
      <c r="I84" s="7" t="s">
        <v>1152</v>
      </c>
    </row>
    <row r="85" spans="2:9" ht="19" customHeight="1" x14ac:dyDescent="0.35">
      <c r="B85" s="29" t="s">
        <v>1232</v>
      </c>
      <c r="C85" s="7" t="s">
        <v>1129</v>
      </c>
      <c r="D85" s="7" t="s">
        <v>1175</v>
      </c>
      <c r="E85" s="29">
        <v>5000</v>
      </c>
      <c r="F85" s="7" t="s">
        <v>1131</v>
      </c>
      <c r="G85" s="23">
        <v>434417</v>
      </c>
      <c r="H85" s="7" t="s">
        <v>1151</v>
      </c>
      <c r="I85" s="7" t="s">
        <v>1152</v>
      </c>
    </row>
    <row r="86" spans="2:9" ht="19" customHeight="1" x14ac:dyDescent="0.35">
      <c r="B86" s="29" t="s">
        <v>1233</v>
      </c>
      <c r="C86" s="7" t="s">
        <v>1177</v>
      </c>
      <c r="D86" s="7" t="s">
        <v>1158</v>
      </c>
      <c r="E86" s="29">
        <v>5000</v>
      </c>
      <c r="F86" s="7" t="s">
        <v>1131</v>
      </c>
      <c r="G86" s="23">
        <v>433796</v>
      </c>
      <c r="H86" s="7" t="s">
        <v>1151</v>
      </c>
      <c r="I86" s="7" t="s">
        <v>1152</v>
      </c>
    </row>
    <row r="87" spans="2:9" ht="19" customHeight="1" x14ac:dyDescent="0.35">
      <c r="B87" s="29" t="s">
        <v>1234</v>
      </c>
      <c r="C87" s="7" t="s">
        <v>1137</v>
      </c>
      <c r="D87" s="7" t="s">
        <v>1158</v>
      </c>
      <c r="E87" s="29">
        <v>5000</v>
      </c>
      <c r="F87" s="7" t="s">
        <v>1131</v>
      </c>
      <c r="G87" s="23">
        <v>433003</v>
      </c>
      <c r="H87" s="7" t="s">
        <v>1151</v>
      </c>
      <c r="I87" s="7" t="s">
        <v>1152</v>
      </c>
    </row>
    <row r="88" spans="2:9" ht="19" customHeight="1" x14ac:dyDescent="0.35">
      <c r="B88" s="29" t="s">
        <v>1235</v>
      </c>
      <c r="C88" s="7" t="s">
        <v>1171</v>
      </c>
      <c r="D88" s="7" t="s">
        <v>1130</v>
      </c>
      <c r="E88" s="29">
        <v>5000</v>
      </c>
      <c r="F88" s="7" t="s">
        <v>1131</v>
      </c>
      <c r="G88" s="23">
        <v>432847</v>
      </c>
      <c r="H88" s="7" t="s">
        <v>1151</v>
      </c>
      <c r="I88" s="7" t="s">
        <v>1152</v>
      </c>
    </row>
    <row r="89" spans="2:9" ht="19" customHeight="1" x14ac:dyDescent="0.35">
      <c r="B89" s="29" t="s">
        <v>1236</v>
      </c>
      <c r="C89" s="7" t="s">
        <v>1157</v>
      </c>
      <c r="D89" s="7" t="s">
        <v>1175</v>
      </c>
      <c r="E89" s="29">
        <v>5000</v>
      </c>
      <c r="F89" s="7" t="s">
        <v>1131</v>
      </c>
      <c r="G89" s="23">
        <v>431952</v>
      </c>
      <c r="H89" s="7" t="s">
        <v>1151</v>
      </c>
      <c r="I89" s="7" t="s">
        <v>1152</v>
      </c>
    </row>
    <row r="90" spans="2:9" ht="19" customHeight="1" x14ac:dyDescent="0.35">
      <c r="B90" s="29" t="s">
        <v>1237</v>
      </c>
      <c r="C90" s="7" t="s">
        <v>1157</v>
      </c>
      <c r="D90" s="7" t="s">
        <v>1173</v>
      </c>
      <c r="E90" s="29">
        <v>5000</v>
      </c>
      <c r="F90" s="7" t="s">
        <v>1131</v>
      </c>
      <c r="G90" s="23">
        <v>431739</v>
      </c>
      <c r="H90" s="7" t="s">
        <v>1151</v>
      </c>
      <c r="I90" s="7" t="s">
        <v>1152</v>
      </c>
    </row>
    <row r="91" spans="2:9" ht="19" customHeight="1" x14ac:dyDescent="0.35">
      <c r="B91" s="29" t="s">
        <v>1238</v>
      </c>
      <c r="C91" s="7" t="s">
        <v>1129</v>
      </c>
      <c r="D91" s="7" t="s">
        <v>1205</v>
      </c>
      <c r="E91" s="29">
        <v>5000</v>
      </c>
      <c r="F91" s="7" t="s">
        <v>1131</v>
      </c>
      <c r="G91" s="23">
        <v>431378</v>
      </c>
      <c r="H91" s="7" t="s">
        <v>1151</v>
      </c>
      <c r="I91" s="7" t="s">
        <v>1152</v>
      </c>
    </row>
    <row r="92" spans="2:9" ht="19" customHeight="1" x14ac:dyDescent="0.35">
      <c r="B92" s="29" t="s">
        <v>1239</v>
      </c>
      <c r="C92" s="7" t="s">
        <v>1149</v>
      </c>
      <c r="D92" s="7" t="s">
        <v>1138</v>
      </c>
      <c r="E92" s="29">
        <v>5000</v>
      </c>
      <c r="F92" s="7" t="s">
        <v>1131</v>
      </c>
      <c r="G92" s="23">
        <v>431276</v>
      </c>
      <c r="H92" s="7" t="s">
        <v>1151</v>
      </c>
      <c r="I92" s="7" t="s">
        <v>1152</v>
      </c>
    </row>
    <row r="93" spans="2:9" ht="19" customHeight="1" x14ac:dyDescent="0.35">
      <c r="B93" s="29" t="s">
        <v>1240</v>
      </c>
      <c r="C93" s="7" t="s">
        <v>1145</v>
      </c>
      <c r="D93" s="7" t="s">
        <v>1155</v>
      </c>
      <c r="E93" s="29">
        <v>5000</v>
      </c>
      <c r="F93" s="7" t="s">
        <v>1131</v>
      </c>
      <c r="G93" s="23">
        <v>430752</v>
      </c>
      <c r="H93" s="7" t="s">
        <v>1151</v>
      </c>
      <c r="I93" s="7" t="s">
        <v>1152</v>
      </c>
    </row>
    <row r="94" spans="2:9" ht="19" customHeight="1" x14ac:dyDescent="0.35">
      <c r="B94" s="29" t="s">
        <v>1241</v>
      </c>
      <c r="C94" s="7" t="s">
        <v>1171</v>
      </c>
      <c r="D94" s="7" t="s">
        <v>1158</v>
      </c>
      <c r="E94" s="29">
        <v>5000</v>
      </c>
      <c r="F94" s="7" t="s">
        <v>1131</v>
      </c>
      <c r="G94" s="23">
        <v>430425</v>
      </c>
      <c r="H94" s="7" t="s">
        <v>1151</v>
      </c>
      <c r="I94" s="7" t="s">
        <v>1152</v>
      </c>
    </row>
    <row r="95" spans="2:9" ht="19" customHeight="1" x14ac:dyDescent="0.35">
      <c r="B95" s="29" t="s">
        <v>1242</v>
      </c>
      <c r="C95" s="7" t="s">
        <v>1149</v>
      </c>
      <c r="D95" s="7" t="s">
        <v>1243</v>
      </c>
      <c r="E95" s="29">
        <v>2800</v>
      </c>
      <c r="F95" s="7" t="s">
        <v>493</v>
      </c>
      <c r="G95" s="23">
        <v>-150000</v>
      </c>
      <c r="H95" s="7" t="s">
        <v>1244</v>
      </c>
      <c r="I95" s="7" t="s">
        <v>1245</v>
      </c>
    </row>
    <row r="96" spans="2:9" ht="19" customHeight="1" x14ac:dyDescent="0.35">
      <c r="B96" s="29" t="s">
        <v>1246</v>
      </c>
      <c r="C96" s="7" t="s">
        <v>1149</v>
      </c>
      <c r="D96" s="7" t="s">
        <v>1247</v>
      </c>
      <c r="E96" s="29">
        <v>2800</v>
      </c>
      <c r="F96" s="7" t="s">
        <v>493</v>
      </c>
      <c r="G96" s="23">
        <v>-150000</v>
      </c>
      <c r="H96" s="7" t="s">
        <v>1244</v>
      </c>
      <c r="I96" s="7" t="s">
        <v>1245</v>
      </c>
    </row>
    <row r="97" spans="2:9" ht="19" customHeight="1" x14ac:dyDescent="0.35">
      <c r="B97" s="29" t="s">
        <v>1248</v>
      </c>
      <c r="C97" s="7" t="s">
        <v>1149</v>
      </c>
      <c r="D97" s="7" t="s">
        <v>1249</v>
      </c>
      <c r="E97" s="29">
        <v>7790</v>
      </c>
      <c r="F97" s="7" t="s">
        <v>493</v>
      </c>
      <c r="G97" s="23">
        <v>150000</v>
      </c>
      <c r="H97" s="7" t="s">
        <v>1250</v>
      </c>
      <c r="I97" s="7" t="s">
        <v>1251</v>
      </c>
    </row>
    <row r="98" spans="2:9" ht="19" customHeight="1" x14ac:dyDescent="0.35">
      <c r="B98" s="29" t="s">
        <v>1252</v>
      </c>
      <c r="C98" s="7" t="s">
        <v>1149</v>
      </c>
      <c r="D98" s="7" t="s">
        <v>1249</v>
      </c>
      <c r="E98" s="29">
        <v>2800</v>
      </c>
      <c r="F98" s="7" t="s">
        <v>493</v>
      </c>
      <c r="G98" s="23">
        <v>-150000</v>
      </c>
      <c r="H98" s="7" t="s">
        <v>1244</v>
      </c>
      <c r="I98" s="7" t="s">
        <v>1245</v>
      </c>
    </row>
    <row r="99" spans="2:9" ht="19" customHeight="1" x14ac:dyDescent="0.35">
      <c r="B99" s="29" t="s">
        <v>1253</v>
      </c>
      <c r="C99" s="7" t="s">
        <v>1149</v>
      </c>
      <c r="D99" s="7" t="s">
        <v>1243</v>
      </c>
      <c r="E99" s="29">
        <v>7790</v>
      </c>
      <c r="F99" s="7" t="s">
        <v>493</v>
      </c>
      <c r="G99" s="23">
        <v>150000</v>
      </c>
      <c r="H99" s="7" t="s">
        <v>1250</v>
      </c>
      <c r="I99" s="7" t="s">
        <v>1251</v>
      </c>
    </row>
    <row r="100" spans="2:9" ht="19" customHeight="1" x14ac:dyDescent="0.35">
      <c r="B100" s="29" t="s">
        <v>1254</v>
      </c>
      <c r="C100" s="7" t="s">
        <v>1149</v>
      </c>
      <c r="D100" s="7" t="s">
        <v>1255</v>
      </c>
      <c r="E100" s="29">
        <v>7790</v>
      </c>
      <c r="F100" s="7" t="s">
        <v>493</v>
      </c>
      <c r="G100" s="23">
        <v>150000</v>
      </c>
      <c r="H100" s="7" t="s">
        <v>1250</v>
      </c>
      <c r="I100" s="7" t="s">
        <v>1251</v>
      </c>
    </row>
    <row r="101" spans="2:9" ht="19" customHeight="1" x14ac:dyDescent="0.35">
      <c r="B101" s="29" t="s">
        <v>1256</v>
      </c>
      <c r="C101" s="7" t="s">
        <v>1149</v>
      </c>
      <c r="D101" s="7" t="s">
        <v>1257</v>
      </c>
      <c r="E101" s="29">
        <v>7790</v>
      </c>
      <c r="F101" s="7" t="s">
        <v>493</v>
      </c>
      <c r="G101" s="23">
        <v>150000</v>
      </c>
      <c r="H101" s="7" t="s">
        <v>1250</v>
      </c>
      <c r="I101" s="7" t="s">
        <v>1251</v>
      </c>
    </row>
    <row r="102" spans="2:9" ht="19" customHeight="1" x14ac:dyDescent="0.35">
      <c r="B102" s="29" t="s">
        <v>1258</v>
      </c>
      <c r="C102" s="7" t="s">
        <v>1149</v>
      </c>
      <c r="D102" s="7" t="s">
        <v>1247</v>
      </c>
      <c r="E102" s="29">
        <v>7790</v>
      </c>
      <c r="F102" s="7" t="s">
        <v>493</v>
      </c>
      <c r="G102" s="23">
        <v>150000</v>
      </c>
      <c r="H102" s="7" t="s">
        <v>1250</v>
      </c>
      <c r="I102" s="7" t="s">
        <v>1251</v>
      </c>
    </row>
    <row r="103" spans="2:9" ht="19" customHeight="1" x14ac:dyDescent="0.35">
      <c r="B103" s="29" t="s">
        <v>1259</v>
      </c>
      <c r="C103" s="7" t="s">
        <v>1149</v>
      </c>
      <c r="D103" s="7" t="s">
        <v>1260</v>
      </c>
      <c r="E103" s="29">
        <v>2800</v>
      </c>
      <c r="F103" s="7" t="s">
        <v>493</v>
      </c>
      <c r="G103" s="23">
        <v>-150000</v>
      </c>
      <c r="H103" s="7" t="s">
        <v>1244</v>
      </c>
      <c r="I103" s="7" t="s">
        <v>1245</v>
      </c>
    </row>
    <row r="104" spans="2:9" ht="19" customHeight="1" x14ac:dyDescent="0.35">
      <c r="B104" s="29" t="s">
        <v>1261</v>
      </c>
      <c r="C104" s="7" t="s">
        <v>1149</v>
      </c>
      <c r="D104" s="7" t="s">
        <v>1257</v>
      </c>
      <c r="E104" s="29">
        <v>2800</v>
      </c>
      <c r="F104" s="7" t="s">
        <v>493</v>
      </c>
      <c r="G104" s="23">
        <v>-150000</v>
      </c>
      <c r="H104" s="7" t="s">
        <v>1244</v>
      </c>
      <c r="I104" s="7" t="s">
        <v>1245</v>
      </c>
    </row>
    <row r="105" spans="2:9" ht="19" customHeight="1" x14ac:dyDescent="0.35">
      <c r="B105" s="29" t="s">
        <v>1262</v>
      </c>
      <c r="C105" s="7" t="s">
        <v>1149</v>
      </c>
      <c r="D105" s="7" t="s">
        <v>1255</v>
      </c>
      <c r="E105" s="29">
        <v>2800</v>
      </c>
      <c r="F105" s="7" t="s">
        <v>493</v>
      </c>
      <c r="G105" s="23">
        <v>-150000</v>
      </c>
      <c r="H105" s="7" t="s">
        <v>1244</v>
      </c>
      <c r="I105" s="7" t="s">
        <v>1245</v>
      </c>
    </row>
    <row r="106" spans="2:9" ht="19" customHeight="1" x14ac:dyDescent="0.35">
      <c r="B106" s="29" t="s">
        <v>1263</v>
      </c>
      <c r="C106" s="7" t="s">
        <v>1149</v>
      </c>
      <c r="D106" s="7" t="s">
        <v>1260</v>
      </c>
      <c r="E106" s="29">
        <v>7790</v>
      </c>
      <c r="F106" s="7" t="s">
        <v>493</v>
      </c>
      <c r="G106" s="23">
        <v>150000</v>
      </c>
      <c r="H106" s="7" t="s">
        <v>1250</v>
      </c>
      <c r="I106" s="7" t="s">
        <v>1251</v>
      </c>
    </row>
    <row r="107" spans="2:9" ht="19" customHeight="1" x14ac:dyDescent="0.35">
      <c r="B107" s="29" t="s">
        <v>1264</v>
      </c>
      <c r="C107" s="7" t="s">
        <v>1157</v>
      </c>
      <c r="D107" s="7" t="s">
        <v>1265</v>
      </c>
      <c r="E107" s="29">
        <v>2180</v>
      </c>
      <c r="F107" s="7" t="s">
        <v>485</v>
      </c>
      <c r="G107" s="23">
        <v>144453</v>
      </c>
      <c r="H107" s="7" t="s">
        <v>1266</v>
      </c>
      <c r="I107" s="7" t="s">
        <v>1267</v>
      </c>
    </row>
    <row r="108" spans="2:9" ht="19" customHeight="1" x14ac:dyDescent="0.35">
      <c r="B108" s="29" t="s">
        <v>1268</v>
      </c>
      <c r="C108" s="7" t="s">
        <v>1157</v>
      </c>
      <c r="D108" s="7" t="s">
        <v>1265</v>
      </c>
      <c r="E108" s="29">
        <v>3400</v>
      </c>
      <c r="F108" s="7" t="s">
        <v>485</v>
      </c>
      <c r="G108" s="23">
        <v>-144453</v>
      </c>
      <c r="H108" s="7" t="s">
        <v>1269</v>
      </c>
      <c r="I108" s="7" t="s">
        <v>1270</v>
      </c>
    </row>
    <row r="109" spans="2:9" ht="19" customHeight="1" x14ac:dyDescent="0.35">
      <c r="B109" s="29" t="s">
        <v>1271</v>
      </c>
      <c r="C109" s="7" t="s">
        <v>1135</v>
      </c>
      <c r="D109" s="7" t="s">
        <v>1272</v>
      </c>
      <c r="E109" s="29">
        <v>2180</v>
      </c>
      <c r="F109" s="7" t="s">
        <v>480</v>
      </c>
      <c r="G109" s="23">
        <v>141500</v>
      </c>
      <c r="H109" s="7" t="s">
        <v>1266</v>
      </c>
      <c r="I109" s="7" t="s">
        <v>1267</v>
      </c>
    </row>
  </sheetData>
  <mergeCells count="14">
    <mergeCell ref="B1:I1"/>
    <mergeCell ref="B4:C4"/>
    <mergeCell ref="B2:J2"/>
    <mergeCell ref="D6:E6"/>
    <mergeCell ref="B6:C6"/>
    <mergeCell ref="F4:G4"/>
    <mergeCell ref="H6:I6"/>
    <mergeCell ref="B5:C5"/>
    <mergeCell ref="F5:G5"/>
    <mergeCell ref="D5:E5"/>
    <mergeCell ref="F6:G6"/>
    <mergeCell ref="D4:E4"/>
    <mergeCell ref="H5:I5"/>
    <mergeCell ref="H4:I4"/>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E7490"/>
  </sheetPr>
  <dimension ref="B1:J15"/>
  <sheetViews>
    <sheetView zoomScale="85" workbookViewId="0"/>
  </sheetViews>
  <sheetFormatPr defaultRowHeight="14.5" x14ac:dyDescent="0.35"/>
  <cols>
    <col min="1" max="1" width="11" customWidth="1"/>
    <col min="2" max="2" width="115" customWidth="1"/>
    <col min="3" max="3" width="24" customWidth="1"/>
    <col min="4" max="4" width="27" customWidth="1"/>
    <col min="5" max="5" width="18" customWidth="1"/>
    <col min="6" max="6" width="27" customWidth="1"/>
    <col min="7" max="7" width="22" customWidth="1"/>
  </cols>
  <sheetData>
    <row r="1" spans="2:10" ht="24" customHeight="1" x14ac:dyDescent="0.35">
      <c r="B1" s="57" t="s">
        <v>1273</v>
      </c>
      <c r="C1" s="55"/>
      <c r="D1" s="55"/>
      <c r="E1" s="55"/>
      <c r="F1" s="55"/>
      <c r="G1" s="55"/>
      <c r="H1" s="55"/>
      <c r="I1" s="55"/>
      <c r="J1" s="9" t="str">
        <f>HYPERLINK("#'00_Forside_Navigasjon'!A1", "← Hovedmeny")</f>
        <v>← Hovedmeny</v>
      </c>
    </row>
    <row r="2" spans="2:10" ht="18" customHeight="1" x14ac:dyDescent="0.35">
      <c r="B2" s="58" t="s">
        <v>1274</v>
      </c>
      <c r="C2" s="55"/>
      <c r="D2" s="55"/>
      <c r="E2" s="55"/>
      <c r="F2" s="55"/>
      <c r="G2" s="55"/>
      <c r="H2" s="55"/>
      <c r="I2" s="55"/>
      <c r="J2" s="55"/>
    </row>
    <row r="4" spans="2:10" ht="16" customHeight="1" x14ac:dyDescent="0.35">
      <c r="B4" s="51" t="s">
        <v>345</v>
      </c>
      <c r="C4" s="52"/>
      <c r="D4" s="51" t="s">
        <v>1275</v>
      </c>
      <c r="E4" s="52"/>
      <c r="F4" s="51" t="s">
        <v>1276</v>
      </c>
      <c r="G4" s="52"/>
      <c r="H4" s="51" t="s">
        <v>1277</v>
      </c>
      <c r="I4" s="52"/>
    </row>
    <row r="5" spans="2:10" ht="24" customHeight="1" x14ac:dyDescent="0.35">
      <c r="B5" s="61">
        <v>1285.93</v>
      </c>
      <c r="C5" s="47"/>
      <c r="D5" s="61">
        <v>661.77</v>
      </c>
      <c r="E5" s="47"/>
      <c r="F5" s="61">
        <v>624.16</v>
      </c>
      <c r="G5" s="47"/>
      <c r="H5" s="50">
        <v>1482268875.9000001</v>
      </c>
      <c r="I5" s="47"/>
    </row>
    <row r="6" spans="2:10" ht="16" customHeight="1" x14ac:dyDescent="0.35">
      <c r="B6" s="48" t="s">
        <v>1278</v>
      </c>
      <c r="C6" s="49"/>
      <c r="D6" s="48" t="s">
        <v>1279</v>
      </c>
      <c r="E6" s="49"/>
      <c r="F6" s="48" t="s">
        <v>1280</v>
      </c>
      <c r="G6" s="49"/>
      <c r="H6" s="48" t="s">
        <v>1281</v>
      </c>
      <c r="I6" s="49"/>
    </row>
    <row r="8" spans="2:10" ht="16.5" x14ac:dyDescent="0.45">
      <c r="B8" s="1" t="s">
        <v>1282</v>
      </c>
    </row>
    <row r="9" spans="2:10" ht="20" customHeight="1" x14ac:dyDescent="0.35">
      <c r="B9" s="2" t="s">
        <v>1283</v>
      </c>
      <c r="C9" s="2" t="s">
        <v>124</v>
      </c>
      <c r="D9" s="10" t="s">
        <v>1284</v>
      </c>
      <c r="E9" s="10" t="s">
        <v>1285</v>
      </c>
      <c r="F9" s="10" t="s">
        <v>876</v>
      </c>
      <c r="G9" s="10" t="s">
        <v>1286</v>
      </c>
    </row>
    <row r="10" spans="2:10" ht="19" customHeight="1" x14ac:dyDescent="0.35">
      <c r="B10" s="6" t="s">
        <v>1287</v>
      </c>
      <c r="C10" s="7" t="s">
        <v>1288</v>
      </c>
      <c r="D10" s="36">
        <v>2120</v>
      </c>
      <c r="E10" s="36">
        <v>2040</v>
      </c>
      <c r="F10" s="26">
        <v>0.96230000000000004</v>
      </c>
      <c r="G10" s="26">
        <v>0.1377499072462299</v>
      </c>
    </row>
    <row r="11" spans="2:10" ht="19" customHeight="1" x14ac:dyDescent="0.35">
      <c r="B11" s="6" t="s">
        <v>1289</v>
      </c>
      <c r="C11" s="7" t="s">
        <v>1288</v>
      </c>
      <c r="D11" s="36">
        <v>1440</v>
      </c>
      <c r="E11" s="36">
        <v>1440</v>
      </c>
      <c r="F11" s="26">
        <v>1</v>
      </c>
      <c r="G11" s="26">
        <v>9.3565974733288246E-2</v>
      </c>
    </row>
    <row r="12" spans="2:10" ht="19" customHeight="1" x14ac:dyDescent="0.35">
      <c r="B12" s="6" t="s">
        <v>1290</v>
      </c>
      <c r="C12" s="7" t="s">
        <v>1291</v>
      </c>
      <c r="D12" s="36">
        <v>1120</v>
      </c>
      <c r="E12" s="36">
        <v>960</v>
      </c>
      <c r="F12" s="26">
        <v>0.85709999999999997</v>
      </c>
      <c r="G12" s="26">
        <v>7.277353590366864E-2</v>
      </c>
    </row>
    <row r="13" spans="2:10" ht="19" customHeight="1" x14ac:dyDescent="0.35">
      <c r="B13" s="6" t="s">
        <v>1292</v>
      </c>
      <c r="C13" s="7" t="s">
        <v>1293</v>
      </c>
      <c r="D13" s="36">
        <v>720</v>
      </c>
      <c r="E13" s="36">
        <v>0</v>
      </c>
      <c r="F13" s="26">
        <v>0</v>
      </c>
      <c r="G13" s="26">
        <v>4.6782987366644123E-2</v>
      </c>
    </row>
    <row r="14" spans="2:10" ht="19" customHeight="1" x14ac:dyDescent="0.35">
      <c r="B14" s="6" t="s">
        <v>1294</v>
      </c>
      <c r="C14" s="7" t="s">
        <v>1293</v>
      </c>
      <c r="D14" s="36">
        <v>360</v>
      </c>
      <c r="E14" s="36">
        <v>0</v>
      </c>
      <c r="F14" s="26">
        <v>0</v>
      </c>
      <c r="G14" s="26">
        <v>2.3391493683322061E-2</v>
      </c>
    </row>
    <row r="15" spans="2:10" ht="21" customHeight="1" x14ac:dyDescent="0.35">
      <c r="B15" s="20" t="s">
        <v>440</v>
      </c>
      <c r="C15" s="20" t="s">
        <v>1295</v>
      </c>
      <c r="D15" s="16">
        <f>SUM(D10:D14)</f>
        <v>5760</v>
      </c>
      <c r="E15" s="16">
        <f>SUM(E10:E14)</f>
        <v>4440</v>
      </c>
      <c r="F15" s="22">
        <f>E15/D15</f>
        <v>0.77083333333333337</v>
      </c>
      <c r="G15" s="22">
        <f>SUM(G10:G14)</f>
        <v>0.37426389893315293</v>
      </c>
    </row>
  </sheetData>
  <mergeCells count="14">
    <mergeCell ref="B1:I1"/>
    <mergeCell ref="B4:C4"/>
    <mergeCell ref="B2:J2"/>
    <mergeCell ref="D6:E6"/>
    <mergeCell ref="B6:C6"/>
    <mergeCell ref="F4:G4"/>
    <mergeCell ref="H6:I6"/>
    <mergeCell ref="B5:C5"/>
    <mergeCell ref="F5:G5"/>
    <mergeCell ref="D5:E5"/>
    <mergeCell ref="F6:G6"/>
    <mergeCell ref="D4:E4"/>
    <mergeCell ref="H5:I5"/>
    <mergeCell ref="H4:I4"/>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E7490"/>
  </sheetPr>
  <dimension ref="B1:L18"/>
  <sheetViews>
    <sheetView zoomScale="85" workbookViewId="0"/>
  </sheetViews>
  <sheetFormatPr defaultRowHeight="14.5" x14ac:dyDescent="0.35"/>
  <cols>
    <col min="1" max="1" width="11" customWidth="1"/>
    <col min="2" max="2" width="114" customWidth="1"/>
    <col min="3" max="3" width="41" customWidth="1"/>
    <col min="4" max="4" width="21" customWidth="1"/>
    <col min="5" max="5" width="17" customWidth="1"/>
    <col min="6" max="6" width="24" customWidth="1"/>
    <col min="7" max="7" width="21" customWidth="1"/>
    <col min="8" max="8" width="25" customWidth="1"/>
    <col min="9" max="9" width="19" customWidth="1"/>
    <col min="10" max="10" width="11" customWidth="1"/>
    <col min="11" max="11" width="17" customWidth="1"/>
    <col min="12" max="12" width="11" customWidth="1"/>
  </cols>
  <sheetData>
    <row r="1" spans="2:12" ht="24" customHeight="1" x14ac:dyDescent="0.35">
      <c r="B1" s="57" t="s">
        <v>1296</v>
      </c>
      <c r="C1" s="55"/>
      <c r="D1" s="55"/>
      <c r="E1" s="55"/>
      <c r="F1" s="55"/>
      <c r="G1" s="55"/>
      <c r="H1" s="55"/>
      <c r="I1" s="55"/>
      <c r="J1" s="55"/>
      <c r="K1" s="55"/>
      <c r="L1" s="9" t="str">
        <f>HYPERLINK("#'00_Forside_Navigasjon'!A1", "← Hovedmeny")</f>
        <v>← Hovedmeny</v>
      </c>
    </row>
    <row r="2" spans="2:12" ht="18" customHeight="1" x14ac:dyDescent="0.35">
      <c r="B2" s="58" t="s">
        <v>1297</v>
      </c>
      <c r="C2" s="55"/>
      <c r="D2" s="55"/>
      <c r="E2" s="55"/>
      <c r="F2" s="55"/>
      <c r="G2" s="55"/>
      <c r="H2" s="55"/>
      <c r="I2" s="55"/>
      <c r="J2" s="55"/>
      <c r="K2" s="55"/>
      <c r="L2" s="55"/>
    </row>
    <row r="4" spans="2:12" ht="16" customHeight="1" x14ac:dyDescent="0.35">
      <c r="B4" s="51" t="s">
        <v>1298</v>
      </c>
      <c r="C4" s="52"/>
      <c r="D4" s="51" t="s">
        <v>1299</v>
      </c>
      <c r="E4" s="52"/>
      <c r="F4" s="51" t="s">
        <v>1300</v>
      </c>
      <c r="G4" s="52"/>
      <c r="H4" s="51" t="s">
        <v>1301</v>
      </c>
      <c r="I4" s="52"/>
    </row>
    <row r="5" spans="2:12" ht="24" customHeight="1" x14ac:dyDescent="0.35">
      <c r="B5" s="50">
        <v>10747732.82</v>
      </c>
      <c r="C5" s="47"/>
      <c r="D5" s="50">
        <v>36793524.310000002</v>
      </c>
      <c r="E5" s="47"/>
      <c r="F5" s="50">
        <v>-26045791.489999998</v>
      </c>
      <c r="G5" s="47"/>
      <c r="H5" s="63">
        <v>0.29199999999999998</v>
      </c>
      <c r="I5" s="47"/>
    </row>
    <row r="6" spans="2:12" ht="16" customHeight="1" x14ac:dyDescent="0.35">
      <c r="B6" s="48" t="s">
        <v>1302</v>
      </c>
      <c r="C6" s="49"/>
      <c r="D6" s="48" t="s">
        <v>1303</v>
      </c>
      <c r="E6" s="49"/>
      <c r="F6" s="48" t="s">
        <v>1304</v>
      </c>
      <c r="G6" s="49"/>
      <c r="H6" s="48" t="s">
        <v>1305</v>
      </c>
      <c r="I6" s="49"/>
    </row>
    <row r="8" spans="2:12" ht="16.5" x14ac:dyDescent="0.45">
      <c r="B8" s="1" t="s">
        <v>1306</v>
      </c>
    </row>
    <row r="9" spans="2:12" ht="20" customHeight="1" x14ac:dyDescent="0.35">
      <c r="B9" s="2" t="s">
        <v>472</v>
      </c>
      <c r="C9" s="2" t="s">
        <v>473</v>
      </c>
      <c r="D9" s="2" t="s">
        <v>1307</v>
      </c>
      <c r="E9" s="10" t="s">
        <v>1308</v>
      </c>
      <c r="F9" s="10" t="s">
        <v>1309</v>
      </c>
      <c r="G9" s="10" t="s">
        <v>1310</v>
      </c>
      <c r="H9" s="10" t="s">
        <v>1311</v>
      </c>
      <c r="I9" s="10" t="s">
        <v>1312</v>
      </c>
      <c r="J9" s="10" t="s">
        <v>1007</v>
      </c>
      <c r="K9" s="2" t="s">
        <v>1313</v>
      </c>
    </row>
    <row r="10" spans="2:12" ht="19" customHeight="1" x14ac:dyDescent="0.35">
      <c r="B10" s="29" t="s">
        <v>485</v>
      </c>
      <c r="C10" s="6" t="s">
        <v>486</v>
      </c>
      <c r="D10" s="7" t="s">
        <v>336</v>
      </c>
      <c r="E10" s="25">
        <v>0</v>
      </c>
      <c r="F10" s="25">
        <v>1024136</v>
      </c>
      <c r="G10" s="25">
        <v>0</v>
      </c>
      <c r="H10" s="25">
        <f t="shared" ref="H10:H18" si="0">G10-F10</f>
        <v>-1024136</v>
      </c>
      <c r="I10" s="25">
        <f t="shared" ref="I10:I18" si="1">E10-G10</f>
        <v>0</v>
      </c>
      <c r="J10" s="26">
        <f t="shared" ref="J10:J18" si="2">IF(E10&lt;&gt;0, I10/E10, 0)</f>
        <v>0</v>
      </c>
      <c r="K10" s="6" t="str">
        <f t="shared" ref="K10:K18" si="3">IF(J10&gt;=0, "🟢 Under budsjett", IF(J10&gt;=-0.05, "🟡 Moderat overskridelse", "🔴 Kritisk overskridelse"))</f>
        <v>🟢 Under budsjett</v>
      </c>
    </row>
    <row r="11" spans="2:12" ht="19" customHeight="1" x14ac:dyDescent="0.35">
      <c r="B11" s="29" t="s">
        <v>1139</v>
      </c>
      <c r="C11" s="6" t="s">
        <v>1314</v>
      </c>
      <c r="D11" s="7" t="s">
        <v>1315</v>
      </c>
      <c r="E11" s="25">
        <v>0</v>
      </c>
      <c r="F11" s="25">
        <v>199999.98</v>
      </c>
      <c r="G11" s="25">
        <v>0</v>
      </c>
      <c r="H11" s="25">
        <f t="shared" si="0"/>
        <v>-199999.98</v>
      </c>
      <c r="I11" s="25">
        <f t="shared" si="1"/>
        <v>0</v>
      </c>
      <c r="J11" s="26">
        <f t="shared" si="2"/>
        <v>0</v>
      </c>
      <c r="K11" s="6" t="str">
        <f t="shared" si="3"/>
        <v>🟢 Under budsjett</v>
      </c>
    </row>
    <row r="12" spans="2:12" ht="19" customHeight="1" x14ac:dyDescent="0.35">
      <c r="B12" s="29" t="s">
        <v>480</v>
      </c>
      <c r="C12" s="6" t="s">
        <v>481</v>
      </c>
      <c r="D12" s="7" t="s">
        <v>336</v>
      </c>
      <c r="E12" s="25">
        <v>0</v>
      </c>
      <c r="F12" s="25">
        <v>983236</v>
      </c>
      <c r="G12" s="25">
        <v>0</v>
      </c>
      <c r="H12" s="25">
        <f t="shared" si="0"/>
        <v>-983236</v>
      </c>
      <c r="I12" s="25">
        <f t="shared" si="1"/>
        <v>0</v>
      </c>
      <c r="J12" s="26">
        <f t="shared" si="2"/>
        <v>0</v>
      </c>
      <c r="K12" s="6" t="str">
        <f t="shared" si="3"/>
        <v>🟢 Under budsjett</v>
      </c>
    </row>
    <row r="13" spans="2:12" ht="19" customHeight="1" x14ac:dyDescent="0.35">
      <c r="B13" s="29" t="s">
        <v>493</v>
      </c>
      <c r="C13" s="6" t="s">
        <v>494</v>
      </c>
      <c r="D13" s="7" t="s">
        <v>333</v>
      </c>
      <c r="E13" s="25">
        <v>0</v>
      </c>
      <c r="F13" s="25">
        <v>688559</v>
      </c>
      <c r="G13" s="25">
        <v>0</v>
      </c>
      <c r="H13" s="25">
        <f t="shared" si="0"/>
        <v>-688559</v>
      </c>
      <c r="I13" s="25">
        <f t="shared" si="1"/>
        <v>0</v>
      </c>
      <c r="J13" s="26">
        <f t="shared" si="2"/>
        <v>0</v>
      </c>
      <c r="K13" s="6" t="str">
        <f t="shared" si="3"/>
        <v>🟢 Under budsjett</v>
      </c>
    </row>
    <row r="14" spans="2:12" ht="19" customHeight="1" x14ac:dyDescent="0.35">
      <c r="B14" s="29" t="s">
        <v>488</v>
      </c>
      <c r="C14" s="6" t="s">
        <v>489</v>
      </c>
      <c r="D14" s="7" t="s">
        <v>336</v>
      </c>
      <c r="E14" s="25">
        <v>0</v>
      </c>
      <c r="F14" s="25">
        <v>0</v>
      </c>
      <c r="G14" s="25">
        <v>0</v>
      </c>
      <c r="H14" s="25">
        <f t="shared" si="0"/>
        <v>0</v>
      </c>
      <c r="I14" s="25">
        <f t="shared" si="1"/>
        <v>0</v>
      </c>
      <c r="J14" s="26">
        <f t="shared" si="2"/>
        <v>0</v>
      </c>
      <c r="K14" s="6" t="str">
        <f t="shared" si="3"/>
        <v>🟢 Under budsjett</v>
      </c>
    </row>
    <row r="15" spans="2:12" ht="19" customHeight="1" x14ac:dyDescent="0.35">
      <c r="B15" s="29" t="s">
        <v>483</v>
      </c>
      <c r="C15" s="6" t="s">
        <v>484</v>
      </c>
      <c r="D15" s="7" t="s">
        <v>336</v>
      </c>
      <c r="E15" s="25">
        <v>0</v>
      </c>
      <c r="F15" s="25">
        <v>0</v>
      </c>
      <c r="G15" s="25">
        <v>0</v>
      </c>
      <c r="H15" s="25">
        <f t="shared" si="0"/>
        <v>0</v>
      </c>
      <c r="I15" s="25">
        <f t="shared" si="1"/>
        <v>0</v>
      </c>
      <c r="J15" s="26">
        <f t="shared" si="2"/>
        <v>0</v>
      </c>
      <c r="K15" s="6" t="str">
        <f t="shared" si="3"/>
        <v>🟢 Under budsjett</v>
      </c>
    </row>
    <row r="16" spans="2:12" ht="19" customHeight="1" x14ac:dyDescent="0.35">
      <c r="B16" s="29" t="s">
        <v>490</v>
      </c>
      <c r="C16" s="6" t="s">
        <v>491</v>
      </c>
      <c r="D16" s="7" t="s">
        <v>333</v>
      </c>
      <c r="E16" s="25">
        <v>0</v>
      </c>
      <c r="F16" s="25">
        <v>0</v>
      </c>
      <c r="G16" s="25">
        <v>0</v>
      </c>
      <c r="H16" s="25">
        <f t="shared" si="0"/>
        <v>0</v>
      </c>
      <c r="I16" s="25">
        <f t="shared" si="1"/>
        <v>0</v>
      </c>
      <c r="J16" s="26">
        <f t="shared" si="2"/>
        <v>0</v>
      </c>
      <c r="K16" s="6" t="str">
        <f t="shared" si="3"/>
        <v>🟢 Under budsjett</v>
      </c>
    </row>
    <row r="17" spans="2:11" ht="19" customHeight="1" x14ac:dyDescent="0.35">
      <c r="B17" s="29" t="s">
        <v>1131</v>
      </c>
      <c r="C17" s="6" t="s">
        <v>1316</v>
      </c>
      <c r="D17" s="7" t="s">
        <v>1315</v>
      </c>
      <c r="E17" s="25">
        <v>-89453808</v>
      </c>
      <c r="F17" s="25">
        <v>51207051.740000002</v>
      </c>
      <c r="G17" s="25">
        <v>-3307536</v>
      </c>
      <c r="H17" s="25">
        <f t="shared" si="0"/>
        <v>-54514587.740000002</v>
      </c>
      <c r="I17" s="25">
        <f t="shared" si="1"/>
        <v>-86146272</v>
      </c>
      <c r="J17" s="26">
        <f t="shared" si="2"/>
        <v>0.96302520737853892</v>
      </c>
      <c r="K17" s="6" t="str">
        <f t="shared" si="3"/>
        <v>🟢 Under budsjett</v>
      </c>
    </row>
    <row r="18" spans="2:11" ht="21" customHeight="1" x14ac:dyDescent="0.35">
      <c r="B18" s="20" t="s">
        <v>1317</v>
      </c>
      <c r="C18" s="20"/>
      <c r="D18" s="20"/>
      <c r="E18" s="21">
        <f>SUM(E10:E17)</f>
        <v>-89453808</v>
      </c>
      <c r="F18" s="21">
        <f>SUM(F10:F17)</f>
        <v>54102982.719999999</v>
      </c>
      <c r="G18" s="21">
        <f>SUM(G10:G17)</f>
        <v>-3307536</v>
      </c>
      <c r="H18" s="21">
        <f t="shared" si="0"/>
        <v>-57410518.719999999</v>
      </c>
      <c r="I18" s="21">
        <f t="shared" si="1"/>
        <v>-86146272</v>
      </c>
      <c r="J18" s="22">
        <f t="shared" si="2"/>
        <v>0.96302520737853892</v>
      </c>
      <c r="K18" s="20" t="str">
        <f t="shared" si="3"/>
        <v>🟢 Under budsjett</v>
      </c>
    </row>
  </sheetData>
  <mergeCells count="14">
    <mergeCell ref="D6:E6"/>
    <mergeCell ref="B6:C6"/>
    <mergeCell ref="F4:G4"/>
    <mergeCell ref="B1:K1"/>
    <mergeCell ref="H6:I6"/>
    <mergeCell ref="B5:C5"/>
    <mergeCell ref="F5:G5"/>
    <mergeCell ref="D5:E5"/>
    <mergeCell ref="B2:L2"/>
    <mergeCell ref="F6:G6"/>
    <mergeCell ref="D4:E4"/>
    <mergeCell ref="H5:I5"/>
    <mergeCell ref="H4:I4"/>
    <mergeCell ref="B4:C4"/>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E7490"/>
  </sheetPr>
  <dimension ref="B1:K15"/>
  <sheetViews>
    <sheetView zoomScale="85" workbookViewId="0"/>
  </sheetViews>
  <sheetFormatPr defaultRowHeight="14.5" x14ac:dyDescent="0.35"/>
  <cols>
    <col min="1" max="1" width="11" customWidth="1"/>
    <col min="2" max="2" width="121" customWidth="1"/>
    <col min="3" max="3" width="59" customWidth="1"/>
    <col min="4" max="4" width="19" customWidth="1"/>
    <col min="5" max="5" width="11" customWidth="1"/>
    <col min="6" max="6" width="29" customWidth="1"/>
    <col min="7" max="7" width="11" customWidth="1"/>
    <col min="8" max="8" width="32" customWidth="1"/>
    <col min="9" max="10" width="12" customWidth="1"/>
    <col min="11" max="11" width="14" customWidth="1"/>
    <col min="12" max="12" width="11" customWidth="1"/>
  </cols>
  <sheetData>
    <row r="1" spans="2:11" ht="24" customHeight="1" x14ac:dyDescent="0.35">
      <c r="B1" s="57" t="s">
        <v>1318</v>
      </c>
      <c r="C1" s="55"/>
      <c r="D1" s="55"/>
      <c r="E1" s="55"/>
      <c r="F1" s="55"/>
      <c r="G1" s="55"/>
      <c r="H1" s="55"/>
      <c r="I1" s="55"/>
      <c r="J1" s="9" t="str">
        <f>HYPERLINK("#'00_Forside_Navigasjon'!A1", "← Hovedmeny")</f>
        <v>← Hovedmeny</v>
      </c>
    </row>
    <row r="2" spans="2:11" ht="18" customHeight="1" x14ac:dyDescent="0.35">
      <c r="B2" s="58" t="s">
        <v>1319</v>
      </c>
      <c r="C2" s="55"/>
      <c r="D2" s="55"/>
      <c r="E2" s="55"/>
      <c r="F2" s="55"/>
      <c r="G2" s="55"/>
      <c r="H2" s="55"/>
      <c r="I2" s="55"/>
      <c r="J2" s="55"/>
    </row>
    <row r="4" spans="2:11" ht="16" customHeight="1" x14ac:dyDescent="0.35">
      <c r="B4" s="51" t="s">
        <v>1320</v>
      </c>
      <c r="C4" s="52"/>
      <c r="D4" s="51" t="s">
        <v>1321</v>
      </c>
      <c r="E4" s="52"/>
      <c r="F4" s="51" t="s">
        <v>1322</v>
      </c>
      <c r="G4" s="52"/>
      <c r="H4" s="51" t="s">
        <v>1323</v>
      </c>
      <c r="I4" s="52"/>
    </row>
    <row r="5" spans="2:11" ht="24" customHeight="1" x14ac:dyDescent="0.35">
      <c r="B5" s="50">
        <v>-20255000</v>
      </c>
      <c r="C5" s="47"/>
      <c r="D5" s="50">
        <v>-5562081.6600000001</v>
      </c>
      <c r="E5" s="47"/>
      <c r="F5" s="50">
        <v>-14692918.34</v>
      </c>
      <c r="G5" s="47"/>
      <c r="H5" s="46">
        <v>4</v>
      </c>
      <c r="I5" s="47"/>
    </row>
    <row r="6" spans="2:11" ht="16" customHeight="1" x14ac:dyDescent="0.35">
      <c r="B6" s="48" t="s">
        <v>1324</v>
      </c>
      <c r="C6" s="49"/>
      <c r="D6" s="48" t="s">
        <v>1325</v>
      </c>
      <c r="E6" s="49"/>
      <c r="F6" s="48" t="s">
        <v>1326</v>
      </c>
      <c r="G6" s="49"/>
      <c r="H6" s="48" t="s">
        <v>1327</v>
      </c>
      <c r="I6" s="49"/>
    </row>
    <row r="8" spans="2:11" ht="16.5" x14ac:dyDescent="0.45">
      <c r="B8" s="1" t="s">
        <v>1328</v>
      </c>
    </row>
    <row r="9" spans="2:11" ht="20" customHeight="1" x14ac:dyDescent="0.35">
      <c r="B9" s="2" t="s">
        <v>14</v>
      </c>
      <c r="C9" s="2" t="s">
        <v>405</v>
      </c>
      <c r="D9" s="2" t="s">
        <v>625</v>
      </c>
      <c r="E9" s="2" t="s">
        <v>1329</v>
      </c>
      <c r="F9" s="2" t="s">
        <v>1330</v>
      </c>
      <c r="G9" s="2" t="s">
        <v>407</v>
      </c>
      <c r="H9" s="10" t="s">
        <v>1331</v>
      </c>
      <c r="I9" s="10" t="s">
        <v>1332</v>
      </c>
      <c r="J9" s="2" t="s">
        <v>411</v>
      </c>
      <c r="K9" s="2" t="s">
        <v>256</v>
      </c>
    </row>
    <row r="10" spans="2:11" ht="19" customHeight="1" x14ac:dyDescent="0.35">
      <c r="B10" s="29" t="s">
        <v>433</v>
      </c>
      <c r="C10" s="6" t="s">
        <v>434</v>
      </c>
      <c r="D10" s="29">
        <v>5000</v>
      </c>
      <c r="E10" s="7" t="s">
        <v>1169</v>
      </c>
      <c r="F10" s="7" t="s">
        <v>1135</v>
      </c>
      <c r="G10" s="7" t="s">
        <v>426</v>
      </c>
      <c r="H10" s="25">
        <v>850000</v>
      </c>
      <c r="I10" s="25">
        <v>420000</v>
      </c>
      <c r="J10" s="7" t="s">
        <v>416</v>
      </c>
      <c r="K10" s="6" t="s">
        <v>1333</v>
      </c>
    </row>
    <row r="11" spans="2:11" ht="19" customHeight="1" x14ac:dyDescent="0.35">
      <c r="B11" s="29" t="s">
        <v>436</v>
      </c>
      <c r="C11" s="6" t="s">
        <v>437</v>
      </c>
      <c r="D11" s="29">
        <v>2080</v>
      </c>
      <c r="E11" s="7" t="s">
        <v>1130</v>
      </c>
      <c r="F11" s="7" t="s">
        <v>1145</v>
      </c>
      <c r="G11" s="7" t="s">
        <v>439</v>
      </c>
      <c r="H11" s="25">
        <v>2400000</v>
      </c>
      <c r="I11" s="25">
        <v>1800000</v>
      </c>
      <c r="J11" s="7" t="s">
        <v>416</v>
      </c>
      <c r="K11" s="6" t="s">
        <v>1334</v>
      </c>
    </row>
    <row r="12" spans="2:11" ht="19" customHeight="1" x14ac:dyDescent="0.35">
      <c r="B12" s="29" t="s">
        <v>429</v>
      </c>
      <c r="C12" s="6" t="s">
        <v>430</v>
      </c>
      <c r="D12" s="29">
        <v>2180</v>
      </c>
      <c r="E12" s="7" t="s">
        <v>1265</v>
      </c>
      <c r="F12" s="7" t="s">
        <v>1137</v>
      </c>
      <c r="G12" s="7" t="s">
        <v>432</v>
      </c>
      <c r="H12" s="25">
        <v>600000</v>
      </c>
      <c r="I12" s="25">
        <v>300000</v>
      </c>
      <c r="J12" s="7" t="s">
        <v>427</v>
      </c>
      <c r="K12" s="6" t="s">
        <v>1333</v>
      </c>
    </row>
    <row r="13" spans="2:11" ht="19" customHeight="1" x14ac:dyDescent="0.35">
      <c r="B13" s="29" t="s">
        <v>418</v>
      </c>
      <c r="C13" s="6" t="s">
        <v>419</v>
      </c>
      <c r="D13" s="29">
        <v>7790</v>
      </c>
      <c r="E13" s="7" t="s">
        <v>1272</v>
      </c>
      <c r="F13" s="7" t="s">
        <v>1149</v>
      </c>
      <c r="G13" s="7" t="s">
        <v>421</v>
      </c>
      <c r="H13" s="25">
        <v>150000</v>
      </c>
      <c r="I13" s="25">
        <v>0</v>
      </c>
      <c r="J13" s="7" t="s">
        <v>416</v>
      </c>
      <c r="K13" s="6" t="s">
        <v>1335</v>
      </c>
    </row>
    <row r="14" spans="2:11" ht="19" customHeight="1" x14ac:dyDescent="0.35">
      <c r="B14" s="29" t="s">
        <v>412</v>
      </c>
      <c r="C14" s="6" t="s">
        <v>413</v>
      </c>
      <c r="D14" s="29">
        <v>6710</v>
      </c>
      <c r="E14" s="7" t="s">
        <v>1130</v>
      </c>
      <c r="F14" s="7" t="s">
        <v>1336</v>
      </c>
      <c r="G14" s="7" t="s">
        <v>415</v>
      </c>
      <c r="H14" s="25">
        <v>0</v>
      </c>
      <c r="I14" s="25">
        <v>0</v>
      </c>
      <c r="J14" s="7" t="s">
        <v>416</v>
      </c>
      <c r="K14" s="6" t="s">
        <v>1334</v>
      </c>
    </row>
    <row r="15" spans="2:11" ht="19" customHeight="1" x14ac:dyDescent="0.35">
      <c r="B15" s="29" t="s">
        <v>423</v>
      </c>
      <c r="C15" s="6" t="s">
        <v>424</v>
      </c>
      <c r="D15" s="29">
        <v>5050</v>
      </c>
      <c r="E15" s="7" t="s">
        <v>1205</v>
      </c>
      <c r="F15" s="7" t="s">
        <v>1135</v>
      </c>
      <c r="G15" s="7" t="s">
        <v>426</v>
      </c>
      <c r="H15" s="25">
        <v>350000</v>
      </c>
      <c r="I15" s="25">
        <v>180000</v>
      </c>
      <c r="J15" s="7" t="s">
        <v>427</v>
      </c>
      <c r="K15" s="6" t="s">
        <v>1333</v>
      </c>
    </row>
  </sheetData>
  <mergeCells count="14">
    <mergeCell ref="B1:I1"/>
    <mergeCell ref="B4:C4"/>
    <mergeCell ref="B2:J2"/>
    <mergeCell ref="D6:E6"/>
    <mergeCell ref="B6:C6"/>
    <mergeCell ref="F4:G4"/>
    <mergeCell ref="H6:I6"/>
    <mergeCell ref="B5:C5"/>
    <mergeCell ref="F5:G5"/>
    <mergeCell ref="D5:E5"/>
    <mergeCell ref="F6:G6"/>
    <mergeCell ref="D4:E4"/>
    <mergeCell ref="H5:I5"/>
    <mergeCell ref="H4:I4"/>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E7490"/>
  </sheetPr>
  <dimension ref="B1:J81"/>
  <sheetViews>
    <sheetView tabSelected="1" zoomScale="85" workbookViewId="0"/>
  </sheetViews>
  <sheetFormatPr defaultRowHeight="14.5" x14ac:dyDescent="0.35"/>
  <cols>
    <col min="1" max="1" width="11" customWidth="1"/>
    <col min="2" max="2" width="120" customWidth="1"/>
    <col min="3" max="3" width="14" customWidth="1"/>
    <col min="4" max="4" width="27" customWidth="1"/>
    <col min="5" max="5" width="14" customWidth="1"/>
    <col min="6" max="6" width="21" customWidth="1"/>
    <col min="7" max="7" width="13" customWidth="1"/>
    <col min="8" max="8" width="31" customWidth="1"/>
    <col min="9" max="9" width="17" customWidth="1"/>
    <col min="10" max="10" width="11" customWidth="1"/>
  </cols>
  <sheetData>
    <row r="1" spans="2:10" ht="24" customHeight="1" x14ac:dyDescent="0.35">
      <c r="B1" s="57" t="s">
        <v>1337</v>
      </c>
      <c r="C1" s="55"/>
      <c r="D1" s="55"/>
      <c r="E1" s="55"/>
      <c r="F1" s="55"/>
      <c r="G1" s="55"/>
      <c r="H1" s="55"/>
      <c r="I1" s="55"/>
      <c r="J1" s="9" t="str">
        <f>HYPERLINK("#'00_Forside_Navigasjon'!A1", "← Hovedmeny")</f>
        <v>← Hovedmeny</v>
      </c>
    </row>
    <row r="2" spans="2:10" ht="18" customHeight="1" x14ac:dyDescent="0.35">
      <c r="B2" s="58" t="s">
        <v>1338</v>
      </c>
      <c r="C2" s="55"/>
      <c r="D2" s="55"/>
      <c r="E2" s="55"/>
      <c r="F2" s="55"/>
      <c r="G2" s="55"/>
      <c r="H2" s="55"/>
      <c r="I2" s="55"/>
      <c r="J2" s="55"/>
    </row>
    <row r="4" spans="2:10" ht="16" customHeight="1" x14ac:dyDescent="0.35">
      <c r="B4" s="51" t="s">
        <v>1339</v>
      </c>
      <c r="C4" s="52"/>
      <c r="D4" s="51" t="s">
        <v>1340</v>
      </c>
      <c r="E4" s="52"/>
      <c r="F4" s="51" t="s">
        <v>528</v>
      </c>
      <c r="G4" s="52"/>
      <c r="H4" s="51" t="s">
        <v>1341</v>
      </c>
      <c r="I4" s="52"/>
    </row>
    <row r="5" spans="2:10" ht="24" customHeight="1" x14ac:dyDescent="0.35">
      <c r="B5" s="46">
        <v>390095</v>
      </c>
      <c r="C5" s="47"/>
      <c r="D5" s="46">
        <v>336945.4</v>
      </c>
      <c r="E5" s="47"/>
      <c r="F5" s="61">
        <v>5615.74</v>
      </c>
      <c r="G5" s="47"/>
      <c r="H5" s="62">
        <v>0.86380000000000001</v>
      </c>
      <c r="I5" s="47"/>
    </row>
    <row r="6" spans="2:10" ht="16" customHeight="1" x14ac:dyDescent="0.35">
      <c r="B6" s="48" t="s">
        <v>1342</v>
      </c>
      <c r="C6" s="49"/>
      <c r="D6" s="48" t="s">
        <v>1343</v>
      </c>
      <c r="E6" s="49"/>
      <c r="F6" s="48" t="s">
        <v>1344</v>
      </c>
      <c r="G6" s="49"/>
      <c r="H6" s="48" t="s">
        <v>1345</v>
      </c>
      <c r="I6" s="49"/>
    </row>
    <row r="8" spans="2:10" ht="16.5" x14ac:dyDescent="0.45">
      <c r="B8" s="1" t="s">
        <v>1346</v>
      </c>
    </row>
    <row r="9" spans="2:10" ht="20" customHeight="1" x14ac:dyDescent="0.35">
      <c r="B9" s="2" t="s">
        <v>1123</v>
      </c>
      <c r="C9" s="2" t="s">
        <v>535</v>
      </c>
      <c r="D9" s="2" t="s">
        <v>307</v>
      </c>
      <c r="E9" s="10" t="s">
        <v>538</v>
      </c>
      <c r="F9" s="10" t="s">
        <v>539</v>
      </c>
      <c r="G9" s="10" t="s">
        <v>540</v>
      </c>
      <c r="H9" s="10" t="s">
        <v>541</v>
      </c>
      <c r="I9" s="10" t="s">
        <v>1347</v>
      </c>
    </row>
    <row r="10" spans="2:10" ht="19" customHeight="1" x14ac:dyDescent="0.35">
      <c r="B10" s="7" t="s">
        <v>1129</v>
      </c>
      <c r="C10" s="29" t="s">
        <v>543</v>
      </c>
      <c r="D10" s="7" t="s">
        <v>1130</v>
      </c>
      <c r="E10" s="35">
        <v>120</v>
      </c>
      <c r="F10" s="35">
        <v>3600</v>
      </c>
      <c r="G10" s="35">
        <v>3060</v>
      </c>
      <c r="H10" s="36">
        <v>51</v>
      </c>
      <c r="I10" s="26">
        <v>0.85</v>
      </c>
    </row>
    <row r="11" spans="2:10" ht="19" customHeight="1" x14ac:dyDescent="0.35">
      <c r="B11" s="7" t="s">
        <v>1129</v>
      </c>
      <c r="C11" s="29" t="s">
        <v>546</v>
      </c>
      <c r="D11" s="7" t="s">
        <v>1205</v>
      </c>
      <c r="E11" s="35">
        <v>120</v>
      </c>
      <c r="F11" s="35">
        <v>3600</v>
      </c>
      <c r="G11" s="35">
        <v>3060</v>
      </c>
      <c r="H11" s="36">
        <v>51</v>
      </c>
      <c r="I11" s="26">
        <v>0.85</v>
      </c>
    </row>
    <row r="12" spans="2:10" ht="19" customHeight="1" x14ac:dyDescent="0.35">
      <c r="B12" s="7" t="s">
        <v>1129</v>
      </c>
      <c r="C12" s="29" t="s">
        <v>550</v>
      </c>
      <c r="D12" s="7" t="s">
        <v>1164</v>
      </c>
      <c r="E12" s="35">
        <v>120</v>
      </c>
      <c r="F12" s="35">
        <v>3600</v>
      </c>
      <c r="G12" s="35">
        <v>3060</v>
      </c>
      <c r="H12" s="36">
        <v>51</v>
      </c>
      <c r="I12" s="26">
        <v>0.85</v>
      </c>
    </row>
    <row r="13" spans="2:10" ht="19" customHeight="1" x14ac:dyDescent="0.35">
      <c r="B13" s="7" t="s">
        <v>1129</v>
      </c>
      <c r="C13" s="29" t="s">
        <v>548</v>
      </c>
      <c r="D13" s="7" t="s">
        <v>1150</v>
      </c>
      <c r="E13" s="35">
        <v>120</v>
      </c>
      <c r="F13" s="35">
        <v>3600</v>
      </c>
      <c r="G13" s="35">
        <v>3060</v>
      </c>
      <c r="H13" s="36">
        <v>51</v>
      </c>
      <c r="I13" s="26">
        <v>0.85</v>
      </c>
    </row>
    <row r="14" spans="2:10" ht="19" customHeight="1" x14ac:dyDescent="0.35">
      <c r="B14" s="7" t="s">
        <v>1129</v>
      </c>
      <c r="C14" s="29" t="s">
        <v>552</v>
      </c>
      <c r="D14" s="7" t="s">
        <v>1169</v>
      </c>
      <c r="E14" s="35">
        <v>120</v>
      </c>
      <c r="F14" s="35">
        <v>3600</v>
      </c>
      <c r="G14" s="35">
        <v>2592</v>
      </c>
      <c r="H14" s="36">
        <v>43.2</v>
      </c>
      <c r="I14" s="26">
        <v>0.72</v>
      </c>
    </row>
    <row r="15" spans="2:10" ht="19" customHeight="1" x14ac:dyDescent="0.35">
      <c r="B15" s="7" t="s">
        <v>1129</v>
      </c>
      <c r="C15" s="29" t="s">
        <v>554</v>
      </c>
      <c r="D15" s="7" t="s">
        <v>1175</v>
      </c>
      <c r="E15" s="35">
        <v>45</v>
      </c>
      <c r="F15" s="35">
        <v>1350</v>
      </c>
      <c r="G15" s="35">
        <v>1147.5</v>
      </c>
      <c r="H15" s="36">
        <v>19.13</v>
      </c>
      <c r="I15" s="26">
        <v>0.85</v>
      </c>
    </row>
    <row r="16" spans="2:10" ht="19" customHeight="1" x14ac:dyDescent="0.35">
      <c r="B16" s="7" t="s">
        <v>1129</v>
      </c>
      <c r="C16" s="29" t="s">
        <v>560</v>
      </c>
      <c r="D16" s="7" t="s">
        <v>1205</v>
      </c>
      <c r="E16" s="35">
        <v>45</v>
      </c>
      <c r="F16" s="35">
        <v>1350</v>
      </c>
      <c r="G16" s="35">
        <v>1147.5</v>
      </c>
      <c r="H16" s="36">
        <v>19.13</v>
      </c>
      <c r="I16" s="26">
        <v>0.85</v>
      </c>
    </row>
    <row r="17" spans="2:9" ht="19" customHeight="1" x14ac:dyDescent="0.35">
      <c r="B17" s="7" t="s">
        <v>1129</v>
      </c>
      <c r="C17" s="29" t="s">
        <v>562</v>
      </c>
      <c r="D17" s="7" t="s">
        <v>1130</v>
      </c>
      <c r="E17" s="35">
        <v>45</v>
      </c>
      <c r="F17" s="35">
        <v>1350</v>
      </c>
      <c r="G17" s="35">
        <v>1147.5</v>
      </c>
      <c r="H17" s="36">
        <v>19.13</v>
      </c>
      <c r="I17" s="26">
        <v>0.85</v>
      </c>
    </row>
    <row r="18" spans="2:9" ht="19" customHeight="1" x14ac:dyDescent="0.35">
      <c r="B18" s="7" t="s">
        <v>1129</v>
      </c>
      <c r="C18" s="29" t="s">
        <v>557</v>
      </c>
      <c r="D18" s="7" t="s">
        <v>1150</v>
      </c>
      <c r="E18" s="35">
        <v>45</v>
      </c>
      <c r="F18" s="35">
        <v>1350</v>
      </c>
      <c r="G18" s="35">
        <v>1147.5</v>
      </c>
      <c r="H18" s="36">
        <v>19.13</v>
      </c>
      <c r="I18" s="26">
        <v>0.85</v>
      </c>
    </row>
    <row r="19" spans="2:9" ht="19" customHeight="1" x14ac:dyDescent="0.35">
      <c r="B19" s="7" t="s">
        <v>1177</v>
      </c>
      <c r="C19" s="29" t="s">
        <v>543</v>
      </c>
      <c r="D19" s="7" t="s">
        <v>1130</v>
      </c>
      <c r="E19" s="35">
        <v>120</v>
      </c>
      <c r="F19" s="35">
        <v>3600</v>
      </c>
      <c r="G19" s="35">
        <v>3060</v>
      </c>
      <c r="H19" s="36">
        <v>51</v>
      </c>
      <c r="I19" s="26">
        <v>0.85</v>
      </c>
    </row>
    <row r="20" spans="2:9" ht="19" customHeight="1" x14ac:dyDescent="0.35">
      <c r="B20" s="7" t="s">
        <v>1177</v>
      </c>
      <c r="C20" s="29" t="s">
        <v>548</v>
      </c>
      <c r="D20" s="7" t="s">
        <v>1150</v>
      </c>
      <c r="E20" s="35">
        <v>120</v>
      </c>
      <c r="F20" s="35">
        <v>3600</v>
      </c>
      <c r="G20" s="35">
        <v>3060</v>
      </c>
      <c r="H20" s="36">
        <v>51</v>
      </c>
      <c r="I20" s="26">
        <v>0.85</v>
      </c>
    </row>
    <row r="21" spans="2:9" ht="19" customHeight="1" x14ac:dyDescent="0.35">
      <c r="B21" s="7" t="s">
        <v>1177</v>
      </c>
      <c r="C21" s="29" t="s">
        <v>550</v>
      </c>
      <c r="D21" s="7" t="s">
        <v>1164</v>
      </c>
      <c r="E21" s="35">
        <v>120</v>
      </c>
      <c r="F21" s="35">
        <v>3600</v>
      </c>
      <c r="G21" s="35">
        <v>3060</v>
      </c>
      <c r="H21" s="36">
        <v>51</v>
      </c>
      <c r="I21" s="26">
        <v>0.85</v>
      </c>
    </row>
    <row r="22" spans="2:9" ht="19" customHeight="1" x14ac:dyDescent="0.35">
      <c r="B22" s="7" t="s">
        <v>1177</v>
      </c>
      <c r="C22" s="29" t="s">
        <v>546</v>
      </c>
      <c r="D22" s="7" t="s">
        <v>1205</v>
      </c>
      <c r="E22" s="35">
        <v>120</v>
      </c>
      <c r="F22" s="35">
        <v>3600</v>
      </c>
      <c r="G22" s="35">
        <v>3060</v>
      </c>
      <c r="H22" s="36">
        <v>51</v>
      </c>
      <c r="I22" s="26">
        <v>0.85</v>
      </c>
    </row>
    <row r="23" spans="2:9" ht="19" customHeight="1" x14ac:dyDescent="0.35">
      <c r="B23" s="7" t="s">
        <v>1177</v>
      </c>
      <c r="C23" s="29" t="s">
        <v>552</v>
      </c>
      <c r="D23" s="7" t="s">
        <v>1169</v>
      </c>
      <c r="E23" s="35">
        <v>120</v>
      </c>
      <c r="F23" s="35">
        <v>3600</v>
      </c>
      <c r="G23" s="35">
        <v>2592</v>
      </c>
      <c r="H23" s="36">
        <v>43.2</v>
      </c>
      <c r="I23" s="26">
        <v>0.72</v>
      </c>
    </row>
    <row r="24" spans="2:9" ht="19" customHeight="1" x14ac:dyDescent="0.35">
      <c r="B24" s="7" t="s">
        <v>1177</v>
      </c>
      <c r="C24" s="29" t="s">
        <v>560</v>
      </c>
      <c r="D24" s="7" t="s">
        <v>1205</v>
      </c>
      <c r="E24" s="35">
        <v>45</v>
      </c>
      <c r="F24" s="35">
        <v>1350</v>
      </c>
      <c r="G24" s="35">
        <v>1147.5</v>
      </c>
      <c r="H24" s="36">
        <v>19.13</v>
      </c>
      <c r="I24" s="26">
        <v>0.85</v>
      </c>
    </row>
    <row r="25" spans="2:9" ht="19" customHeight="1" x14ac:dyDescent="0.35">
      <c r="B25" s="7" t="s">
        <v>1177</v>
      </c>
      <c r="C25" s="29" t="s">
        <v>562</v>
      </c>
      <c r="D25" s="7" t="s">
        <v>1130</v>
      </c>
      <c r="E25" s="35">
        <v>45</v>
      </c>
      <c r="F25" s="35">
        <v>1350</v>
      </c>
      <c r="G25" s="35">
        <v>1147.5</v>
      </c>
      <c r="H25" s="36">
        <v>19.13</v>
      </c>
      <c r="I25" s="26">
        <v>0.85</v>
      </c>
    </row>
    <row r="26" spans="2:9" ht="19" customHeight="1" x14ac:dyDescent="0.35">
      <c r="B26" s="7" t="s">
        <v>1177</v>
      </c>
      <c r="C26" s="29" t="s">
        <v>557</v>
      </c>
      <c r="D26" s="7" t="s">
        <v>1150</v>
      </c>
      <c r="E26" s="35">
        <v>45</v>
      </c>
      <c r="F26" s="35">
        <v>1350</v>
      </c>
      <c r="G26" s="35">
        <v>1147.5</v>
      </c>
      <c r="H26" s="36">
        <v>19.13</v>
      </c>
      <c r="I26" s="26">
        <v>0.85</v>
      </c>
    </row>
    <row r="27" spans="2:9" ht="19" customHeight="1" x14ac:dyDescent="0.35">
      <c r="B27" s="7" t="s">
        <v>1177</v>
      </c>
      <c r="C27" s="29" t="s">
        <v>554</v>
      </c>
      <c r="D27" s="7" t="s">
        <v>1175</v>
      </c>
      <c r="E27" s="35">
        <v>45</v>
      </c>
      <c r="F27" s="35">
        <v>1350</v>
      </c>
      <c r="G27" s="35">
        <v>1147.5</v>
      </c>
      <c r="H27" s="36">
        <v>19.13</v>
      </c>
      <c r="I27" s="26">
        <v>0.85</v>
      </c>
    </row>
    <row r="28" spans="2:9" ht="19" customHeight="1" x14ac:dyDescent="0.35">
      <c r="B28" s="7" t="s">
        <v>1149</v>
      </c>
      <c r="C28" s="29" t="s">
        <v>550</v>
      </c>
      <c r="D28" s="7" t="s">
        <v>1164</v>
      </c>
      <c r="E28" s="35">
        <v>120</v>
      </c>
      <c r="F28" s="35">
        <v>3600</v>
      </c>
      <c r="G28" s="35">
        <v>3060</v>
      </c>
      <c r="H28" s="36">
        <v>51</v>
      </c>
      <c r="I28" s="26">
        <v>0.85</v>
      </c>
    </row>
    <row r="29" spans="2:9" ht="19" customHeight="1" x14ac:dyDescent="0.35">
      <c r="B29" s="7" t="s">
        <v>1149</v>
      </c>
      <c r="C29" s="29" t="s">
        <v>546</v>
      </c>
      <c r="D29" s="7" t="s">
        <v>1205</v>
      </c>
      <c r="E29" s="35">
        <v>120</v>
      </c>
      <c r="F29" s="35">
        <v>3600</v>
      </c>
      <c r="G29" s="35">
        <v>3060</v>
      </c>
      <c r="H29" s="36">
        <v>51</v>
      </c>
      <c r="I29" s="26">
        <v>0.85</v>
      </c>
    </row>
    <row r="30" spans="2:9" ht="19" customHeight="1" x14ac:dyDescent="0.35">
      <c r="B30" s="7" t="s">
        <v>1149</v>
      </c>
      <c r="C30" s="29" t="s">
        <v>548</v>
      </c>
      <c r="D30" s="7" t="s">
        <v>1150</v>
      </c>
      <c r="E30" s="35">
        <v>120</v>
      </c>
      <c r="F30" s="35">
        <v>3600</v>
      </c>
      <c r="G30" s="35">
        <v>3060</v>
      </c>
      <c r="H30" s="36">
        <v>51</v>
      </c>
      <c r="I30" s="26">
        <v>0.85</v>
      </c>
    </row>
    <row r="31" spans="2:9" ht="19" customHeight="1" x14ac:dyDescent="0.35">
      <c r="B31" s="7" t="s">
        <v>1149</v>
      </c>
      <c r="C31" s="29" t="s">
        <v>543</v>
      </c>
      <c r="D31" s="7" t="s">
        <v>1130</v>
      </c>
      <c r="E31" s="35">
        <v>120</v>
      </c>
      <c r="F31" s="35">
        <v>3600</v>
      </c>
      <c r="G31" s="35">
        <v>3060</v>
      </c>
      <c r="H31" s="36">
        <v>51</v>
      </c>
      <c r="I31" s="26">
        <v>0.85</v>
      </c>
    </row>
    <row r="32" spans="2:9" ht="19" customHeight="1" x14ac:dyDescent="0.35">
      <c r="B32" s="7" t="s">
        <v>1149</v>
      </c>
      <c r="C32" s="29" t="s">
        <v>552</v>
      </c>
      <c r="D32" s="7" t="s">
        <v>1169</v>
      </c>
      <c r="E32" s="35">
        <v>120</v>
      </c>
      <c r="F32" s="35">
        <v>3600</v>
      </c>
      <c r="G32" s="35">
        <v>2592</v>
      </c>
      <c r="H32" s="36">
        <v>43.2</v>
      </c>
      <c r="I32" s="26">
        <v>0.72</v>
      </c>
    </row>
    <row r="33" spans="2:9" ht="19" customHeight="1" x14ac:dyDescent="0.35">
      <c r="B33" s="7" t="s">
        <v>1149</v>
      </c>
      <c r="C33" s="29" t="s">
        <v>554</v>
      </c>
      <c r="D33" s="7" t="s">
        <v>1175</v>
      </c>
      <c r="E33" s="35">
        <v>45</v>
      </c>
      <c r="F33" s="35">
        <v>1350</v>
      </c>
      <c r="G33" s="35">
        <v>1147.5</v>
      </c>
      <c r="H33" s="36">
        <v>19.13</v>
      </c>
      <c r="I33" s="26">
        <v>0.85</v>
      </c>
    </row>
    <row r="34" spans="2:9" ht="19" customHeight="1" x14ac:dyDescent="0.35">
      <c r="B34" s="7" t="s">
        <v>1149</v>
      </c>
      <c r="C34" s="29" t="s">
        <v>560</v>
      </c>
      <c r="D34" s="7" t="s">
        <v>1205</v>
      </c>
      <c r="E34" s="35">
        <v>45</v>
      </c>
      <c r="F34" s="35">
        <v>1350</v>
      </c>
      <c r="G34" s="35">
        <v>1147.5</v>
      </c>
      <c r="H34" s="36">
        <v>19.13</v>
      </c>
      <c r="I34" s="26">
        <v>0.85</v>
      </c>
    </row>
    <row r="35" spans="2:9" ht="19" customHeight="1" x14ac:dyDescent="0.35">
      <c r="B35" s="7" t="s">
        <v>1149</v>
      </c>
      <c r="C35" s="29" t="s">
        <v>557</v>
      </c>
      <c r="D35" s="7" t="s">
        <v>1150</v>
      </c>
      <c r="E35" s="35">
        <v>45</v>
      </c>
      <c r="F35" s="35">
        <v>1350</v>
      </c>
      <c r="G35" s="35">
        <v>1147.5</v>
      </c>
      <c r="H35" s="36">
        <v>19.13</v>
      </c>
      <c r="I35" s="26">
        <v>0.85</v>
      </c>
    </row>
    <row r="36" spans="2:9" ht="19" customHeight="1" x14ac:dyDescent="0.35">
      <c r="B36" s="7" t="s">
        <v>1149</v>
      </c>
      <c r="C36" s="29" t="s">
        <v>562</v>
      </c>
      <c r="D36" s="7" t="s">
        <v>1130</v>
      </c>
      <c r="E36" s="35">
        <v>45</v>
      </c>
      <c r="F36" s="35">
        <v>1350</v>
      </c>
      <c r="G36" s="35">
        <v>1147.5</v>
      </c>
      <c r="H36" s="36">
        <v>19.13</v>
      </c>
      <c r="I36" s="26">
        <v>0.85</v>
      </c>
    </row>
    <row r="37" spans="2:9" ht="19" customHeight="1" x14ac:dyDescent="0.35">
      <c r="B37" s="7" t="s">
        <v>1145</v>
      </c>
      <c r="C37" s="29" t="s">
        <v>543</v>
      </c>
      <c r="D37" s="7" t="s">
        <v>1130</v>
      </c>
      <c r="E37" s="35">
        <v>120</v>
      </c>
      <c r="F37" s="35">
        <v>3600</v>
      </c>
      <c r="G37" s="35">
        <v>3060</v>
      </c>
      <c r="H37" s="36">
        <v>51</v>
      </c>
      <c r="I37" s="26">
        <v>0.85</v>
      </c>
    </row>
    <row r="38" spans="2:9" ht="19" customHeight="1" x14ac:dyDescent="0.35">
      <c r="B38" s="7" t="s">
        <v>1145</v>
      </c>
      <c r="C38" s="29" t="s">
        <v>550</v>
      </c>
      <c r="D38" s="7" t="s">
        <v>1164</v>
      </c>
      <c r="E38" s="35">
        <v>120</v>
      </c>
      <c r="F38" s="35">
        <v>3600</v>
      </c>
      <c r="G38" s="35">
        <v>3060</v>
      </c>
      <c r="H38" s="36">
        <v>51</v>
      </c>
      <c r="I38" s="26">
        <v>0.85</v>
      </c>
    </row>
    <row r="39" spans="2:9" ht="19" customHeight="1" x14ac:dyDescent="0.35">
      <c r="B39" s="7" t="s">
        <v>1145</v>
      </c>
      <c r="C39" s="29" t="s">
        <v>546</v>
      </c>
      <c r="D39" s="7" t="s">
        <v>1205</v>
      </c>
      <c r="E39" s="35">
        <v>120</v>
      </c>
      <c r="F39" s="35">
        <v>3600</v>
      </c>
      <c r="G39" s="35">
        <v>3060</v>
      </c>
      <c r="H39" s="36">
        <v>51</v>
      </c>
      <c r="I39" s="26">
        <v>0.85</v>
      </c>
    </row>
    <row r="40" spans="2:9" ht="19" customHeight="1" x14ac:dyDescent="0.35">
      <c r="B40" s="7" t="s">
        <v>1145</v>
      </c>
      <c r="C40" s="29" t="s">
        <v>548</v>
      </c>
      <c r="D40" s="7" t="s">
        <v>1150</v>
      </c>
      <c r="E40" s="35">
        <v>120</v>
      </c>
      <c r="F40" s="35">
        <v>3600</v>
      </c>
      <c r="G40" s="35">
        <v>3060</v>
      </c>
      <c r="H40" s="36">
        <v>51</v>
      </c>
      <c r="I40" s="26">
        <v>0.85</v>
      </c>
    </row>
    <row r="41" spans="2:9" ht="19" customHeight="1" x14ac:dyDescent="0.35">
      <c r="B41" s="7" t="s">
        <v>1145</v>
      </c>
      <c r="C41" s="29" t="s">
        <v>552</v>
      </c>
      <c r="D41" s="7" t="s">
        <v>1169</v>
      </c>
      <c r="E41" s="35">
        <v>120</v>
      </c>
      <c r="F41" s="35">
        <v>3600</v>
      </c>
      <c r="G41" s="35">
        <v>2592</v>
      </c>
      <c r="H41" s="36">
        <v>43.2</v>
      </c>
      <c r="I41" s="26">
        <v>0.72</v>
      </c>
    </row>
    <row r="42" spans="2:9" ht="19" customHeight="1" x14ac:dyDescent="0.35">
      <c r="B42" s="7" t="s">
        <v>1145</v>
      </c>
      <c r="C42" s="29" t="s">
        <v>554</v>
      </c>
      <c r="D42" s="7" t="s">
        <v>1175</v>
      </c>
      <c r="E42" s="35">
        <v>45</v>
      </c>
      <c r="F42" s="35">
        <v>1350</v>
      </c>
      <c r="G42" s="35">
        <v>1147.5</v>
      </c>
      <c r="H42" s="36">
        <v>19.13</v>
      </c>
      <c r="I42" s="26">
        <v>0.85</v>
      </c>
    </row>
    <row r="43" spans="2:9" ht="19" customHeight="1" x14ac:dyDescent="0.35">
      <c r="B43" s="7" t="s">
        <v>1145</v>
      </c>
      <c r="C43" s="29" t="s">
        <v>557</v>
      </c>
      <c r="D43" s="7" t="s">
        <v>1150</v>
      </c>
      <c r="E43" s="35">
        <v>45</v>
      </c>
      <c r="F43" s="35">
        <v>1350</v>
      </c>
      <c r="G43" s="35">
        <v>1147.5</v>
      </c>
      <c r="H43" s="36">
        <v>19.13</v>
      </c>
      <c r="I43" s="26">
        <v>0.85</v>
      </c>
    </row>
    <row r="44" spans="2:9" ht="19" customHeight="1" x14ac:dyDescent="0.35">
      <c r="B44" s="7" t="s">
        <v>1145</v>
      </c>
      <c r="C44" s="29" t="s">
        <v>562</v>
      </c>
      <c r="D44" s="7" t="s">
        <v>1130</v>
      </c>
      <c r="E44" s="35">
        <v>45</v>
      </c>
      <c r="F44" s="35">
        <v>1350</v>
      </c>
      <c r="G44" s="35">
        <v>1147.5</v>
      </c>
      <c r="H44" s="36">
        <v>19.13</v>
      </c>
      <c r="I44" s="26">
        <v>0.85</v>
      </c>
    </row>
    <row r="45" spans="2:9" ht="19" customHeight="1" x14ac:dyDescent="0.35">
      <c r="B45" s="7" t="s">
        <v>1145</v>
      </c>
      <c r="C45" s="29" t="s">
        <v>560</v>
      </c>
      <c r="D45" s="7" t="s">
        <v>1205</v>
      </c>
      <c r="E45" s="35">
        <v>45</v>
      </c>
      <c r="F45" s="35">
        <v>1350</v>
      </c>
      <c r="G45" s="35">
        <v>1147.5</v>
      </c>
      <c r="H45" s="36">
        <v>19.13</v>
      </c>
      <c r="I45" s="26">
        <v>0.85</v>
      </c>
    </row>
    <row r="46" spans="2:9" ht="19" customHeight="1" x14ac:dyDescent="0.35">
      <c r="B46" s="7" t="s">
        <v>1135</v>
      </c>
      <c r="C46" s="29" t="s">
        <v>550</v>
      </c>
      <c r="D46" s="7" t="s">
        <v>1164</v>
      </c>
      <c r="E46" s="35">
        <v>120</v>
      </c>
      <c r="F46" s="35">
        <v>3600</v>
      </c>
      <c r="G46" s="35">
        <v>3060</v>
      </c>
      <c r="H46" s="36">
        <v>51</v>
      </c>
      <c r="I46" s="26">
        <v>0.85</v>
      </c>
    </row>
    <row r="47" spans="2:9" ht="19" customHeight="1" x14ac:dyDescent="0.35">
      <c r="B47" s="7" t="s">
        <v>1135</v>
      </c>
      <c r="C47" s="29" t="s">
        <v>543</v>
      </c>
      <c r="D47" s="7" t="s">
        <v>1130</v>
      </c>
      <c r="E47" s="35">
        <v>120</v>
      </c>
      <c r="F47" s="35">
        <v>3600</v>
      </c>
      <c r="G47" s="35">
        <v>3060</v>
      </c>
      <c r="H47" s="36">
        <v>51</v>
      </c>
      <c r="I47" s="26">
        <v>0.85</v>
      </c>
    </row>
    <row r="48" spans="2:9" ht="19" customHeight="1" x14ac:dyDescent="0.35">
      <c r="B48" s="7" t="s">
        <v>1135</v>
      </c>
      <c r="C48" s="29" t="s">
        <v>548</v>
      </c>
      <c r="D48" s="7" t="s">
        <v>1150</v>
      </c>
      <c r="E48" s="35">
        <v>120</v>
      </c>
      <c r="F48" s="35">
        <v>3600</v>
      </c>
      <c r="G48" s="35">
        <v>3060</v>
      </c>
      <c r="H48" s="36">
        <v>51</v>
      </c>
      <c r="I48" s="26">
        <v>0.85</v>
      </c>
    </row>
    <row r="49" spans="2:9" ht="19" customHeight="1" x14ac:dyDescent="0.35">
      <c r="B49" s="7" t="s">
        <v>1135</v>
      </c>
      <c r="C49" s="29" t="s">
        <v>546</v>
      </c>
      <c r="D49" s="7" t="s">
        <v>1205</v>
      </c>
      <c r="E49" s="35">
        <v>120</v>
      </c>
      <c r="F49" s="35">
        <v>3600</v>
      </c>
      <c r="G49" s="35">
        <v>3060</v>
      </c>
      <c r="H49" s="36">
        <v>51</v>
      </c>
      <c r="I49" s="26">
        <v>0.85</v>
      </c>
    </row>
    <row r="50" spans="2:9" ht="19" customHeight="1" x14ac:dyDescent="0.35">
      <c r="B50" s="7" t="s">
        <v>1135</v>
      </c>
      <c r="C50" s="29" t="s">
        <v>552</v>
      </c>
      <c r="D50" s="7" t="s">
        <v>1169</v>
      </c>
      <c r="E50" s="35">
        <v>120</v>
      </c>
      <c r="F50" s="35">
        <v>3600</v>
      </c>
      <c r="G50" s="35">
        <v>2592</v>
      </c>
      <c r="H50" s="36">
        <v>43.2</v>
      </c>
      <c r="I50" s="26">
        <v>0.72</v>
      </c>
    </row>
    <row r="51" spans="2:9" ht="19" customHeight="1" x14ac:dyDescent="0.35">
      <c r="B51" s="7" t="s">
        <v>1135</v>
      </c>
      <c r="C51" s="29" t="s">
        <v>560</v>
      </c>
      <c r="D51" s="7" t="s">
        <v>1205</v>
      </c>
      <c r="E51" s="35">
        <v>45</v>
      </c>
      <c r="F51" s="35">
        <v>1350</v>
      </c>
      <c r="G51" s="35">
        <v>1147.5</v>
      </c>
      <c r="H51" s="36">
        <v>19.13</v>
      </c>
      <c r="I51" s="26">
        <v>0.85</v>
      </c>
    </row>
    <row r="52" spans="2:9" ht="19" customHeight="1" x14ac:dyDescent="0.35">
      <c r="B52" s="7" t="s">
        <v>1135</v>
      </c>
      <c r="C52" s="29" t="s">
        <v>562</v>
      </c>
      <c r="D52" s="7" t="s">
        <v>1130</v>
      </c>
      <c r="E52" s="35">
        <v>45</v>
      </c>
      <c r="F52" s="35">
        <v>1350</v>
      </c>
      <c r="G52" s="35">
        <v>1147.5</v>
      </c>
      <c r="H52" s="36">
        <v>19.13</v>
      </c>
      <c r="I52" s="26">
        <v>0.85</v>
      </c>
    </row>
    <row r="53" spans="2:9" ht="19" customHeight="1" x14ac:dyDescent="0.35">
      <c r="B53" s="7" t="s">
        <v>1135</v>
      </c>
      <c r="C53" s="29" t="s">
        <v>554</v>
      </c>
      <c r="D53" s="7" t="s">
        <v>1175</v>
      </c>
      <c r="E53" s="35">
        <v>45</v>
      </c>
      <c r="F53" s="35">
        <v>1350</v>
      </c>
      <c r="G53" s="35">
        <v>1147.5</v>
      </c>
      <c r="H53" s="36">
        <v>19.13</v>
      </c>
      <c r="I53" s="26">
        <v>0.85</v>
      </c>
    </row>
    <row r="54" spans="2:9" ht="19" customHeight="1" x14ac:dyDescent="0.35">
      <c r="B54" s="7" t="s">
        <v>1135</v>
      </c>
      <c r="C54" s="29" t="s">
        <v>557</v>
      </c>
      <c r="D54" s="7" t="s">
        <v>1150</v>
      </c>
      <c r="E54" s="35">
        <v>45</v>
      </c>
      <c r="F54" s="35">
        <v>1350</v>
      </c>
      <c r="G54" s="35">
        <v>1147.5</v>
      </c>
      <c r="H54" s="36">
        <v>19.13</v>
      </c>
      <c r="I54" s="26">
        <v>0.85</v>
      </c>
    </row>
    <row r="55" spans="2:9" ht="19" customHeight="1" x14ac:dyDescent="0.35">
      <c r="B55" s="7" t="s">
        <v>1137</v>
      </c>
      <c r="C55" s="29" t="s">
        <v>548</v>
      </c>
      <c r="D55" s="7" t="s">
        <v>1150</v>
      </c>
      <c r="E55" s="35">
        <v>120</v>
      </c>
      <c r="F55" s="35">
        <v>3600</v>
      </c>
      <c r="G55" s="35">
        <v>3060</v>
      </c>
      <c r="H55" s="36">
        <v>51</v>
      </c>
      <c r="I55" s="26">
        <v>0.85</v>
      </c>
    </row>
    <row r="56" spans="2:9" ht="19" customHeight="1" x14ac:dyDescent="0.35">
      <c r="B56" s="7" t="s">
        <v>1137</v>
      </c>
      <c r="C56" s="29" t="s">
        <v>546</v>
      </c>
      <c r="D56" s="7" t="s">
        <v>1205</v>
      </c>
      <c r="E56" s="35">
        <v>120</v>
      </c>
      <c r="F56" s="35">
        <v>3600</v>
      </c>
      <c r="G56" s="35">
        <v>3060</v>
      </c>
      <c r="H56" s="36">
        <v>51</v>
      </c>
      <c r="I56" s="26">
        <v>0.85</v>
      </c>
    </row>
    <row r="57" spans="2:9" ht="19" customHeight="1" x14ac:dyDescent="0.35">
      <c r="B57" s="7" t="s">
        <v>1137</v>
      </c>
      <c r="C57" s="29" t="s">
        <v>543</v>
      </c>
      <c r="D57" s="7" t="s">
        <v>1130</v>
      </c>
      <c r="E57" s="35">
        <v>120</v>
      </c>
      <c r="F57" s="35">
        <v>3600</v>
      </c>
      <c r="G57" s="35">
        <v>3060</v>
      </c>
      <c r="H57" s="36">
        <v>51</v>
      </c>
      <c r="I57" s="26">
        <v>0.85</v>
      </c>
    </row>
    <row r="58" spans="2:9" ht="19" customHeight="1" x14ac:dyDescent="0.35">
      <c r="B58" s="7" t="s">
        <v>1137</v>
      </c>
      <c r="C58" s="29" t="s">
        <v>550</v>
      </c>
      <c r="D58" s="7" t="s">
        <v>1164</v>
      </c>
      <c r="E58" s="35">
        <v>120</v>
      </c>
      <c r="F58" s="35">
        <v>3600</v>
      </c>
      <c r="G58" s="35">
        <v>3060</v>
      </c>
      <c r="H58" s="36">
        <v>51</v>
      </c>
      <c r="I58" s="26">
        <v>0.85</v>
      </c>
    </row>
    <row r="59" spans="2:9" ht="19" customHeight="1" x14ac:dyDescent="0.35">
      <c r="B59" s="7" t="s">
        <v>1137</v>
      </c>
      <c r="C59" s="29" t="s">
        <v>552</v>
      </c>
      <c r="D59" s="7" t="s">
        <v>1169</v>
      </c>
      <c r="E59" s="35">
        <v>120</v>
      </c>
      <c r="F59" s="35">
        <v>3600</v>
      </c>
      <c r="G59" s="35">
        <v>2592</v>
      </c>
      <c r="H59" s="36">
        <v>43.2</v>
      </c>
      <c r="I59" s="26">
        <v>0.72</v>
      </c>
    </row>
    <row r="60" spans="2:9" ht="19" customHeight="1" x14ac:dyDescent="0.35">
      <c r="B60" s="7" t="s">
        <v>1137</v>
      </c>
      <c r="C60" s="29" t="s">
        <v>557</v>
      </c>
      <c r="D60" s="7" t="s">
        <v>1150</v>
      </c>
      <c r="E60" s="35">
        <v>45</v>
      </c>
      <c r="F60" s="35">
        <v>1350</v>
      </c>
      <c r="G60" s="35">
        <v>1147.5</v>
      </c>
      <c r="H60" s="36">
        <v>19.13</v>
      </c>
      <c r="I60" s="26">
        <v>0.85</v>
      </c>
    </row>
    <row r="61" spans="2:9" ht="19" customHeight="1" x14ac:dyDescent="0.35">
      <c r="B61" s="7" t="s">
        <v>1137</v>
      </c>
      <c r="C61" s="29" t="s">
        <v>554</v>
      </c>
      <c r="D61" s="7" t="s">
        <v>1175</v>
      </c>
      <c r="E61" s="35">
        <v>45</v>
      </c>
      <c r="F61" s="35">
        <v>1350</v>
      </c>
      <c r="G61" s="35">
        <v>1147.5</v>
      </c>
      <c r="H61" s="36">
        <v>19.13</v>
      </c>
      <c r="I61" s="26">
        <v>0.85</v>
      </c>
    </row>
    <row r="62" spans="2:9" ht="19" customHeight="1" x14ac:dyDescent="0.35">
      <c r="B62" s="7" t="s">
        <v>1137</v>
      </c>
      <c r="C62" s="29" t="s">
        <v>562</v>
      </c>
      <c r="D62" s="7" t="s">
        <v>1130</v>
      </c>
      <c r="E62" s="35">
        <v>45</v>
      </c>
      <c r="F62" s="35">
        <v>1350</v>
      </c>
      <c r="G62" s="35">
        <v>1147.5</v>
      </c>
      <c r="H62" s="36">
        <v>19.13</v>
      </c>
      <c r="I62" s="26">
        <v>0.85</v>
      </c>
    </row>
    <row r="63" spans="2:9" ht="19" customHeight="1" x14ac:dyDescent="0.35">
      <c r="B63" s="7" t="s">
        <v>1137</v>
      </c>
      <c r="C63" s="29" t="s">
        <v>560</v>
      </c>
      <c r="D63" s="7" t="s">
        <v>1205</v>
      </c>
      <c r="E63" s="35">
        <v>45</v>
      </c>
      <c r="F63" s="35">
        <v>1350</v>
      </c>
      <c r="G63" s="35">
        <v>1147.5</v>
      </c>
      <c r="H63" s="36">
        <v>19.13</v>
      </c>
      <c r="I63" s="26">
        <v>0.85</v>
      </c>
    </row>
    <row r="64" spans="2:9" ht="19" customHeight="1" x14ac:dyDescent="0.35">
      <c r="B64" s="7" t="s">
        <v>1171</v>
      </c>
      <c r="C64" s="29" t="s">
        <v>546</v>
      </c>
      <c r="D64" s="7" t="s">
        <v>1205</v>
      </c>
      <c r="E64" s="35">
        <v>120</v>
      </c>
      <c r="F64" s="35">
        <v>3600</v>
      </c>
      <c r="G64" s="35">
        <v>3060</v>
      </c>
      <c r="H64" s="36">
        <v>51</v>
      </c>
      <c r="I64" s="26">
        <v>0.85</v>
      </c>
    </row>
    <row r="65" spans="2:9" ht="19" customHeight="1" x14ac:dyDescent="0.35">
      <c r="B65" s="7" t="s">
        <v>1171</v>
      </c>
      <c r="C65" s="29" t="s">
        <v>543</v>
      </c>
      <c r="D65" s="7" t="s">
        <v>1130</v>
      </c>
      <c r="E65" s="35">
        <v>120</v>
      </c>
      <c r="F65" s="35">
        <v>3600</v>
      </c>
      <c r="G65" s="35">
        <v>3060</v>
      </c>
      <c r="H65" s="36">
        <v>51</v>
      </c>
      <c r="I65" s="26">
        <v>0.85</v>
      </c>
    </row>
    <row r="66" spans="2:9" ht="19" customHeight="1" x14ac:dyDescent="0.35">
      <c r="B66" s="7" t="s">
        <v>1171</v>
      </c>
      <c r="C66" s="29" t="s">
        <v>550</v>
      </c>
      <c r="D66" s="7" t="s">
        <v>1164</v>
      </c>
      <c r="E66" s="35">
        <v>120</v>
      </c>
      <c r="F66" s="35">
        <v>3600</v>
      </c>
      <c r="G66" s="35">
        <v>3060</v>
      </c>
      <c r="H66" s="36">
        <v>51</v>
      </c>
      <c r="I66" s="26">
        <v>0.85</v>
      </c>
    </row>
    <row r="67" spans="2:9" ht="19" customHeight="1" x14ac:dyDescent="0.35">
      <c r="B67" s="7" t="s">
        <v>1171</v>
      </c>
      <c r="C67" s="29" t="s">
        <v>548</v>
      </c>
      <c r="D67" s="7" t="s">
        <v>1150</v>
      </c>
      <c r="E67" s="35">
        <v>120</v>
      </c>
      <c r="F67" s="35">
        <v>3600</v>
      </c>
      <c r="G67" s="35">
        <v>3060</v>
      </c>
      <c r="H67" s="36">
        <v>51</v>
      </c>
      <c r="I67" s="26">
        <v>0.85</v>
      </c>
    </row>
    <row r="68" spans="2:9" ht="19" customHeight="1" x14ac:dyDescent="0.35">
      <c r="B68" s="7" t="s">
        <v>1171</v>
      </c>
      <c r="C68" s="29" t="s">
        <v>552</v>
      </c>
      <c r="D68" s="7" t="s">
        <v>1169</v>
      </c>
      <c r="E68" s="35">
        <v>120</v>
      </c>
      <c r="F68" s="35">
        <v>3600</v>
      </c>
      <c r="G68" s="35">
        <v>2592</v>
      </c>
      <c r="H68" s="36">
        <v>43.2</v>
      </c>
      <c r="I68" s="26">
        <v>0.72</v>
      </c>
    </row>
    <row r="69" spans="2:9" ht="19" customHeight="1" x14ac:dyDescent="0.35">
      <c r="B69" s="7" t="s">
        <v>1171</v>
      </c>
      <c r="C69" s="29" t="s">
        <v>557</v>
      </c>
      <c r="D69" s="7" t="s">
        <v>1150</v>
      </c>
      <c r="E69" s="35">
        <v>45</v>
      </c>
      <c r="F69" s="35">
        <v>1350</v>
      </c>
      <c r="G69" s="35">
        <v>1147.5</v>
      </c>
      <c r="H69" s="36">
        <v>19.13</v>
      </c>
      <c r="I69" s="26">
        <v>0.85</v>
      </c>
    </row>
    <row r="70" spans="2:9" ht="19" customHeight="1" x14ac:dyDescent="0.35">
      <c r="B70" s="7" t="s">
        <v>1171</v>
      </c>
      <c r="C70" s="29" t="s">
        <v>560</v>
      </c>
      <c r="D70" s="7" t="s">
        <v>1205</v>
      </c>
      <c r="E70" s="35">
        <v>45</v>
      </c>
      <c r="F70" s="35">
        <v>1350</v>
      </c>
      <c r="G70" s="35">
        <v>1147.5</v>
      </c>
      <c r="H70" s="36">
        <v>19.13</v>
      </c>
      <c r="I70" s="26">
        <v>0.85</v>
      </c>
    </row>
    <row r="71" spans="2:9" ht="19" customHeight="1" x14ac:dyDescent="0.35">
      <c r="B71" s="7" t="s">
        <v>1171</v>
      </c>
      <c r="C71" s="29" t="s">
        <v>554</v>
      </c>
      <c r="D71" s="7" t="s">
        <v>1175</v>
      </c>
      <c r="E71" s="35">
        <v>45</v>
      </c>
      <c r="F71" s="35">
        <v>1350</v>
      </c>
      <c r="G71" s="35">
        <v>1147.5</v>
      </c>
      <c r="H71" s="36">
        <v>19.13</v>
      </c>
      <c r="I71" s="26">
        <v>0.85</v>
      </c>
    </row>
    <row r="72" spans="2:9" ht="19" customHeight="1" x14ac:dyDescent="0.35">
      <c r="B72" s="7" t="s">
        <v>1171</v>
      </c>
      <c r="C72" s="29" t="s">
        <v>562</v>
      </c>
      <c r="D72" s="7" t="s">
        <v>1130</v>
      </c>
      <c r="E72" s="35">
        <v>45</v>
      </c>
      <c r="F72" s="35">
        <v>1350</v>
      </c>
      <c r="G72" s="35">
        <v>1147.5</v>
      </c>
      <c r="H72" s="36">
        <v>19.13</v>
      </c>
      <c r="I72" s="26">
        <v>0.85</v>
      </c>
    </row>
    <row r="73" spans="2:9" ht="19" customHeight="1" x14ac:dyDescent="0.35">
      <c r="B73" s="7" t="s">
        <v>1157</v>
      </c>
      <c r="C73" s="29" t="s">
        <v>543</v>
      </c>
      <c r="D73" s="7" t="s">
        <v>1130</v>
      </c>
      <c r="E73" s="35">
        <v>120</v>
      </c>
      <c r="F73" s="35">
        <v>3600</v>
      </c>
      <c r="G73" s="35">
        <v>3060</v>
      </c>
      <c r="H73" s="36">
        <v>51</v>
      </c>
      <c r="I73" s="26">
        <v>0.85</v>
      </c>
    </row>
    <row r="74" spans="2:9" ht="19" customHeight="1" x14ac:dyDescent="0.35">
      <c r="B74" s="7" t="s">
        <v>1157</v>
      </c>
      <c r="C74" s="29" t="s">
        <v>546</v>
      </c>
      <c r="D74" s="7" t="s">
        <v>1205</v>
      </c>
      <c r="E74" s="35">
        <v>120</v>
      </c>
      <c r="F74" s="35">
        <v>3600</v>
      </c>
      <c r="G74" s="35">
        <v>3060</v>
      </c>
      <c r="H74" s="36">
        <v>51</v>
      </c>
      <c r="I74" s="26">
        <v>0.85</v>
      </c>
    </row>
    <row r="75" spans="2:9" ht="19" customHeight="1" x14ac:dyDescent="0.35">
      <c r="B75" s="7" t="s">
        <v>1157</v>
      </c>
      <c r="C75" s="29" t="s">
        <v>550</v>
      </c>
      <c r="D75" s="7" t="s">
        <v>1164</v>
      </c>
      <c r="E75" s="35">
        <v>120</v>
      </c>
      <c r="F75" s="35">
        <v>3600</v>
      </c>
      <c r="G75" s="35">
        <v>3060</v>
      </c>
      <c r="H75" s="36">
        <v>51</v>
      </c>
      <c r="I75" s="26">
        <v>0.85</v>
      </c>
    </row>
    <row r="76" spans="2:9" ht="19" customHeight="1" x14ac:dyDescent="0.35">
      <c r="B76" s="7" t="s">
        <v>1157</v>
      </c>
      <c r="C76" s="29" t="s">
        <v>548</v>
      </c>
      <c r="D76" s="7" t="s">
        <v>1150</v>
      </c>
      <c r="E76" s="35">
        <v>120</v>
      </c>
      <c r="F76" s="35">
        <v>3600</v>
      </c>
      <c r="G76" s="35">
        <v>3060</v>
      </c>
      <c r="H76" s="36">
        <v>51</v>
      </c>
      <c r="I76" s="26">
        <v>0.85</v>
      </c>
    </row>
    <row r="77" spans="2:9" ht="19" customHeight="1" x14ac:dyDescent="0.35">
      <c r="B77" s="7" t="s">
        <v>1157</v>
      </c>
      <c r="C77" s="29" t="s">
        <v>552</v>
      </c>
      <c r="D77" s="7" t="s">
        <v>1169</v>
      </c>
      <c r="E77" s="35">
        <v>120</v>
      </c>
      <c r="F77" s="35">
        <v>3600</v>
      </c>
      <c r="G77" s="35">
        <v>2592</v>
      </c>
      <c r="H77" s="36">
        <v>43.2</v>
      </c>
      <c r="I77" s="26">
        <v>0.72</v>
      </c>
    </row>
    <row r="78" spans="2:9" ht="19" customHeight="1" x14ac:dyDescent="0.35">
      <c r="B78" s="7" t="s">
        <v>1157</v>
      </c>
      <c r="C78" s="29" t="s">
        <v>557</v>
      </c>
      <c r="D78" s="7" t="s">
        <v>1150</v>
      </c>
      <c r="E78" s="35">
        <v>45</v>
      </c>
      <c r="F78" s="35">
        <v>1350</v>
      </c>
      <c r="G78" s="35">
        <v>1147.5</v>
      </c>
      <c r="H78" s="36">
        <v>19.13</v>
      </c>
      <c r="I78" s="26">
        <v>0.85</v>
      </c>
    </row>
    <row r="79" spans="2:9" ht="19" customHeight="1" x14ac:dyDescent="0.35">
      <c r="B79" s="7" t="s">
        <v>1157</v>
      </c>
      <c r="C79" s="29" t="s">
        <v>562</v>
      </c>
      <c r="D79" s="7" t="s">
        <v>1130</v>
      </c>
      <c r="E79" s="35">
        <v>45</v>
      </c>
      <c r="F79" s="35">
        <v>1350</v>
      </c>
      <c r="G79" s="35">
        <v>1147.5</v>
      </c>
      <c r="H79" s="36">
        <v>19.13</v>
      </c>
      <c r="I79" s="26">
        <v>0.85</v>
      </c>
    </row>
    <row r="80" spans="2:9" ht="19" customHeight="1" x14ac:dyDescent="0.35">
      <c r="B80" s="7" t="s">
        <v>1157</v>
      </c>
      <c r="C80" s="29" t="s">
        <v>560</v>
      </c>
      <c r="D80" s="7" t="s">
        <v>1205</v>
      </c>
      <c r="E80" s="35">
        <v>45</v>
      </c>
      <c r="F80" s="35">
        <v>1350</v>
      </c>
      <c r="G80" s="35">
        <v>1147.5</v>
      </c>
      <c r="H80" s="36">
        <v>19.13</v>
      </c>
      <c r="I80" s="26">
        <v>0.85</v>
      </c>
    </row>
    <row r="81" spans="2:9" ht="19" customHeight="1" x14ac:dyDescent="0.35">
      <c r="B81" s="7" t="s">
        <v>1157</v>
      </c>
      <c r="C81" s="29" t="s">
        <v>554</v>
      </c>
      <c r="D81" s="7" t="s">
        <v>1175</v>
      </c>
      <c r="E81" s="35">
        <v>45</v>
      </c>
      <c r="F81" s="35">
        <v>1350</v>
      </c>
      <c r="G81" s="35">
        <v>1147.5</v>
      </c>
      <c r="H81" s="36">
        <v>19.13</v>
      </c>
      <c r="I81" s="26">
        <v>0.85</v>
      </c>
    </row>
  </sheetData>
  <mergeCells count="14">
    <mergeCell ref="B1:I1"/>
    <mergeCell ref="B4:C4"/>
    <mergeCell ref="B2:J2"/>
    <mergeCell ref="D6:E6"/>
    <mergeCell ref="B6:C6"/>
    <mergeCell ref="F4:G4"/>
    <mergeCell ref="H6:I6"/>
    <mergeCell ref="B5:C5"/>
    <mergeCell ref="F5:G5"/>
    <mergeCell ref="D5:E5"/>
    <mergeCell ref="F6:G6"/>
    <mergeCell ref="D4:E4"/>
    <mergeCell ref="H5:I5"/>
    <mergeCell ref="H4:I4"/>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64748B"/>
  </sheetPr>
  <dimension ref="A1:I61"/>
  <sheetViews>
    <sheetView zoomScale="85" workbookViewId="0"/>
  </sheetViews>
  <sheetFormatPr defaultRowHeight="14.5" x14ac:dyDescent="0.35"/>
  <cols>
    <col min="1" max="1" width="11" customWidth="1"/>
    <col min="2" max="2" width="29" customWidth="1"/>
    <col min="3" max="3" width="45" customWidth="1"/>
    <col min="4" max="4" width="31" customWidth="1"/>
    <col min="5" max="5" width="106" customWidth="1"/>
    <col min="6" max="6" width="120" customWidth="1"/>
    <col min="7" max="7" width="123" customWidth="1"/>
    <col min="8" max="8" width="29" customWidth="1"/>
    <col min="9" max="9" width="24" customWidth="1"/>
  </cols>
  <sheetData>
    <row r="1" spans="1:9" ht="20" customHeight="1" x14ac:dyDescent="0.35">
      <c r="A1" s="2" t="s">
        <v>1348</v>
      </c>
      <c r="B1" s="2" t="s">
        <v>685</v>
      </c>
      <c r="C1" s="2" t="s">
        <v>1349</v>
      </c>
      <c r="D1" s="2" t="s">
        <v>124</v>
      </c>
      <c r="E1" s="2" t="s">
        <v>1350</v>
      </c>
      <c r="F1" s="2" t="s">
        <v>1351</v>
      </c>
      <c r="G1" s="2" t="s">
        <v>1352</v>
      </c>
      <c r="H1" s="2" t="s">
        <v>1353</v>
      </c>
      <c r="I1" s="2" t="s">
        <v>1354</v>
      </c>
    </row>
    <row r="2" spans="1:9" x14ac:dyDescent="0.35">
      <c r="A2">
        <v>1</v>
      </c>
      <c r="B2" t="s">
        <v>692</v>
      </c>
      <c r="C2" t="s">
        <v>693</v>
      </c>
      <c r="D2" t="s">
        <v>694</v>
      </c>
      <c r="E2" t="s">
        <v>695</v>
      </c>
      <c r="F2" t="s">
        <v>696</v>
      </c>
      <c r="G2" t="s">
        <v>697</v>
      </c>
      <c r="H2" t="s">
        <v>698</v>
      </c>
      <c r="I2" t="s">
        <v>699</v>
      </c>
    </row>
    <row r="3" spans="1:9" x14ac:dyDescent="0.35">
      <c r="A3">
        <v>2</v>
      </c>
      <c r="B3" t="s">
        <v>700</v>
      </c>
      <c r="C3" t="s">
        <v>701</v>
      </c>
      <c r="D3" t="s">
        <v>694</v>
      </c>
      <c r="E3" t="s">
        <v>702</v>
      </c>
      <c r="F3" t="s">
        <v>703</v>
      </c>
      <c r="G3" t="s">
        <v>704</v>
      </c>
      <c r="H3" t="s">
        <v>705</v>
      </c>
      <c r="I3" t="s">
        <v>699</v>
      </c>
    </row>
    <row r="4" spans="1:9" x14ac:dyDescent="0.35">
      <c r="A4">
        <v>3</v>
      </c>
      <c r="B4" t="s">
        <v>706</v>
      </c>
      <c r="C4" t="s">
        <v>707</v>
      </c>
      <c r="D4" t="s">
        <v>694</v>
      </c>
      <c r="E4" t="s">
        <v>708</v>
      </c>
      <c r="F4" t="s">
        <v>709</v>
      </c>
      <c r="G4" t="s">
        <v>710</v>
      </c>
      <c r="H4" t="s">
        <v>711</v>
      </c>
      <c r="I4" t="s">
        <v>712</v>
      </c>
    </row>
    <row r="5" spans="1:9" x14ac:dyDescent="0.35">
      <c r="A5">
        <v>4</v>
      </c>
      <c r="B5" t="s">
        <v>255</v>
      </c>
      <c r="C5" t="s">
        <v>713</v>
      </c>
      <c r="D5" t="s">
        <v>714</v>
      </c>
      <c r="E5" t="s">
        <v>715</v>
      </c>
      <c r="F5" t="s">
        <v>716</v>
      </c>
      <c r="G5" t="s">
        <v>717</v>
      </c>
      <c r="H5" t="s">
        <v>698</v>
      </c>
      <c r="I5" t="s">
        <v>699</v>
      </c>
    </row>
    <row r="6" spans="1:9" x14ac:dyDescent="0.35">
      <c r="A6">
        <v>5</v>
      </c>
      <c r="B6" t="s">
        <v>718</v>
      </c>
      <c r="C6" t="s">
        <v>719</v>
      </c>
      <c r="D6" t="s">
        <v>720</v>
      </c>
      <c r="E6" t="s">
        <v>721</v>
      </c>
      <c r="F6" t="s">
        <v>722</v>
      </c>
      <c r="G6" t="s">
        <v>723</v>
      </c>
      <c r="H6" t="s">
        <v>724</v>
      </c>
      <c r="I6" t="s">
        <v>699</v>
      </c>
    </row>
    <row r="7" spans="1:9" x14ac:dyDescent="0.35">
      <c r="A7">
        <v>6</v>
      </c>
      <c r="B7" t="s">
        <v>725</v>
      </c>
      <c r="C7" t="s">
        <v>726</v>
      </c>
      <c r="D7" t="s">
        <v>727</v>
      </c>
      <c r="E7" t="s">
        <v>728</v>
      </c>
      <c r="F7" t="s">
        <v>729</v>
      </c>
      <c r="G7" t="s">
        <v>730</v>
      </c>
      <c r="H7" t="s">
        <v>731</v>
      </c>
      <c r="I7" t="s">
        <v>732</v>
      </c>
    </row>
    <row r="8" spans="1:9" x14ac:dyDescent="0.35">
      <c r="A8">
        <v>7</v>
      </c>
      <c r="B8" t="s">
        <v>733</v>
      </c>
      <c r="C8" t="s">
        <v>734</v>
      </c>
      <c r="D8" t="s">
        <v>694</v>
      </c>
      <c r="E8" t="s">
        <v>735</v>
      </c>
      <c r="F8" t="s">
        <v>736</v>
      </c>
      <c r="G8" t="s">
        <v>737</v>
      </c>
      <c r="H8" t="s">
        <v>738</v>
      </c>
      <c r="I8" t="s">
        <v>739</v>
      </c>
    </row>
    <row r="9" spans="1:9" x14ac:dyDescent="0.35">
      <c r="A9">
        <v>8</v>
      </c>
      <c r="B9" t="s">
        <v>740</v>
      </c>
      <c r="C9" t="s">
        <v>741</v>
      </c>
      <c r="D9" t="s">
        <v>694</v>
      </c>
      <c r="E9" t="s">
        <v>742</v>
      </c>
      <c r="F9" t="s">
        <v>743</v>
      </c>
      <c r="G9" t="s">
        <v>744</v>
      </c>
      <c r="H9" t="s">
        <v>698</v>
      </c>
      <c r="I9" t="s">
        <v>712</v>
      </c>
    </row>
    <row r="10" spans="1:9" x14ac:dyDescent="0.35">
      <c r="A10">
        <v>9</v>
      </c>
      <c r="B10" t="s">
        <v>336</v>
      </c>
      <c r="C10" t="s">
        <v>745</v>
      </c>
      <c r="D10" t="s">
        <v>694</v>
      </c>
      <c r="E10" t="s">
        <v>746</v>
      </c>
      <c r="F10" t="s">
        <v>747</v>
      </c>
      <c r="G10" t="s">
        <v>748</v>
      </c>
      <c r="H10" t="s">
        <v>749</v>
      </c>
      <c r="I10" t="s">
        <v>750</v>
      </c>
    </row>
    <row r="11" spans="1:9" x14ac:dyDescent="0.35">
      <c r="A11">
        <v>10</v>
      </c>
      <c r="B11" t="s">
        <v>751</v>
      </c>
      <c r="C11" t="s">
        <v>752</v>
      </c>
      <c r="D11" t="s">
        <v>694</v>
      </c>
      <c r="E11" t="s">
        <v>753</v>
      </c>
      <c r="F11" t="s">
        <v>754</v>
      </c>
      <c r="G11" t="s">
        <v>755</v>
      </c>
      <c r="H11" t="s">
        <v>749</v>
      </c>
      <c r="I11" t="s">
        <v>750</v>
      </c>
    </row>
    <row r="12" spans="1:9" x14ac:dyDescent="0.35">
      <c r="A12">
        <v>11</v>
      </c>
      <c r="B12" t="s">
        <v>756</v>
      </c>
      <c r="C12" t="s">
        <v>350</v>
      </c>
      <c r="D12" t="s">
        <v>694</v>
      </c>
      <c r="E12" t="s">
        <v>757</v>
      </c>
      <c r="F12" t="s">
        <v>758</v>
      </c>
      <c r="G12" t="s">
        <v>759</v>
      </c>
      <c r="H12" t="s">
        <v>738</v>
      </c>
      <c r="I12" t="s">
        <v>739</v>
      </c>
    </row>
    <row r="13" spans="1:9" x14ac:dyDescent="0.35">
      <c r="A13">
        <v>12</v>
      </c>
      <c r="B13" t="s">
        <v>760</v>
      </c>
      <c r="C13" t="s">
        <v>761</v>
      </c>
      <c r="D13" t="s">
        <v>694</v>
      </c>
      <c r="E13" t="s">
        <v>762</v>
      </c>
      <c r="F13" t="s">
        <v>763</v>
      </c>
      <c r="G13" t="s">
        <v>764</v>
      </c>
      <c r="H13" t="s">
        <v>698</v>
      </c>
      <c r="I13" t="s">
        <v>712</v>
      </c>
    </row>
    <row r="14" spans="1:9" x14ac:dyDescent="0.35">
      <c r="A14">
        <v>13</v>
      </c>
      <c r="B14" t="s">
        <v>765</v>
      </c>
      <c r="C14" t="s">
        <v>766</v>
      </c>
      <c r="D14" t="s">
        <v>767</v>
      </c>
      <c r="E14" t="s">
        <v>768</v>
      </c>
      <c r="F14" t="s">
        <v>769</v>
      </c>
      <c r="G14" t="s">
        <v>770</v>
      </c>
      <c r="H14" t="s">
        <v>705</v>
      </c>
      <c r="I14" t="s">
        <v>699</v>
      </c>
    </row>
    <row r="15" spans="1:9" x14ac:dyDescent="0.35">
      <c r="A15">
        <v>14</v>
      </c>
      <c r="B15" t="s">
        <v>771</v>
      </c>
      <c r="C15" t="s">
        <v>772</v>
      </c>
      <c r="D15" t="s">
        <v>720</v>
      </c>
      <c r="E15" t="s">
        <v>773</v>
      </c>
      <c r="F15" t="s">
        <v>774</v>
      </c>
      <c r="G15" t="s">
        <v>775</v>
      </c>
      <c r="H15" t="s">
        <v>698</v>
      </c>
      <c r="I15" t="s">
        <v>776</v>
      </c>
    </row>
    <row r="16" spans="1:9" x14ac:dyDescent="0.35">
      <c r="A16">
        <v>15</v>
      </c>
      <c r="B16" t="s">
        <v>777</v>
      </c>
      <c r="C16" t="s">
        <v>778</v>
      </c>
      <c r="D16" t="s">
        <v>767</v>
      </c>
      <c r="E16" t="s">
        <v>779</v>
      </c>
      <c r="F16" t="s">
        <v>780</v>
      </c>
      <c r="G16" t="s">
        <v>781</v>
      </c>
      <c r="H16" t="s">
        <v>782</v>
      </c>
      <c r="I16" t="s">
        <v>783</v>
      </c>
    </row>
    <row r="17" spans="1:9" x14ac:dyDescent="0.35">
      <c r="A17">
        <v>16</v>
      </c>
      <c r="B17" t="s">
        <v>784</v>
      </c>
      <c r="C17" t="s">
        <v>785</v>
      </c>
      <c r="D17" t="s">
        <v>767</v>
      </c>
      <c r="E17" t="s">
        <v>786</v>
      </c>
      <c r="F17" t="s">
        <v>787</v>
      </c>
      <c r="G17" t="s">
        <v>788</v>
      </c>
      <c r="H17" t="s">
        <v>784</v>
      </c>
      <c r="I17" t="s">
        <v>789</v>
      </c>
    </row>
    <row r="18" spans="1:9" x14ac:dyDescent="0.35">
      <c r="A18">
        <v>17</v>
      </c>
      <c r="B18" t="s">
        <v>790</v>
      </c>
      <c r="C18" t="s">
        <v>791</v>
      </c>
      <c r="D18" t="s">
        <v>694</v>
      </c>
      <c r="E18" t="s">
        <v>792</v>
      </c>
      <c r="F18" t="s">
        <v>793</v>
      </c>
      <c r="G18" t="s">
        <v>794</v>
      </c>
      <c r="H18" t="s">
        <v>705</v>
      </c>
      <c r="I18" t="s">
        <v>699</v>
      </c>
    </row>
    <row r="19" spans="1:9" x14ac:dyDescent="0.35">
      <c r="A19">
        <v>18</v>
      </c>
      <c r="B19" t="s">
        <v>92</v>
      </c>
      <c r="C19" t="s">
        <v>795</v>
      </c>
      <c r="D19" t="s">
        <v>767</v>
      </c>
      <c r="E19" t="s">
        <v>796</v>
      </c>
      <c r="F19" t="s">
        <v>797</v>
      </c>
      <c r="G19" t="s">
        <v>798</v>
      </c>
      <c r="H19" t="s">
        <v>705</v>
      </c>
      <c r="I19" t="s">
        <v>699</v>
      </c>
    </row>
    <row r="20" spans="1:9" x14ac:dyDescent="0.35">
      <c r="A20">
        <v>19</v>
      </c>
      <c r="B20" t="s">
        <v>94</v>
      </c>
      <c r="C20" t="s">
        <v>799</v>
      </c>
      <c r="D20" t="s">
        <v>767</v>
      </c>
      <c r="E20" t="s">
        <v>800</v>
      </c>
      <c r="F20" t="s">
        <v>801</v>
      </c>
      <c r="G20" t="s">
        <v>802</v>
      </c>
      <c r="H20" t="s">
        <v>698</v>
      </c>
      <c r="I20" t="s">
        <v>803</v>
      </c>
    </row>
    <row r="21" spans="1:9" x14ac:dyDescent="0.35">
      <c r="A21">
        <v>20</v>
      </c>
      <c r="B21" t="s">
        <v>804</v>
      </c>
      <c r="C21" t="s">
        <v>805</v>
      </c>
      <c r="D21" t="s">
        <v>767</v>
      </c>
      <c r="E21" t="s">
        <v>806</v>
      </c>
      <c r="F21" t="s">
        <v>807</v>
      </c>
      <c r="G21" t="s">
        <v>808</v>
      </c>
      <c r="H21" t="s">
        <v>698</v>
      </c>
      <c r="I21" t="s">
        <v>712</v>
      </c>
    </row>
    <row r="22" spans="1:9" x14ac:dyDescent="0.35">
      <c r="A22">
        <v>21</v>
      </c>
      <c r="B22" t="s">
        <v>809</v>
      </c>
      <c r="C22" t="s">
        <v>810</v>
      </c>
      <c r="D22" t="s">
        <v>767</v>
      </c>
      <c r="E22" t="s">
        <v>811</v>
      </c>
      <c r="F22" t="s">
        <v>812</v>
      </c>
      <c r="G22" t="s">
        <v>813</v>
      </c>
      <c r="H22" t="s">
        <v>698</v>
      </c>
      <c r="I22" t="s">
        <v>814</v>
      </c>
    </row>
    <row r="23" spans="1:9" x14ac:dyDescent="0.35">
      <c r="A23">
        <v>22</v>
      </c>
      <c r="B23" t="s">
        <v>815</v>
      </c>
      <c r="C23" t="s">
        <v>816</v>
      </c>
      <c r="D23" t="s">
        <v>727</v>
      </c>
      <c r="E23" t="s">
        <v>817</v>
      </c>
      <c r="F23" t="s">
        <v>818</v>
      </c>
      <c r="G23" t="s">
        <v>819</v>
      </c>
      <c r="H23" t="s">
        <v>698</v>
      </c>
      <c r="I23" t="s">
        <v>712</v>
      </c>
    </row>
    <row r="24" spans="1:9" x14ac:dyDescent="0.35">
      <c r="A24">
        <v>23</v>
      </c>
      <c r="B24" t="s">
        <v>820</v>
      </c>
      <c r="C24" t="s">
        <v>821</v>
      </c>
      <c r="D24" t="s">
        <v>727</v>
      </c>
      <c r="E24" t="s">
        <v>822</v>
      </c>
      <c r="F24" t="s">
        <v>823</v>
      </c>
      <c r="G24" t="s">
        <v>824</v>
      </c>
      <c r="H24" t="s">
        <v>825</v>
      </c>
      <c r="I24" t="s">
        <v>732</v>
      </c>
    </row>
    <row r="25" spans="1:9" x14ac:dyDescent="0.35">
      <c r="A25">
        <v>24</v>
      </c>
      <c r="B25" t="s">
        <v>826</v>
      </c>
      <c r="C25" t="s">
        <v>827</v>
      </c>
      <c r="D25" t="s">
        <v>694</v>
      </c>
      <c r="E25" t="s">
        <v>828</v>
      </c>
      <c r="F25" t="s">
        <v>829</v>
      </c>
      <c r="G25" t="s">
        <v>830</v>
      </c>
      <c r="H25" t="s">
        <v>435</v>
      </c>
      <c r="I25" t="s">
        <v>750</v>
      </c>
    </row>
    <row r="26" spans="1:9" x14ac:dyDescent="0.35">
      <c r="A26">
        <v>25</v>
      </c>
      <c r="B26" t="s">
        <v>831</v>
      </c>
      <c r="C26" t="s">
        <v>832</v>
      </c>
      <c r="D26" t="s">
        <v>727</v>
      </c>
      <c r="E26" t="s">
        <v>833</v>
      </c>
      <c r="F26" t="s">
        <v>834</v>
      </c>
      <c r="G26" t="s">
        <v>835</v>
      </c>
      <c r="H26" t="s">
        <v>825</v>
      </c>
      <c r="I26" t="s">
        <v>732</v>
      </c>
    </row>
    <row r="27" spans="1:9" x14ac:dyDescent="0.35">
      <c r="A27">
        <v>26</v>
      </c>
      <c r="B27" t="s">
        <v>836</v>
      </c>
      <c r="C27" t="s">
        <v>837</v>
      </c>
      <c r="D27" t="s">
        <v>720</v>
      </c>
      <c r="E27" t="s">
        <v>838</v>
      </c>
      <c r="F27" t="s">
        <v>839</v>
      </c>
      <c r="G27" t="s">
        <v>840</v>
      </c>
      <c r="H27" t="s">
        <v>825</v>
      </c>
      <c r="I27" t="s">
        <v>732</v>
      </c>
    </row>
    <row r="28" spans="1:9" x14ac:dyDescent="0.35">
      <c r="A28">
        <v>27</v>
      </c>
      <c r="B28" t="s">
        <v>108</v>
      </c>
      <c r="C28" t="s">
        <v>841</v>
      </c>
      <c r="D28" t="s">
        <v>842</v>
      </c>
      <c r="E28" t="s">
        <v>843</v>
      </c>
      <c r="F28" t="s">
        <v>844</v>
      </c>
      <c r="G28" t="s">
        <v>845</v>
      </c>
      <c r="H28" t="s">
        <v>846</v>
      </c>
      <c r="I28" t="s">
        <v>847</v>
      </c>
    </row>
    <row r="29" spans="1:9" x14ac:dyDescent="0.35">
      <c r="A29">
        <v>28</v>
      </c>
      <c r="B29" t="s">
        <v>100</v>
      </c>
      <c r="C29" t="s">
        <v>848</v>
      </c>
      <c r="D29" t="s">
        <v>694</v>
      </c>
      <c r="E29" t="s">
        <v>849</v>
      </c>
      <c r="F29" t="s">
        <v>850</v>
      </c>
      <c r="G29" t="s">
        <v>851</v>
      </c>
      <c r="H29" t="s">
        <v>705</v>
      </c>
      <c r="I29" t="s">
        <v>699</v>
      </c>
    </row>
    <row r="30" spans="1:9" x14ac:dyDescent="0.35">
      <c r="A30">
        <v>29</v>
      </c>
      <c r="B30" t="s">
        <v>102</v>
      </c>
      <c r="C30" t="s">
        <v>852</v>
      </c>
      <c r="D30" t="s">
        <v>714</v>
      </c>
      <c r="E30" t="s">
        <v>853</v>
      </c>
      <c r="F30" t="s">
        <v>854</v>
      </c>
      <c r="G30" t="s">
        <v>855</v>
      </c>
      <c r="H30" t="s">
        <v>856</v>
      </c>
      <c r="I30" t="s">
        <v>712</v>
      </c>
    </row>
    <row r="31" spans="1:9" x14ac:dyDescent="0.35">
      <c r="A31">
        <v>30</v>
      </c>
      <c r="B31" t="s">
        <v>104</v>
      </c>
      <c r="C31" t="s">
        <v>857</v>
      </c>
      <c r="D31" t="s">
        <v>858</v>
      </c>
      <c r="E31" t="s">
        <v>859</v>
      </c>
      <c r="F31" t="s">
        <v>860</v>
      </c>
      <c r="G31" t="s">
        <v>861</v>
      </c>
      <c r="H31" t="s">
        <v>862</v>
      </c>
      <c r="I31" t="s">
        <v>863</v>
      </c>
    </row>
    <row r="32" spans="1:9" x14ac:dyDescent="0.35">
      <c r="A32">
        <v>31</v>
      </c>
      <c r="B32" t="s">
        <v>110</v>
      </c>
      <c r="C32" t="s">
        <v>864</v>
      </c>
      <c r="D32" t="s">
        <v>694</v>
      </c>
      <c r="E32" t="s">
        <v>865</v>
      </c>
      <c r="F32" t="s">
        <v>866</v>
      </c>
      <c r="G32" t="s">
        <v>867</v>
      </c>
      <c r="H32" t="s">
        <v>705</v>
      </c>
      <c r="I32" t="s">
        <v>868</v>
      </c>
    </row>
    <row r="33" spans="1:9" x14ac:dyDescent="0.35">
      <c r="A33">
        <v>32</v>
      </c>
      <c r="B33" t="s">
        <v>106</v>
      </c>
      <c r="C33" t="s">
        <v>869</v>
      </c>
      <c r="D33" t="s">
        <v>870</v>
      </c>
      <c r="E33" t="s">
        <v>871</v>
      </c>
      <c r="F33" t="s">
        <v>872</v>
      </c>
      <c r="G33" t="s">
        <v>873</v>
      </c>
      <c r="H33" t="s">
        <v>874</v>
      </c>
      <c r="I33" t="s">
        <v>875</v>
      </c>
    </row>
    <row r="34" spans="1:9" x14ac:dyDescent="0.35">
      <c r="A34">
        <v>33</v>
      </c>
      <c r="B34" t="s">
        <v>876</v>
      </c>
      <c r="C34" t="s">
        <v>877</v>
      </c>
      <c r="D34" t="s">
        <v>858</v>
      </c>
      <c r="E34" t="s">
        <v>878</v>
      </c>
      <c r="F34" t="s">
        <v>879</v>
      </c>
      <c r="G34" t="s">
        <v>880</v>
      </c>
      <c r="H34" t="s">
        <v>881</v>
      </c>
      <c r="I34" t="s">
        <v>789</v>
      </c>
    </row>
    <row r="35" spans="1:9" x14ac:dyDescent="0.35">
      <c r="A35">
        <v>34</v>
      </c>
      <c r="B35" t="s">
        <v>882</v>
      </c>
      <c r="C35" t="s">
        <v>883</v>
      </c>
      <c r="D35" t="s">
        <v>714</v>
      </c>
      <c r="E35" t="s">
        <v>884</v>
      </c>
      <c r="F35" t="s">
        <v>885</v>
      </c>
      <c r="G35" t="s">
        <v>886</v>
      </c>
      <c r="H35" t="s">
        <v>856</v>
      </c>
      <c r="I35" t="s">
        <v>712</v>
      </c>
    </row>
    <row r="36" spans="1:9" x14ac:dyDescent="0.35">
      <c r="A36">
        <v>35</v>
      </c>
      <c r="B36" t="s">
        <v>240</v>
      </c>
      <c r="C36" t="s">
        <v>887</v>
      </c>
      <c r="D36" t="s">
        <v>714</v>
      </c>
      <c r="E36" t="s">
        <v>888</v>
      </c>
      <c r="F36" t="s">
        <v>889</v>
      </c>
      <c r="G36" t="s">
        <v>890</v>
      </c>
      <c r="H36" t="s">
        <v>698</v>
      </c>
      <c r="I36" t="s">
        <v>712</v>
      </c>
    </row>
    <row r="37" spans="1:9" x14ac:dyDescent="0.35">
      <c r="A37">
        <v>36</v>
      </c>
      <c r="B37" t="s">
        <v>891</v>
      </c>
      <c r="C37" t="s">
        <v>892</v>
      </c>
      <c r="D37" t="s">
        <v>720</v>
      </c>
      <c r="E37" t="s">
        <v>893</v>
      </c>
      <c r="F37" t="s">
        <v>894</v>
      </c>
      <c r="G37" t="s">
        <v>895</v>
      </c>
      <c r="H37" t="s">
        <v>738</v>
      </c>
      <c r="I37" t="s">
        <v>712</v>
      </c>
    </row>
    <row r="38" spans="1:9" x14ac:dyDescent="0.35">
      <c r="A38">
        <v>37</v>
      </c>
      <c r="B38" t="s">
        <v>896</v>
      </c>
      <c r="C38" t="s">
        <v>897</v>
      </c>
      <c r="D38" t="s">
        <v>858</v>
      </c>
      <c r="E38" t="s">
        <v>898</v>
      </c>
      <c r="F38" t="s">
        <v>899</v>
      </c>
      <c r="G38" t="s">
        <v>900</v>
      </c>
      <c r="H38" t="s">
        <v>901</v>
      </c>
      <c r="I38" t="s">
        <v>863</v>
      </c>
    </row>
    <row r="39" spans="1:9" x14ac:dyDescent="0.35">
      <c r="A39">
        <v>38</v>
      </c>
      <c r="B39" t="s">
        <v>902</v>
      </c>
      <c r="C39" t="s">
        <v>903</v>
      </c>
      <c r="D39" t="s">
        <v>767</v>
      </c>
      <c r="E39" t="s">
        <v>904</v>
      </c>
      <c r="F39" t="s">
        <v>905</v>
      </c>
      <c r="G39" t="s">
        <v>906</v>
      </c>
      <c r="H39" t="s">
        <v>902</v>
      </c>
      <c r="I39" t="s">
        <v>803</v>
      </c>
    </row>
    <row r="40" spans="1:9" x14ac:dyDescent="0.35">
      <c r="A40">
        <v>39</v>
      </c>
      <c r="B40" t="s">
        <v>907</v>
      </c>
      <c r="C40" t="s">
        <v>908</v>
      </c>
      <c r="D40" t="s">
        <v>694</v>
      </c>
      <c r="E40" t="s">
        <v>909</v>
      </c>
      <c r="F40" t="s">
        <v>910</v>
      </c>
      <c r="G40" t="s">
        <v>911</v>
      </c>
      <c r="H40" t="s">
        <v>738</v>
      </c>
      <c r="I40" t="s">
        <v>739</v>
      </c>
    </row>
    <row r="41" spans="1:9" x14ac:dyDescent="0.35">
      <c r="A41">
        <v>40</v>
      </c>
      <c r="B41" t="s">
        <v>912</v>
      </c>
      <c r="C41" t="s">
        <v>913</v>
      </c>
      <c r="D41" t="s">
        <v>870</v>
      </c>
      <c r="E41" t="s">
        <v>914</v>
      </c>
      <c r="F41" t="s">
        <v>915</v>
      </c>
      <c r="G41" t="s">
        <v>916</v>
      </c>
      <c r="H41" t="s">
        <v>917</v>
      </c>
      <c r="I41" t="s">
        <v>875</v>
      </c>
    </row>
    <row r="42" spans="1:9" x14ac:dyDescent="0.35">
      <c r="A42">
        <v>41</v>
      </c>
      <c r="B42" t="s">
        <v>918</v>
      </c>
      <c r="C42" t="s">
        <v>919</v>
      </c>
      <c r="D42" t="s">
        <v>714</v>
      </c>
      <c r="E42" t="s">
        <v>920</v>
      </c>
      <c r="F42" t="s">
        <v>921</v>
      </c>
      <c r="G42" t="s">
        <v>922</v>
      </c>
      <c r="H42" t="s">
        <v>698</v>
      </c>
      <c r="I42" t="s">
        <v>712</v>
      </c>
    </row>
    <row r="43" spans="1:9" x14ac:dyDescent="0.35">
      <c r="A43">
        <v>42</v>
      </c>
      <c r="B43" t="s">
        <v>923</v>
      </c>
      <c r="C43" t="s">
        <v>924</v>
      </c>
      <c r="D43" t="s">
        <v>858</v>
      </c>
      <c r="E43" t="s">
        <v>925</v>
      </c>
      <c r="F43" t="s">
        <v>926</v>
      </c>
      <c r="G43" t="s">
        <v>927</v>
      </c>
      <c r="H43" t="s">
        <v>928</v>
      </c>
      <c r="I43" t="s">
        <v>789</v>
      </c>
    </row>
    <row r="44" spans="1:9" x14ac:dyDescent="0.35">
      <c r="A44">
        <v>43</v>
      </c>
      <c r="B44" t="s">
        <v>335</v>
      </c>
      <c r="C44" t="s">
        <v>929</v>
      </c>
      <c r="D44" t="s">
        <v>694</v>
      </c>
      <c r="E44" t="s">
        <v>930</v>
      </c>
      <c r="F44" t="s">
        <v>931</v>
      </c>
      <c r="G44" t="s">
        <v>932</v>
      </c>
      <c r="H44" t="s">
        <v>749</v>
      </c>
      <c r="I44" t="s">
        <v>750</v>
      </c>
    </row>
    <row r="45" spans="1:9" x14ac:dyDescent="0.35">
      <c r="A45">
        <v>44</v>
      </c>
      <c r="B45" t="s">
        <v>333</v>
      </c>
      <c r="C45" t="s">
        <v>933</v>
      </c>
      <c r="D45" t="s">
        <v>694</v>
      </c>
      <c r="E45" t="s">
        <v>934</v>
      </c>
      <c r="F45" t="s">
        <v>935</v>
      </c>
      <c r="G45" t="s">
        <v>936</v>
      </c>
      <c r="H45" t="s">
        <v>749</v>
      </c>
      <c r="I45" t="s">
        <v>750</v>
      </c>
    </row>
    <row r="46" spans="1:9" x14ac:dyDescent="0.35">
      <c r="A46">
        <v>45</v>
      </c>
      <c r="B46" t="s">
        <v>937</v>
      </c>
      <c r="C46" t="s">
        <v>938</v>
      </c>
      <c r="D46" t="s">
        <v>767</v>
      </c>
      <c r="E46" t="s">
        <v>939</v>
      </c>
      <c r="F46" t="s">
        <v>940</v>
      </c>
      <c r="G46" t="s">
        <v>941</v>
      </c>
      <c r="H46" t="s">
        <v>942</v>
      </c>
      <c r="I46" t="s">
        <v>943</v>
      </c>
    </row>
    <row r="47" spans="1:9" x14ac:dyDescent="0.35">
      <c r="A47">
        <v>46</v>
      </c>
      <c r="B47" t="s">
        <v>944</v>
      </c>
      <c r="C47" t="s">
        <v>945</v>
      </c>
      <c r="D47" t="s">
        <v>767</v>
      </c>
      <c r="E47" t="s">
        <v>946</v>
      </c>
      <c r="F47" t="s">
        <v>947</v>
      </c>
      <c r="G47" t="s">
        <v>948</v>
      </c>
      <c r="H47" t="s">
        <v>942</v>
      </c>
      <c r="I47" t="s">
        <v>949</v>
      </c>
    </row>
    <row r="48" spans="1:9" x14ac:dyDescent="0.35">
      <c r="A48">
        <v>47</v>
      </c>
      <c r="B48" t="s">
        <v>950</v>
      </c>
      <c r="C48" t="s">
        <v>951</v>
      </c>
      <c r="D48" t="s">
        <v>720</v>
      </c>
      <c r="E48" t="s">
        <v>952</v>
      </c>
      <c r="F48" t="s">
        <v>953</v>
      </c>
      <c r="G48" t="s">
        <v>954</v>
      </c>
      <c r="H48" t="s">
        <v>698</v>
      </c>
      <c r="I48" t="s">
        <v>776</v>
      </c>
    </row>
    <row r="49" spans="1:9" x14ac:dyDescent="0.35">
      <c r="A49">
        <v>48</v>
      </c>
      <c r="B49" t="s">
        <v>955</v>
      </c>
      <c r="C49" t="s">
        <v>956</v>
      </c>
      <c r="D49" t="s">
        <v>842</v>
      </c>
      <c r="E49" t="s">
        <v>957</v>
      </c>
      <c r="F49" t="s">
        <v>958</v>
      </c>
      <c r="G49" t="s">
        <v>959</v>
      </c>
      <c r="H49" t="s">
        <v>711</v>
      </c>
      <c r="I49" t="s">
        <v>847</v>
      </c>
    </row>
    <row r="50" spans="1:9" x14ac:dyDescent="0.35">
      <c r="A50">
        <v>49</v>
      </c>
      <c r="B50" t="s">
        <v>410</v>
      </c>
      <c r="C50" t="s">
        <v>960</v>
      </c>
      <c r="D50" t="s">
        <v>842</v>
      </c>
      <c r="E50" t="s">
        <v>961</v>
      </c>
      <c r="F50" t="s">
        <v>962</v>
      </c>
      <c r="G50" t="s">
        <v>963</v>
      </c>
      <c r="H50" t="s">
        <v>738</v>
      </c>
      <c r="I50" t="s">
        <v>712</v>
      </c>
    </row>
    <row r="51" spans="1:9" x14ac:dyDescent="0.35">
      <c r="A51">
        <v>50</v>
      </c>
      <c r="B51" t="s">
        <v>541</v>
      </c>
      <c r="C51" t="s">
        <v>964</v>
      </c>
      <c r="D51" t="s">
        <v>870</v>
      </c>
      <c r="E51" t="s">
        <v>965</v>
      </c>
      <c r="F51" t="s">
        <v>966</v>
      </c>
      <c r="G51" t="s">
        <v>967</v>
      </c>
      <c r="H51" t="s">
        <v>968</v>
      </c>
      <c r="I51" t="s">
        <v>875</v>
      </c>
    </row>
    <row r="52" spans="1:9" x14ac:dyDescent="0.35">
      <c r="A52">
        <v>51</v>
      </c>
      <c r="B52" t="s">
        <v>969</v>
      </c>
      <c r="C52" t="s">
        <v>970</v>
      </c>
      <c r="D52" t="s">
        <v>694</v>
      </c>
      <c r="E52" t="s">
        <v>971</v>
      </c>
      <c r="F52" t="s">
        <v>972</v>
      </c>
      <c r="G52" t="s">
        <v>794</v>
      </c>
      <c r="H52" t="s">
        <v>705</v>
      </c>
      <c r="I52" t="s">
        <v>699</v>
      </c>
    </row>
    <row r="53" spans="1:9" x14ac:dyDescent="0.35">
      <c r="A53">
        <v>52</v>
      </c>
      <c r="B53" t="s">
        <v>973</v>
      </c>
      <c r="C53" t="s">
        <v>974</v>
      </c>
      <c r="D53" t="s">
        <v>870</v>
      </c>
      <c r="E53" t="s">
        <v>975</v>
      </c>
      <c r="F53" t="s">
        <v>976</v>
      </c>
      <c r="G53" t="s">
        <v>977</v>
      </c>
      <c r="H53" t="s">
        <v>874</v>
      </c>
      <c r="I53" t="s">
        <v>875</v>
      </c>
    </row>
    <row r="54" spans="1:9" x14ac:dyDescent="0.35">
      <c r="A54">
        <v>53</v>
      </c>
      <c r="B54" t="s">
        <v>978</v>
      </c>
      <c r="C54" t="s">
        <v>979</v>
      </c>
      <c r="D54" t="s">
        <v>858</v>
      </c>
      <c r="E54" t="s">
        <v>980</v>
      </c>
      <c r="F54" t="s">
        <v>981</v>
      </c>
      <c r="G54" t="s">
        <v>982</v>
      </c>
      <c r="H54" t="s">
        <v>901</v>
      </c>
      <c r="I54" t="s">
        <v>863</v>
      </c>
    </row>
    <row r="55" spans="1:9" x14ac:dyDescent="0.35">
      <c r="A55">
        <v>54</v>
      </c>
      <c r="B55" t="s">
        <v>983</v>
      </c>
      <c r="C55" t="s">
        <v>984</v>
      </c>
      <c r="D55" t="s">
        <v>694</v>
      </c>
      <c r="E55" t="s">
        <v>985</v>
      </c>
      <c r="F55" t="s">
        <v>986</v>
      </c>
      <c r="G55" t="s">
        <v>794</v>
      </c>
      <c r="H55" t="s">
        <v>749</v>
      </c>
      <c r="I55" t="s">
        <v>750</v>
      </c>
    </row>
    <row r="56" spans="1:9" x14ac:dyDescent="0.35">
      <c r="A56">
        <v>55</v>
      </c>
      <c r="B56" t="s">
        <v>987</v>
      </c>
      <c r="C56" t="s">
        <v>988</v>
      </c>
      <c r="D56" t="s">
        <v>720</v>
      </c>
      <c r="E56" t="s">
        <v>989</v>
      </c>
      <c r="F56" t="s">
        <v>990</v>
      </c>
      <c r="G56" t="s">
        <v>991</v>
      </c>
      <c r="H56" t="s">
        <v>711</v>
      </c>
      <c r="I56" t="s">
        <v>847</v>
      </c>
    </row>
    <row r="57" spans="1:9" x14ac:dyDescent="0.35">
      <c r="A57">
        <v>56</v>
      </c>
      <c r="B57" t="s">
        <v>992</v>
      </c>
      <c r="C57" t="s">
        <v>993</v>
      </c>
      <c r="D57" t="s">
        <v>767</v>
      </c>
      <c r="E57" t="s">
        <v>994</v>
      </c>
      <c r="F57" t="s">
        <v>995</v>
      </c>
      <c r="G57" t="s">
        <v>996</v>
      </c>
      <c r="H57" t="s">
        <v>942</v>
      </c>
      <c r="I57" t="s">
        <v>783</v>
      </c>
    </row>
    <row r="58" spans="1:9" x14ac:dyDescent="0.35">
      <c r="A58">
        <v>57</v>
      </c>
      <c r="B58" t="s">
        <v>997</v>
      </c>
      <c r="C58" t="s">
        <v>998</v>
      </c>
      <c r="D58" t="s">
        <v>858</v>
      </c>
      <c r="E58" t="s">
        <v>999</v>
      </c>
      <c r="F58" t="s">
        <v>1000</v>
      </c>
      <c r="G58" t="s">
        <v>1001</v>
      </c>
      <c r="H58" t="s">
        <v>435</v>
      </c>
      <c r="I58" t="s">
        <v>803</v>
      </c>
    </row>
    <row r="59" spans="1:9" x14ac:dyDescent="0.35">
      <c r="A59">
        <v>58</v>
      </c>
      <c r="B59" t="s">
        <v>1002</v>
      </c>
      <c r="C59" t="s">
        <v>1003</v>
      </c>
      <c r="D59" t="s">
        <v>727</v>
      </c>
      <c r="E59" t="s">
        <v>1004</v>
      </c>
      <c r="F59" t="s">
        <v>1005</v>
      </c>
      <c r="G59" t="s">
        <v>1006</v>
      </c>
      <c r="H59" t="s">
        <v>825</v>
      </c>
      <c r="I59" t="s">
        <v>732</v>
      </c>
    </row>
    <row r="60" spans="1:9" x14ac:dyDescent="0.35">
      <c r="A60">
        <v>59</v>
      </c>
      <c r="B60" t="s">
        <v>1007</v>
      </c>
      <c r="C60" t="s">
        <v>1008</v>
      </c>
      <c r="D60" t="s">
        <v>727</v>
      </c>
      <c r="E60" t="s">
        <v>1009</v>
      </c>
      <c r="F60" t="s">
        <v>1010</v>
      </c>
      <c r="G60" t="s">
        <v>1011</v>
      </c>
      <c r="H60" t="s">
        <v>825</v>
      </c>
      <c r="I60" t="s">
        <v>732</v>
      </c>
    </row>
    <row r="61" spans="1:9" x14ac:dyDescent="0.35">
      <c r="A61">
        <v>60</v>
      </c>
      <c r="B61" t="s">
        <v>1012</v>
      </c>
      <c r="C61" t="s">
        <v>1013</v>
      </c>
      <c r="D61" t="s">
        <v>694</v>
      </c>
      <c r="E61" t="s">
        <v>1014</v>
      </c>
      <c r="F61" t="s">
        <v>1015</v>
      </c>
      <c r="G61" t="s">
        <v>1016</v>
      </c>
      <c r="H61" t="s">
        <v>698</v>
      </c>
      <c r="I61" t="s">
        <v>699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64748B"/>
  </sheetPr>
  <dimension ref="A1:H30"/>
  <sheetViews>
    <sheetView zoomScale="85" workbookViewId="0"/>
  </sheetViews>
  <sheetFormatPr defaultRowHeight="14.5" x14ac:dyDescent="0.35"/>
  <cols>
    <col min="1" max="1" width="11" customWidth="1"/>
    <col min="2" max="2" width="17" customWidth="1"/>
    <col min="3" max="3" width="50" customWidth="1"/>
    <col min="4" max="5" width="14" customWidth="1"/>
    <col min="6" max="6" width="19" customWidth="1"/>
    <col min="7" max="7" width="30" customWidth="1"/>
    <col min="8" max="8" width="13" customWidth="1"/>
  </cols>
  <sheetData>
    <row r="1" spans="1:8" ht="20" customHeight="1" x14ac:dyDescent="0.35">
      <c r="A1" s="2" t="s">
        <v>625</v>
      </c>
      <c r="B1" s="2" t="s">
        <v>1355</v>
      </c>
      <c r="C1" s="2" t="s">
        <v>626</v>
      </c>
      <c r="D1" s="2" t="s">
        <v>1356</v>
      </c>
      <c r="E1" s="2" t="s">
        <v>1357</v>
      </c>
      <c r="F1" s="2" t="s">
        <v>1358</v>
      </c>
      <c r="G1" s="2" t="s">
        <v>1359</v>
      </c>
      <c r="H1" s="2" t="s">
        <v>1360</v>
      </c>
    </row>
    <row r="2" spans="1:8" x14ac:dyDescent="0.35">
      <c r="A2">
        <v>1250</v>
      </c>
      <c r="B2">
        <v>125</v>
      </c>
      <c r="C2" t="s">
        <v>633</v>
      </c>
      <c r="D2">
        <v>1</v>
      </c>
      <c r="E2">
        <v>12</v>
      </c>
      <c r="F2" t="s">
        <v>1361</v>
      </c>
      <c r="G2" t="s">
        <v>263</v>
      </c>
      <c r="H2" t="s">
        <v>1362</v>
      </c>
    </row>
    <row r="3" spans="1:8" x14ac:dyDescent="0.35">
      <c r="A3">
        <v>2050</v>
      </c>
      <c r="B3">
        <v>205</v>
      </c>
      <c r="C3" t="s">
        <v>634</v>
      </c>
      <c r="D3">
        <v>2</v>
      </c>
      <c r="E3">
        <v>20</v>
      </c>
      <c r="F3" t="s">
        <v>1363</v>
      </c>
      <c r="G3" t="s">
        <v>262</v>
      </c>
      <c r="H3" t="s">
        <v>1362</v>
      </c>
    </row>
    <row r="4" spans="1:8" x14ac:dyDescent="0.35">
      <c r="A4">
        <v>2080</v>
      </c>
      <c r="B4">
        <v>208</v>
      </c>
      <c r="C4" t="s">
        <v>635</v>
      </c>
      <c r="D4">
        <v>2</v>
      </c>
      <c r="E4">
        <v>20</v>
      </c>
      <c r="F4" t="s">
        <v>1363</v>
      </c>
      <c r="G4" t="s">
        <v>264</v>
      </c>
      <c r="H4" t="s">
        <v>1362</v>
      </c>
    </row>
    <row r="5" spans="1:8" x14ac:dyDescent="0.35">
      <c r="A5">
        <v>2180</v>
      </c>
      <c r="B5">
        <v>218</v>
      </c>
      <c r="C5" t="s">
        <v>636</v>
      </c>
      <c r="D5">
        <v>2</v>
      </c>
      <c r="E5">
        <v>21</v>
      </c>
      <c r="F5" t="s">
        <v>265</v>
      </c>
      <c r="G5" t="s">
        <v>265</v>
      </c>
      <c r="H5" t="s">
        <v>1362</v>
      </c>
    </row>
    <row r="6" spans="1:8" x14ac:dyDescent="0.35">
      <c r="A6">
        <v>2800</v>
      </c>
      <c r="B6">
        <v>280</v>
      </c>
      <c r="C6" t="s">
        <v>1364</v>
      </c>
      <c r="D6">
        <v>2</v>
      </c>
      <c r="E6">
        <v>28</v>
      </c>
      <c r="F6" t="s">
        <v>265</v>
      </c>
      <c r="G6" t="s">
        <v>261</v>
      </c>
      <c r="H6" t="s">
        <v>1362</v>
      </c>
    </row>
    <row r="7" spans="1:8" x14ac:dyDescent="0.35">
      <c r="A7">
        <v>3030</v>
      </c>
      <c r="B7">
        <v>303</v>
      </c>
      <c r="C7" t="s">
        <v>1365</v>
      </c>
      <c r="D7">
        <v>3</v>
      </c>
      <c r="E7">
        <v>30</v>
      </c>
      <c r="F7" t="s">
        <v>1366</v>
      </c>
      <c r="G7" t="s">
        <v>267</v>
      </c>
      <c r="H7" t="s">
        <v>1362</v>
      </c>
    </row>
    <row r="8" spans="1:8" x14ac:dyDescent="0.35">
      <c r="A8">
        <v>3130</v>
      </c>
      <c r="B8">
        <v>313</v>
      </c>
      <c r="C8" t="s">
        <v>1367</v>
      </c>
      <c r="D8">
        <v>3</v>
      </c>
      <c r="E8">
        <v>31</v>
      </c>
      <c r="F8" t="s">
        <v>1366</v>
      </c>
      <c r="G8" t="s">
        <v>267</v>
      </c>
      <c r="H8" t="s">
        <v>1362</v>
      </c>
    </row>
    <row r="9" spans="1:8" x14ac:dyDescent="0.35">
      <c r="A9">
        <v>3400</v>
      </c>
      <c r="B9">
        <v>340</v>
      </c>
      <c r="C9" t="s">
        <v>631</v>
      </c>
      <c r="D9">
        <v>3</v>
      </c>
      <c r="E9">
        <v>34</v>
      </c>
      <c r="F9" t="s">
        <v>1366</v>
      </c>
      <c r="G9" t="s">
        <v>260</v>
      </c>
      <c r="H9" t="s">
        <v>1362</v>
      </c>
    </row>
    <row r="10" spans="1:8" x14ac:dyDescent="0.35">
      <c r="A10">
        <v>3410</v>
      </c>
      <c r="B10">
        <v>341</v>
      </c>
      <c r="C10" t="s">
        <v>1368</v>
      </c>
      <c r="D10">
        <v>3</v>
      </c>
      <c r="E10">
        <v>34</v>
      </c>
      <c r="F10" t="s">
        <v>1366</v>
      </c>
      <c r="G10" t="s">
        <v>260</v>
      </c>
      <c r="H10" t="s">
        <v>1362</v>
      </c>
    </row>
    <row r="11" spans="1:8" x14ac:dyDescent="0.35">
      <c r="A11">
        <v>3420</v>
      </c>
      <c r="B11">
        <v>342</v>
      </c>
      <c r="C11" t="s">
        <v>1369</v>
      </c>
      <c r="D11">
        <v>3</v>
      </c>
      <c r="E11">
        <v>34</v>
      </c>
      <c r="F11" t="s">
        <v>1366</v>
      </c>
      <c r="G11" t="s">
        <v>260</v>
      </c>
      <c r="H11" t="s">
        <v>1362</v>
      </c>
    </row>
    <row r="12" spans="1:8" x14ac:dyDescent="0.35">
      <c r="A12">
        <v>3450</v>
      </c>
      <c r="B12">
        <v>345</v>
      </c>
      <c r="C12" t="s">
        <v>1370</v>
      </c>
      <c r="D12">
        <v>3</v>
      </c>
      <c r="E12">
        <v>34</v>
      </c>
      <c r="F12" t="s">
        <v>1366</v>
      </c>
      <c r="G12" t="s">
        <v>260</v>
      </c>
      <c r="H12" t="s">
        <v>1362</v>
      </c>
    </row>
    <row r="13" spans="1:8" x14ac:dyDescent="0.35">
      <c r="A13">
        <v>3900</v>
      </c>
      <c r="B13">
        <v>390</v>
      </c>
      <c r="C13" t="s">
        <v>627</v>
      </c>
      <c r="D13">
        <v>3</v>
      </c>
      <c r="E13">
        <v>39</v>
      </c>
      <c r="F13" t="s">
        <v>1366</v>
      </c>
      <c r="G13" t="s">
        <v>257</v>
      </c>
      <c r="H13" t="s">
        <v>1362</v>
      </c>
    </row>
    <row r="14" spans="1:8" x14ac:dyDescent="0.35">
      <c r="A14">
        <v>5000</v>
      </c>
      <c r="B14">
        <v>500</v>
      </c>
      <c r="C14" t="s">
        <v>628</v>
      </c>
      <c r="D14">
        <v>5</v>
      </c>
      <c r="E14">
        <v>50</v>
      </c>
      <c r="F14" t="s">
        <v>1371</v>
      </c>
      <c r="G14" t="s">
        <v>258</v>
      </c>
      <c r="H14" t="s">
        <v>1362</v>
      </c>
    </row>
    <row r="15" spans="1:8" x14ac:dyDescent="0.35">
      <c r="A15">
        <v>5050</v>
      </c>
      <c r="B15">
        <v>505</v>
      </c>
      <c r="C15" t="s">
        <v>1372</v>
      </c>
      <c r="D15">
        <v>5</v>
      </c>
      <c r="E15">
        <v>50</v>
      </c>
      <c r="F15" t="s">
        <v>1371</v>
      </c>
      <c r="G15" t="s">
        <v>258</v>
      </c>
      <c r="H15" t="s">
        <v>1362</v>
      </c>
    </row>
    <row r="16" spans="1:8" x14ac:dyDescent="0.35">
      <c r="A16">
        <v>5080</v>
      </c>
      <c r="B16">
        <v>508</v>
      </c>
      <c r="C16" t="s">
        <v>1373</v>
      </c>
      <c r="D16">
        <v>5</v>
      </c>
      <c r="E16">
        <v>50</v>
      </c>
      <c r="F16" t="s">
        <v>1371</v>
      </c>
      <c r="G16" t="s">
        <v>258</v>
      </c>
      <c r="H16" t="s">
        <v>1362</v>
      </c>
    </row>
    <row r="17" spans="1:8" x14ac:dyDescent="0.35">
      <c r="A17">
        <v>5100</v>
      </c>
      <c r="B17">
        <v>510</v>
      </c>
      <c r="C17" t="s">
        <v>630</v>
      </c>
      <c r="D17">
        <v>5</v>
      </c>
      <c r="E17">
        <v>51</v>
      </c>
      <c r="F17" t="s">
        <v>1371</v>
      </c>
      <c r="G17" t="s">
        <v>258</v>
      </c>
      <c r="H17" t="s">
        <v>1362</v>
      </c>
    </row>
    <row r="18" spans="1:8" x14ac:dyDescent="0.35">
      <c r="A18">
        <v>5400</v>
      </c>
      <c r="B18">
        <v>540</v>
      </c>
      <c r="C18" t="s">
        <v>632</v>
      </c>
      <c r="D18">
        <v>5</v>
      </c>
      <c r="E18">
        <v>54</v>
      </c>
      <c r="F18" t="s">
        <v>1371</v>
      </c>
      <c r="G18" t="s">
        <v>258</v>
      </c>
      <c r="H18" t="s">
        <v>1362</v>
      </c>
    </row>
    <row r="19" spans="1:8" x14ac:dyDescent="0.35">
      <c r="A19">
        <v>5420</v>
      </c>
      <c r="B19">
        <v>542</v>
      </c>
      <c r="C19" t="s">
        <v>1374</v>
      </c>
      <c r="D19">
        <v>5</v>
      </c>
      <c r="E19">
        <v>54</v>
      </c>
      <c r="F19" t="s">
        <v>1371</v>
      </c>
      <c r="G19" t="s">
        <v>258</v>
      </c>
      <c r="H19" t="s">
        <v>1362</v>
      </c>
    </row>
    <row r="20" spans="1:8" x14ac:dyDescent="0.35">
      <c r="A20">
        <v>5800</v>
      </c>
      <c r="B20">
        <v>580</v>
      </c>
      <c r="C20" t="s">
        <v>1375</v>
      </c>
      <c r="D20">
        <v>5</v>
      </c>
      <c r="E20">
        <v>58</v>
      </c>
      <c r="F20" t="s">
        <v>1371</v>
      </c>
      <c r="G20" t="s">
        <v>258</v>
      </c>
      <c r="H20" t="s">
        <v>1362</v>
      </c>
    </row>
    <row r="21" spans="1:8" x14ac:dyDescent="0.35">
      <c r="A21">
        <v>5810</v>
      </c>
      <c r="B21">
        <v>581</v>
      </c>
      <c r="C21" t="s">
        <v>1376</v>
      </c>
      <c r="D21">
        <v>5</v>
      </c>
      <c r="E21">
        <v>58</v>
      </c>
      <c r="F21" t="s">
        <v>1371</v>
      </c>
      <c r="G21" t="s">
        <v>258</v>
      </c>
      <c r="H21" t="s">
        <v>1362</v>
      </c>
    </row>
    <row r="22" spans="1:8" x14ac:dyDescent="0.35">
      <c r="A22">
        <v>6050</v>
      </c>
      <c r="B22">
        <v>605</v>
      </c>
      <c r="C22" t="s">
        <v>1377</v>
      </c>
      <c r="D22">
        <v>6</v>
      </c>
      <c r="E22">
        <v>60</v>
      </c>
      <c r="F22" t="s">
        <v>1371</v>
      </c>
      <c r="G22" t="s">
        <v>266</v>
      </c>
      <c r="H22" t="s">
        <v>1362</v>
      </c>
    </row>
    <row r="23" spans="1:8" x14ac:dyDescent="0.35">
      <c r="A23">
        <v>6300</v>
      </c>
      <c r="B23">
        <v>630</v>
      </c>
      <c r="C23" t="s">
        <v>629</v>
      </c>
      <c r="D23">
        <v>6</v>
      </c>
      <c r="E23">
        <v>63</v>
      </c>
      <c r="F23" t="s">
        <v>1371</v>
      </c>
      <c r="G23" t="s">
        <v>259</v>
      </c>
      <c r="H23" t="s">
        <v>1362</v>
      </c>
    </row>
    <row r="24" spans="1:8" x14ac:dyDescent="0.35">
      <c r="A24">
        <v>6420</v>
      </c>
      <c r="B24">
        <v>642</v>
      </c>
      <c r="C24" t="s">
        <v>1378</v>
      </c>
      <c r="D24">
        <v>6</v>
      </c>
      <c r="E24">
        <v>64</v>
      </c>
      <c r="F24" t="s">
        <v>1371</v>
      </c>
      <c r="G24" t="s">
        <v>259</v>
      </c>
      <c r="H24" t="s">
        <v>1362</v>
      </c>
    </row>
    <row r="25" spans="1:8" x14ac:dyDescent="0.35">
      <c r="A25">
        <v>6710</v>
      </c>
      <c r="B25">
        <v>671</v>
      </c>
      <c r="C25" t="s">
        <v>1379</v>
      </c>
      <c r="D25">
        <v>6</v>
      </c>
      <c r="E25">
        <v>67</v>
      </c>
      <c r="F25" t="s">
        <v>1371</v>
      </c>
      <c r="G25" t="s">
        <v>259</v>
      </c>
      <c r="H25" t="s">
        <v>1362</v>
      </c>
    </row>
    <row r="26" spans="1:8" x14ac:dyDescent="0.35">
      <c r="A26">
        <v>6730</v>
      </c>
      <c r="B26">
        <v>673</v>
      </c>
      <c r="C26" t="s">
        <v>1380</v>
      </c>
      <c r="D26">
        <v>6</v>
      </c>
      <c r="E26">
        <v>67</v>
      </c>
      <c r="F26" t="s">
        <v>1371</v>
      </c>
      <c r="G26" t="s">
        <v>259</v>
      </c>
      <c r="H26" t="s">
        <v>1362</v>
      </c>
    </row>
    <row r="27" spans="1:8" x14ac:dyDescent="0.35">
      <c r="A27">
        <v>6740</v>
      </c>
      <c r="B27">
        <v>674</v>
      </c>
      <c r="C27" t="s">
        <v>1381</v>
      </c>
      <c r="D27">
        <v>6</v>
      </c>
      <c r="E27">
        <v>67</v>
      </c>
      <c r="F27" t="s">
        <v>1371</v>
      </c>
      <c r="G27" t="s">
        <v>259</v>
      </c>
      <c r="H27" t="s">
        <v>1362</v>
      </c>
    </row>
    <row r="28" spans="1:8" x14ac:dyDescent="0.35">
      <c r="A28">
        <v>6800</v>
      </c>
      <c r="B28">
        <v>680</v>
      </c>
      <c r="C28" t="s">
        <v>1382</v>
      </c>
      <c r="D28">
        <v>6</v>
      </c>
      <c r="E28">
        <v>68</v>
      </c>
      <c r="F28" t="s">
        <v>1371</v>
      </c>
      <c r="G28" t="s">
        <v>259</v>
      </c>
      <c r="H28" t="s">
        <v>1362</v>
      </c>
    </row>
    <row r="29" spans="1:8" x14ac:dyDescent="0.35">
      <c r="A29">
        <v>7130</v>
      </c>
      <c r="B29">
        <v>713</v>
      </c>
      <c r="C29" t="s">
        <v>1383</v>
      </c>
      <c r="D29">
        <v>7</v>
      </c>
      <c r="E29">
        <v>71</v>
      </c>
      <c r="F29" t="s">
        <v>1371</v>
      </c>
      <c r="G29" t="s">
        <v>259</v>
      </c>
      <c r="H29" t="s">
        <v>1362</v>
      </c>
    </row>
    <row r="30" spans="1:8" x14ac:dyDescent="0.35">
      <c r="A30">
        <v>7790</v>
      </c>
      <c r="B30">
        <v>779</v>
      </c>
      <c r="C30" t="s">
        <v>1384</v>
      </c>
      <c r="D30">
        <v>7</v>
      </c>
      <c r="E30">
        <v>77</v>
      </c>
      <c r="F30" t="s">
        <v>1371</v>
      </c>
      <c r="G30" t="s">
        <v>259</v>
      </c>
      <c r="H30" t="s">
        <v>1362</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64748B"/>
  </sheetPr>
  <dimension ref="A1:H19"/>
  <sheetViews>
    <sheetView zoomScale="85" workbookViewId="0"/>
  </sheetViews>
  <sheetFormatPr defaultRowHeight="14.5" x14ac:dyDescent="0.35"/>
  <cols>
    <col min="1" max="1" width="22" customWidth="1"/>
    <col min="2" max="2" width="11" customWidth="1"/>
    <col min="3" max="3" width="42" customWidth="1"/>
    <col min="4" max="4" width="12" customWidth="1"/>
    <col min="5" max="5" width="44" customWidth="1"/>
    <col min="6" max="6" width="11" customWidth="1"/>
    <col min="7" max="7" width="55" customWidth="1"/>
    <col min="8" max="8" width="15" customWidth="1"/>
  </cols>
  <sheetData>
    <row r="1" spans="1:8" ht="20" customHeight="1" x14ac:dyDescent="0.35">
      <c r="A1" s="2" t="s">
        <v>1385</v>
      </c>
      <c r="B1" s="2" t="s">
        <v>307</v>
      </c>
      <c r="C1" s="2" t="s">
        <v>1386</v>
      </c>
      <c r="D1" s="2" t="s">
        <v>1387</v>
      </c>
      <c r="E1" s="2" t="s">
        <v>306</v>
      </c>
      <c r="F1" s="2" t="s">
        <v>1388</v>
      </c>
      <c r="G1" s="2" t="s">
        <v>1389</v>
      </c>
      <c r="H1" s="2" t="s">
        <v>1390</v>
      </c>
    </row>
    <row r="2" spans="1:8" x14ac:dyDescent="0.35">
      <c r="A2" t="s">
        <v>1150</v>
      </c>
      <c r="B2" t="s">
        <v>1391</v>
      </c>
      <c r="C2" t="s">
        <v>310</v>
      </c>
      <c r="D2" t="s">
        <v>1392</v>
      </c>
      <c r="E2" t="s">
        <v>309</v>
      </c>
      <c r="F2" t="s">
        <v>1150</v>
      </c>
      <c r="G2" t="s">
        <v>1393</v>
      </c>
      <c r="H2" t="s">
        <v>199</v>
      </c>
    </row>
    <row r="3" spans="1:8" x14ac:dyDescent="0.35">
      <c r="A3" t="s">
        <v>1272</v>
      </c>
      <c r="B3" t="s">
        <v>1391</v>
      </c>
      <c r="C3" t="s">
        <v>310</v>
      </c>
      <c r="D3" t="s">
        <v>1392</v>
      </c>
      <c r="E3" t="s">
        <v>309</v>
      </c>
      <c r="F3" t="s">
        <v>1272</v>
      </c>
      <c r="G3" t="s">
        <v>1394</v>
      </c>
      <c r="H3" t="s">
        <v>1125</v>
      </c>
    </row>
    <row r="4" spans="1:8" x14ac:dyDescent="0.35">
      <c r="A4" t="s">
        <v>1158</v>
      </c>
      <c r="B4" t="s">
        <v>1391</v>
      </c>
      <c r="C4" t="s">
        <v>310</v>
      </c>
      <c r="D4" t="s">
        <v>1395</v>
      </c>
      <c r="E4" t="s">
        <v>311</v>
      </c>
      <c r="F4" t="s">
        <v>1158</v>
      </c>
      <c r="G4" t="s">
        <v>1396</v>
      </c>
      <c r="H4" t="s">
        <v>199</v>
      </c>
    </row>
    <row r="5" spans="1:8" x14ac:dyDescent="0.35">
      <c r="A5" t="s">
        <v>1243</v>
      </c>
      <c r="B5" t="s">
        <v>1391</v>
      </c>
      <c r="C5" t="s">
        <v>310</v>
      </c>
      <c r="D5" t="s">
        <v>1395</v>
      </c>
      <c r="E5" t="s">
        <v>311</v>
      </c>
      <c r="F5" t="s">
        <v>1243</v>
      </c>
      <c r="G5" t="s">
        <v>1397</v>
      </c>
      <c r="H5" t="s">
        <v>1125</v>
      </c>
    </row>
    <row r="6" spans="1:8" x14ac:dyDescent="0.35">
      <c r="A6" t="s">
        <v>1205</v>
      </c>
      <c r="B6" t="s">
        <v>1398</v>
      </c>
      <c r="C6" t="s">
        <v>315</v>
      </c>
      <c r="D6" t="s">
        <v>1399</v>
      </c>
      <c r="E6" t="s">
        <v>314</v>
      </c>
      <c r="F6" t="s">
        <v>1205</v>
      </c>
      <c r="G6" t="s">
        <v>1400</v>
      </c>
      <c r="H6" t="s">
        <v>199</v>
      </c>
    </row>
    <row r="7" spans="1:8" x14ac:dyDescent="0.35">
      <c r="A7" t="s">
        <v>1257</v>
      </c>
      <c r="B7" t="s">
        <v>1398</v>
      </c>
      <c r="C7" t="s">
        <v>315</v>
      </c>
      <c r="D7" t="s">
        <v>1399</v>
      </c>
      <c r="E7" t="s">
        <v>314</v>
      </c>
      <c r="F7" t="s">
        <v>1257</v>
      </c>
      <c r="G7" t="s">
        <v>1401</v>
      </c>
      <c r="H7" t="s">
        <v>1125</v>
      </c>
    </row>
    <row r="8" spans="1:8" x14ac:dyDescent="0.35">
      <c r="A8" t="s">
        <v>1164</v>
      </c>
      <c r="B8" t="s">
        <v>1402</v>
      </c>
      <c r="C8" t="s">
        <v>323</v>
      </c>
      <c r="D8" t="s">
        <v>1403</v>
      </c>
      <c r="E8" t="s">
        <v>322</v>
      </c>
      <c r="F8" t="s">
        <v>1164</v>
      </c>
      <c r="G8" t="s">
        <v>1404</v>
      </c>
      <c r="H8" t="s">
        <v>199</v>
      </c>
    </row>
    <row r="9" spans="1:8" x14ac:dyDescent="0.35">
      <c r="A9" t="s">
        <v>1249</v>
      </c>
      <c r="B9" t="s">
        <v>1402</v>
      </c>
      <c r="C9" t="s">
        <v>323</v>
      </c>
      <c r="D9" t="s">
        <v>1403</v>
      </c>
      <c r="E9" t="s">
        <v>322</v>
      </c>
      <c r="F9" t="s">
        <v>1249</v>
      </c>
      <c r="G9" t="s">
        <v>1405</v>
      </c>
      <c r="H9" t="s">
        <v>1125</v>
      </c>
    </row>
    <row r="10" spans="1:8" x14ac:dyDescent="0.35">
      <c r="A10" t="s">
        <v>1169</v>
      </c>
      <c r="B10" t="s">
        <v>1406</v>
      </c>
      <c r="C10" t="s">
        <v>317</v>
      </c>
      <c r="D10" t="s">
        <v>1407</v>
      </c>
      <c r="E10" t="s">
        <v>319</v>
      </c>
      <c r="F10" t="s">
        <v>1169</v>
      </c>
      <c r="G10" t="s">
        <v>1408</v>
      </c>
      <c r="H10" t="s">
        <v>199</v>
      </c>
    </row>
    <row r="11" spans="1:8" x14ac:dyDescent="0.35">
      <c r="A11" t="s">
        <v>1260</v>
      </c>
      <c r="B11" t="s">
        <v>1406</v>
      </c>
      <c r="C11" t="s">
        <v>317</v>
      </c>
      <c r="D11" t="s">
        <v>1407</v>
      </c>
      <c r="E11" t="s">
        <v>319</v>
      </c>
      <c r="F11" t="s">
        <v>1260</v>
      </c>
      <c r="G11" t="s">
        <v>1409</v>
      </c>
      <c r="H11" t="s">
        <v>1125</v>
      </c>
    </row>
    <row r="12" spans="1:8" x14ac:dyDescent="0.35">
      <c r="A12" t="s">
        <v>1175</v>
      </c>
      <c r="B12" t="s">
        <v>1406</v>
      </c>
      <c r="C12" t="s">
        <v>317</v>
      </c>
      <c r="D12" t="s">
        <v>1410</v>
      </c>
      <c r="E12" t="s">
        <v>316</v>
      </c>
      <c r="F12" t="s">
        <v>1175</v>
      </c>
      <c r="G12" t="s">
        <v>1411</v>
      </c>
      <c r="H12" t="s">
        <v>199</v>
      </c>
    </row>
    <row r="13" spans="1:8" x14ac:dyDescent="0.35">
      <c r="A13" t="s">
        <v>1247</v>
      </c>
      <c r="B13" t="s">
        <v>1406</v>
      </c>
      <c r="C13" t="s">
        <v>317</v>
      </c>
      <c r="D13" t="s">
        <v>1410</v>
      </c>
      <c r="E13" t="s">
        <v>316</v>
      </c>
      <c r="F13" t="s">
        <v>1247</v>
      </c>
      <c r="G13" t="s">
        <v>1412</v>
      </c>
      <c r="H13" t="s">
        <v>1125</v>
      </c>
    </row>
    <row r="14" spans="1:8" x14ac:dyDescent="0.35">
      <c r="A14" t="s">
        <v>1130</v>
      </c>
      <c r="B14" t="s">
        <v>1413</v>
      </c>
      <c r="C14" t="s">
        <v>321</v>
      </c>
      <c r="D14" t="s">
        <v>1414</v>
      </c>
      <c r="E14" t="s">
        <v>320</v>
      </c>
      <c r="F14" t="s">
        <v>1130</v>
      </c>
      <c r="G14" t="s">
        <v>1415</v>
      </c>
      <c r="H14" t="s">
        <v>199</v>
      </c>
    </row>
    <row r="15" spans="1:8" x14ac:dyDescent="0.35">
      <c r="A15" t="s">
        <v>1265</v>
      </c>
      <c r="B15" t="s">
        <v>1413</v>
      </c>
      <c r="C15" t="s">
        <v>321</v>
      </c>
      <c r="D15" t="s">
        <v>1414</v>
      </c>
      <c r="E15" t="s">
        <v>320</v>
      </c>
      <c r="F15" t="s">
        <v>1265</v>
      </c>
      <c r="G15" t="s">
        <v>1416</v>
      </c>
      <c r="H15" t="s">
        <v>1125</v>
      </c>
    </row>
    <row r="16" spans="1:8" x14ac:dyDescent="0.35">
      <c r="A16" t="s">
        <v>1173</v>
      </c>
      <c r="B16" t="s">
        <v>1413</v>
      </c>
      <c r="C16" t="s">
        <v>321</v>
      </c>
      <c r="D16" t="s">
        <v>1417</v>
      </c>
      <c r="E16" t="s">
        <v>324</v>
      </c>
      <c r="F16" t="s">
        <v>1173</v>
      </c>
      <c r="G16" t="s">
        <v>1418</v>
      </c>
      <c r="H16" t="s">
        <v>199</v>
      </c>
    </row>
    <row r="17" spans="1:8" x14ac:dyDescent="0.35">
      <c r="A17" t="s">
        <v>1255</v>
      </c>
      <c r="B17" t="s">
        <v>1413</v>
      </c>
      <c r="C17" t="s">
        <v>321</v>
      </c>
      <c r="D17" t="s">
        <v>1417</v>
      </c>
      <c r="E17" t="s">
        <v>324</v>
      </c>
      <c r="F17" t="s">
        <v>1255</v>
      </c>
      <c r="G17" t="s">
        <v>1419</v>
      </c>
      <c r="H17" t="s">
        <v>1125</v>
      </c>
    </row>
    <row r="18" spans="1:8" x14ac:dyDescent="0.35">
      <c r="A18" t="s">
        <v>1155</v>
      </c>
      <c r="B18" t="s">
        <v>1420</v>
      </c>
      <c r="C18" t="s">
        <v>313</v>
      </c>
      <c r="D18" t="s">
        <v>1421</v>
      </c>
      <c r="E18" t="s">
        <v>312</v>
      </c>
      <c r="F18" t="s">
        <v>1155</v>
      </c>
      <c r="G18" t="s">
        <v>1422</v>
      </c>
      <c r="H18" t="s">
        <v>199</v>
      </c>
    </row>
    <row r="19" spans="1:8" x14ac:dyDescent="0.35">
      <c r="A19" t="s">
        <v>1138</v>
      </c>
      <c r="B19" t="s">
        <v>1420</v>
      </c>
      <c r="C19" t="s">
        <v>313</v>
      </c>
      <c r="D19" t="s">
        <v>1423</v>
      </c>
      <c r="E19" t="s">
        <v>318</v>
      </c>
      <c r="F19" t="s">
        <v>1138</v>
      </c>
      <c r="G19" t="s">
        <v>1424</v>
      </c>
      <c r="H19" t="s">
        <v>199</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64748B"/>
  </sheetPr>
  <dimension ref="A1:E9"/>
  <sheetViews>
    <sheetView zoomScale="85" workbookViewId="0"/>
  </sheetViews>
  <sheetFormatPr defaultRowHeight="14.5" x14ac:dyDescent="0.35"/>
  <cols>
    <col min="1" max="1" width="12" customWidth="1"/>
    <col min="2" max="2" width="41" customWidth="1"/>
    <col min="3" max="3" width="20" customWidth="1"/>
    <col min="4" max="4" width="21" customWidth="1"/>
    <col min="5" max="5" width="19" customWidth="1"/>
  </cols>
  <sheetData>
    <row r="1" spans="1:5" ht="20" customHeight="1" x14ac:dyDescent="0.35">
      <c r="A1" s="2" t="s">
        <v>1125</v>
      </c>
      <c r="B1" s="2" t="s">
        <v>473</v>
      </c>
      <c r="C1" s="2" t="s">
        <v>475</v>
      </c>
      <c r="D1" s="2" t="s">
        <v>327</v>
      </c>
      <c r="E1" s="2" t="s">
        <v>1425</v>
      </c>
    </row>
    <row r="2" spans="1:5" x14ac:dyDescent="0.35">
      <c r="A2" t="s">
        <v>1131</v>
      </c>
      <c r="B2" t="s">
        <v>1316</v>
      </c>
      <c r="C2" t="s">
        <v>1315</v>
      </c>
      <c r="D2" t="s">
        <v>907</v>
      </c>
      <c r="E2" t="s">
        <v>199</v>
      </c>
    </row>
    <row r="3" spans="1:5" x14ac:dyDescent="0.35">
      <c r="A3" t="s">
        <v>1139</v>
      </c>
      <c r="B3" t="s">
        <v>1314</v>
      </c>
      <c r="C3" t="s">
        <v>1315</v>
      </c>
      <c r="D3" t="s">
        <v>907</v>
      </c>
      <c r="E3" t="s">
        <v>1426</v>
      </c>
    </row>
    <row r="4" spans="1:5" x14ac:dyDescent="0.35">
      <c r="A4" t="s">
        <v>485</v>
      </c>
      <c r="B4" t="s">
        <v>486</v>
      </c>
      <c r="C4" t="s">
        <v>336</v>
      </c>
      <c r="D4" t="s">
        <v>335</v>
      </c>
      <c r="E4" t="s">
        <v>195</v>
      </c>
    </row>
    <row r="5" spans="1:5" x14ac:dyDescent="0.35">
      <c r="A5" t="s">
        <v>488</v>
      </c>
      <c r="B5" t="s">
        <v>489</v>
      </c>
      <c r="C5" t="s">
        <v>336</v>
      </c>
      <c r="D5" t="s">
        <v>335</v>
      </c>
      <c r="E5" t="s">
        <v>195</v>
      </c>
    </row>
    <row r="6" spans="1:5" x14ac:dyDescent="0.35">
      <c r="A6" t="s">
        <v>480</v>
      </c>
      <c r="B6" t="s">
        <v>481</v>
      </c>
      <c r="C6" t="s">
        <v>336</v>
      </c>
      <c r="D6" t="s">
        <v>338</v>
      </c>
      <c r="E6" t="s">
        <v>195</v>
      </c>
    </row>
    <row r="7" spans="1:5" x14ac:dyDescent="0.35">
      <c r="A7" t="s">
        <v>483</v>
      </c>
      <c r="B7" t="s">
        <v>484</v>
      </c>
      <c r="C7" t="s">
        <v>336</v>
      </c>
      <c r="D7" t="s">
        <v>338</v>
      </c>
      <c r="E7" t="s">
        <v>195</v>
      </c>
    </row>
    <row r="8" spans="1:5" x14ac:dyDescent="0.35">
      <c r="A8" t="s">
        <v>493</v>
      </c>
      <c r="B8" t="s">
        <v>494</v>
      </c>
      <c r="C8" t="s">
        <v>333</v>
      </c>
      <c r="D8" t="s">
        <v>332</v>
      </c>
      <c r="E8" t="s">
        <v>1427</v>
      </c>
    </row>
    <row r="9" spans="1:5" x14ac:dyDescent="0.35">
      <c r="A9" t="s">
        <v>490</v>
      </c>
      <c r="B9" t="s">
        <v>491</v>
      </c>
      <c r="C9" t="s">
        <v>333</v>
      </c>
      <c r="D9" t="s">
        <v>492</v>
      </c>
      <c r="E9" t="s">
        <v>195</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D97706"/>
  </sheetPr>
  <dimension ref="A1:R7"/>
  <sheetViews>
    <sheetView zoomScale="85" workbookViewId="0"/>
  </sheetViews>
  <sheetFormatPr defaultRowHeight="14.5" x14ac:dyDescent="0.35"/>
  <cols>
    <col min="1" max="1" width="12" customWidth="1"/>
    <col min="2" max="2" width="41" customWidth="1"/>
    <col min="3" max="3" width="20" customWidth="1"/>
    <col min="4" max="4" width="21" customWidth="1"/>
    <col min="5" max="5" width="17" customWidth="1"/>
    <col min="6" max="7" width="11" customWidth="1"/>
    <col min="8" max="8" width="15" customWidth="1"/>
    <col min="9" max="10" width="11" customWidth="1"/>
    <col min="11" max="11" width="16" customWidth="1"/>
    <col min="12" max="13" width="15" customWidth="1"/>
    <col min="14" max="14" width="11" customWidth="1"/>
    <col min="15" max="15" width="20" customWidth="1"/>
    <col min="16" max="16" width="16" customWidth="1"/>
    <col min="17" max="17" width="39" customWidth="1"/>
    <col min="18" max="18" width="89" customWidth="1"/>
  </cols>
  <sheetData>
    <row r="1" spans="1:18" ht="20" customHeight="1" x14ac:dyDescent="0.35">
      <c r="A1" s="2" t="s">
        <v>1125</v>
      </c>
      <c r="B1" s="2" t="s">
        <v>473</v>
      </c>
      <c r="C1" s="2" t="s">
        <v>475</v>
      </c>
      <c r="D1" s="2" t="s">
        <v>327</v>
      </c>
      <c r="E1" s="2" t="s">
        <v>1428</v>
      </c>
      <c r="F1" s="2" t="s">
        <v>236</v>
      </c>
      <c r="G1" s="2" t="s">
        <v>1429</v>
      </c>
      <c r="H1" s="2" t="s">
        <v>1430</v>
      </c>
      <c r="I1" s="2" t="s">
        <v>1431</v>
      </c>
      <c r="J1" s="2" t="s">
        <v>1432</v>
      </c>
      <c r="K1" s="2" t="s">
        <v>1433</v>
      </c>
      <c r="L1" s="2" t="s">
        <v>1434</v>
      </c>
      <c r="M1" s="2" t="s">
        <v>1435</v>
      </c>
      <c r="N1" s="2" t="s">
        <v>1436</v>
      </c>
      <c r="O1" s="2" t="s">
        <v>1437</v>
      </c>
      <c r="P1" s="2" t="s">
        <v>1438</v>
      </c>
      <c r="Q1" s="2" t="s">
        <v>1439</v>
      </c>
      <c r="R1" s="2" t="s">
        <v>1440</v>
      </c>
    </row>
    <row r="2" spans="1:18" x14ac:dyDescent="0.35">
      <c r="A2" t="s">
        <v>485</v>
      </c>
      <c r="B2" t="s">
        <v>486</v>
      </c>
      <c r="C2" t="s">
        <v>336</v>
      </c>
      <c r="D2" t="s">
        <v>335</v>
      </c>
      <c r="E2">
        <v>12000000</v>
      </c>
      <c r="F2">
        <v>4000000</v>
      </c>
      <c r="G2">
        <v>1800000</v>
      </c>
      <c r="H2">
        <v>1100000</v>
      </c>
      <c r="I2">
        <v>880000</v>
      </c>
      <c r="J2">
        <v>220000</v>
      </c>
      <c r="K2">
        <v>1680000</v>
      </c>
      <c r="L2">
        <v>1680000</v>
      </c>
      <c r="M2">
        <v>0.22</v>
      </c>
      <c r="N2">
        <v>0.65</v>
      </c>
      <c r="O2">
        <v>0.42</v>
      </c>
      <c r="P2">
        <v>-0.23</v>
      </c>
      <c r="Q2" t="s">
        <v>487</v>
      </c>
      <c r="R2" t="s">
        <v>1441</v>
      </c>
    </row>
    <row r="3" spans="1:18" x14ac:dyDescent="0.35">
      <c r="A3" t="s">
        <v>488</v>
      </c>
      <c r="B3" t="s">
        <v>489</v>
      </c>
      <c r="C3" t="s">
        <v>336</v>
      </c>
      <c r="D3" t="s">
        <v>335</v>
      </c>
      <c r="E3">
        <v>8500000</v>
      </c>
      <c r="F3">
        <v>2800000</v>
      </c>
      <c r="G3">
        <v>1300000</v>
      </c>
      <c r="H3">
        <v>800000</v>
      </c>
      <c r="I3">
        <v>616000</v>
      </c>
      <c r="J3">
        <v>84000</v>
      </c>
      <c r="K3">
        <v>1450000</v>
      </c>
      <c r="L3">
        <v>1450000</v>
      </c>
      <c r="M3">
        <v>0.22</v>
      </c>
      <c r="N3">
        <v>0.52</v>
      </c>
      <c r="O3">
        <v>0.51800000000000002</v>
      </c>
      <c r="P3">
        <v>-2E-3</v>
      </c>
      <c r="Q3" t="s">
        <v>482</v>
      </c>
      <c r="R3" t="s">
        <v>1442</v>
      </c>
    </row>
    <row r="4" spans="1:18" x14ac:dyDescent="0.35">
      <c r="A4" t="s">
        <v>480</v>
      </c>
      <c r="B4" t="s">
        <v>481</v>
      </c>
      <c r="C4" t="s">
        <v>336</v>
      </c>
      <c r="D4" t="s">
        <v>338</v>
      </c>
      <c r="E4">
        <v>18500000</v>
      </c>
      <c r="F4">
        <v>6200000</v>
      </c>
      <c r="G4">
        <v>2800000</v>
      </c>
      <c r="H4">
        <v>1800000</v>
      </c>
      <c r="I4">
        <v>1364000</v>
      </c>
      <c r="J4">
        <v>236000</v>
      </c>
      <c r="K4">
        <v>3100000</v>
      </c>
      <c r="L4">
        <v>3100000</v>
      </c>
      <c r="M4">
        <v>0.22</v>
      </c>
      <c r="N4">
        <v>0.5</v>
      </c>
      <c r="O4">
        <v>0.5</v>
      </c>
      <c r="P4">
        <v>0</v>
      </c>
      <c r="Q4" t="s">
        <v>482</v>
      </c>
      <c r="R4" t="s">
        <v>1443</v>
      </c>
    </row>
    <row r="5" spans="1:18" x14ac:dyDescent="0.35">
      <c r="A5" t="s">
        <v>483</v>
      </c>
      <c r="B5" t="s">
        <v>484</v>
      </c>
      <c r="C5" t="s">
        <v>336</v>
      </c>
      <c r="D5" t="s">
        <v>338</v>
      </c>
      <c r="E5">
        <v>14000000</v>
      </c>
      <c r="F5">
        <v>4500000</v>
      </c>
      <c r="G5">
        <v>2100000</v>
      </c>
      <c r="H5">
        <v>1200000</v>
      </c>
      <c r="I5">
        <v>990000</v>
      </c>
      <c r="J5">
        <v>210000</v>
      </c>
      <c r="K5">
        <v>2150000</v>
      </c>
      <c r="L5">
        <v>2150000</v>
      </c>
      <c r="M5">
        <v>0.22</v>
      </c>
      <c r="N5">
        <v>0.48</v>
      </c>
      <c r="O5">
        <v>0.47799999999999998</v>
      </c>
      <c r="P5">
        <v>-2E-3</v>
      </c>
      <c r="Q5" t="s">
        <v>482</v>
      </c>
      <c r="R5" t="s">
        <v>1444</v>
      </c>
    </row>
    <row r="6" spans="1:18" x14ac:dyDescent="0.35">
      <c r="A6" t="s">
        <v>493</v>
      </c>
      <c r="B6" t="s">
        <v>494</v>
      </c>
      <c r="C6" t="s">
        <v>333</v>
      </c>
      <c r="D6" t="s">
        <v>332</v>
      </c>
      <c r="E6">
        <v>3500000</v>
      </c>
      <c r="F6">
        <v>1200000</v>
      </c>
      <c r="G6">
        <v>450000</v>
      </c>
      <c r="H6">
        <v>450000</v>
      </c>
      <c r="I6">
        <v>300000</v>
      </c>
      <c r="J6">
        <v>0</v>
      </c>
      <c r="K6">
        <v>864000</v>
      </c>
      <c r="L6">
        <v>600000</v>
      </c>
      <c r="M6">
        <v>0.25</v>
      </c>
      <c r="N6">
        <v>0.5</v>
      </c>
      <c r="O6">
        <v>0.72</v>
      </c>
      <c r="P6">
        <v>0.22</v>
      </c>
      <c r="Q6" t="s">
        <v>495</v>
      </c>
      <c r="R6" t="s">
        <v>1445</v>
      </c>
    </row>
    <row r="7" spans="1:18" x14ac:dyDescent="0.35">
      <c r="A7" t="s">
        <v>490</v>
      </c>
      <c r="B7" t="s">
        <v>491</v>
      </c>
      <c r="C7" t="s">
        <v>333</v>
      </c>
      <c r="D7" t="s">
        <v>492</v>
      </c>
      <c r="E7">
        <v>5000000</v>
      </c>
      <c r="F7">
        <v>1800000</v>
      </c>
      <c r="G7">
        <v>750000</v>
      </c>
      <c r="H7">
        <v>550000</v>
      </c>
      <c r="I7">
        <v>450000</v>
      </c>
      <c r="J7">
        <v>50000</v>
      </c>
      <c r="K7">
        <v>890000</v>
      </c>
      <c r="L7">
        <v>890000</v>
      </c>
      <c r="M7">
        <v>0.25</v>
      </c>
      <c r="N7">
        <v>0.5</v>
      </c>
      <c r="O7">
        <v>0.49399999999999999</v>
      </c>
      <c r="P7">
        <v>-6.0000000000000001E-3</v>
      </c>
      <c r="Q7" t="s">
        <v>482</v>
      </c>
      <c r="R7" t="s">
        <v>1446</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64748B"/>
  </sheetPr>
  <dimension ref="A1:F2513"/>
  <sheetViews>
    <sheetView zoomScale="85" workbookViewId="0"/>
  </sheetViews>
  <sheetFormatPr defaultRowHeight="14.5" x14ac:dyDescent="0.35"/>
  <cols>
    <col min="1" max="1" width="13" customWidth="1"/>
    <col min="2" max="2" width="22" customWidth="1"/>
    <col min="3" max="4" width="11" customWidth="1"/>
    <col min="5" max="5" width="16" customWidth="1"/>
    <col min="6" max="6" width="11" customWidth="1"/>
  </cols>
  <sheetData>
    <row r="1" spans="1:6" ht="20" customHeight="1" x14ac:dyDescent="0.35">
      <c r="A1" s="2" t="s">
        <v>1447</v>
      </c>
      <c r="B1" s="2" t="s">
        <v>1385</v>
      </c>
      <c r="C1" s="2" t="s">
        <v>625</v>
      </c>
      <c r="D1" s="2" t="s">
        <v>1125</v>
      </c>
      <c r="E1" s="2" t="s">
        <v>1448</v>
      </c>
      <c r="F1" s="2" t="s">
        <v>1449</v>
      </c>
    </row>
    <row r="2" spans="1:6" x14ac:dyDescent="0.35">
      <c r="A2">
        <v>20260101</v>
      </c>
      <c r="B2" t="s">
        <v>1150</v>
      </c>
      <c r="C2">
        <v>5000</v>
      </c>
      <c r="D2" t="s">
        <v>1131</v>
      </c>
      <c r="E2">
        <v>460000</v>
      </c>
      <c r="F2" t="s">
        <v>1450</v>
      </c>
    </row>
    <row r="3" spans="1:6" x14ac:dyDescent="0.35">
      <c r="A3">
        <v>20260101</v>
      </c>
      <c r="B3" t="s">
        <v>1150</v>
      </c>
      <c r="C3">
        <v>5400</v>
      </c>
      <c r="D3" t="s">
        <v>1131</v>
      </c>
      <c r="E3">
        <v>64860</v>
      </c>
      <c r="F3" t="s">
        <v>1450</v>
      </c>
    </row>
    <row r="4" spans="1:6" x14ac:dyDescent="0.35">
      <c r="A4">
        <v>20260101</v>
      </c>
      <c r="B4" t="s">
        <v>1150</v>
      </c>
      <c r="C4">
        <v>6300</v>
      </c>
      <c r="D4" t="s">
        <v>1131</v>
      </c>
      <c r="E4">
        <v>85000</v>
      </c>
      <c r="F4" t="s">
        <v>1450</v>
      </c>
    </row>
    <row r="5" spans="1:6" x14ac:dyDescent="0.35">
      <c r="A5">
        <v>20260101</v>
      </c>
      <c r="B5" t="s">
        <v>1150</v>
      </c>
      <c r="C5">
        <v>3900</v>
      </c>
      <c r="D5" t="s">
        <v>1131</v>
      </c>
      <c r="E5">
        <v>-650000</v>
      </c>
      <c r="F5" t="s">
        <v>1450</v>
      </c>
    </row>
    <row r="6" spans="1:6" x14ac:dyDescent="0.35">
      <c r="A6">
        <v>20260101</v>
      </c>
      <c r="B6" t="s">
        <v>1272</v>
      </c>
      <c r="C6">
        <v>5100</v>
      </c>
      <c r="D6" t="s">
        <v>485</v>
      </c>
      <c r="E6">
        <v>90000</v>
      </c>
      <c r="F6" t="s">
        <v>1450</v>
      </c>
    </row>
    <row r="7" spans="1:6" x14ac:dyDescent="0.35">
      <c r="A7">
        <v>20260101</v>
      </c>
      <c r="B7" t="s">
        <v>1272</v>
      </c>
      <c r="C7">
        <v>3400</v>
      </c>
      <c r="D7" t="s">
        <v>485</v>
      </c>
      <c r="E7">
        <v>-90000</v>
      </c>
      <c r="F7" t="s">
        <v>1450</v>
      </c>
    </row>
    <row r="8" spans="1:6" x14ac:dyDescent="0.35">
      <c r="A8">
        <v>20260101</v>
      </c>
      <c r="B8" t="s">
        <v>1158</v>
      </c>
      <c r="C8">
        <v>5000</v>
      </c>
      <c r="D8" t="s">
        <v>1131</v>
      </c>
      <c r="E8">
        <v>460000</v>
      </c>
      <c r="F8" t="s">
        <v>1450</v>
      </c>
    </row>
    <row r="9" spans="1:6" x14ac:dyDescent="0.35">
      <c r="A9">
        <v>20260101</v>
      </c>
      <c r="B9" t="s">
        <v>1158</v>
      </c>
      <c r="C9">
        <v>5400</v>
      </c>
      <c r="D9" t="s">
        <v>1131</v>
      </c>
      <c r="E9">
        <v>64860</v>
      </c>
      <c r="F9" t="s">
        <v>1450</v>
      </c>
    </row>
    <row r="10" spans="1:6" x14ac:dyDescent="0.35">
      <c r="A10">
        <v>20260101</v>
      </c>
      <c r="B10" t="s">
        <v>1158</v>
      </c>
      <c r="C10">
        <v>6300</v>
      </c>
      <c r="D10" t="s">
        <v>1131</v>
      </c>
      <c r="E10">
        <v>85000</v>
      </c>
      <c r="F10" t="s">
        <v>1450</v>
      </c>
    </row>
    <row r="11" spans="1:6" x14ac:dyDescent="0.35">
      <c r="A11">
        <v>20260101</v>
      </c>
      <c r="B11" t="s">
        <v>1158</v>
      </c>
      <c r="C11">
        <v>3900</v>
      </c>
      <c r="D11" t="s">
        <v>1131</v>
      </c>
      <c r="E11">
        <v>-650000</v>
      </c>
      <c r="F11" t="s">
        <v>1450</v>
      </c>
    </row>
    <row r="12" spans="1:6" x14ac:dyDescent="0.35">
      <c r="A12">
        <v>20260101</v>
      </c>
      <c r="B12" t="s">
        <v>1243</v>
      </c>
      <c r="C12">
        <v>5100</v>
      </c>
      <c r="D12" t="s">
        <v>485</v>
      </c>
      <c r="E12">
        <v>90000</v>
      </c>
      <c r="F12" t="s">
        <v>1450</v>
      </c>
    </row>
    <row r="13" spans="1:6" x14ac:dyDescent="0.35">
      <c r="A13">
        <v>20260101</v>
      </c>
      <c r="B13" t="s">
        <v>1243</v>
      </c>
      <c r="C13">
        <v>3400</v>
      </c>
      <c r="D13" t="s">
        <v>485</v>
      </c>
      <c r="E13">
        <v>-90000</v>
      </c>
      <c r="F13" t="s">
        <v>1450</v>
      </c>
    </row>
    <row r="14" spans="1:6" x14ac:dyDescent="0.35">
      <c r="A14">
        <v>20260101</v>
      </c>
      <c r="B14" t="s">
        <v>1205</v>
      </c>
      <c r="C14">
        <v>5000</v>
      </c>
      <c r="D14" t="s">
        <v>1131</v>
      </c>
      <c r="E14">
        <v>460000</v>
      </c>
      <c r="F14" t="s">
        <v>1450</v>
      </c>
    </row>
    <row r="15" spans="1:6" x14ac:dyDescent="0.35">
      <c r="A15">
        <v>20260101</v>
      </c>
      <c r="B15" t="s">
        <v>1205</v>
      </c>
      <c r="C15">
        <v>5400</v>
      </c>
      <c r="D15" t="s">
        <v>1131</v>
      </c>
      <c r="E15">
        <v>64860</v>
      </c>
      <c r="F15" t="s">
        <v>1450</v>
      </c>
    </row>
    <row r="16" spans="1:6" x14ac:dyDescent="0.35">
      <c r="A16">
        <v>20260101</v>
      </c>
      <c r="B16" t="s">
        <v>1205</v>
      </c>
      <c r="C16">
        <v>6300</v>
      </c>
      <c r="D16" t="s">
        <v>1131</v>
      </c>
      <c r="E16">
        <v>85000</v>
      </c>
      <c r="F16" t="s">
        <v>1450</v>
      </c>
    </row>
    <row r="17" spans="1:6" x14ac:dyDescent="0.35">
      <c r="A17">
        <v>20260101</v>
      </c>
      <c r="B17" t="s">
        <v>1205</v>
      </c>
      <c r="C17">
        <v>3900</v>
      </c>
      <c r="D17" t="s">
        <v>1131</v>
      </c>
      <c r="E17">
        <v>-650000</v>
      </c>
      <c r="F17" t="s">
        <v>1450</v>
      </c>
    </row>
    <row r="18" spans="1:6" x14ac:dyDescent="0.35">
      <c r="A18">
        <v>20260101</v>
      </c>
      <c r="B18" t="s">
        <v>1257</v>
      </c>
      <c r="C18">
        <v>5100</v>
      </c>
      <c r="D18" t="s">
        <v>485</v>
      </c>
      <c r="E18">
        <v>90000</v>
      </c>
      <c r="F18" t="s">
        <v>1450</v>
      </c>
    </row>
    <row r="19" spans="1:6" x14ac:dyDescent="0.35">
      <c r="A19">
        <v>20260101</v>
      </c>
      <c r="B19" t="s">
        <v>1257</v>
      </c>
      <c r="C19">
        <v>3400</v>
      </c>
      <c r="D19" t="s">
        <v>485</v>
      </c>
      <c r="E19">
        <v>-90000</v>
      </c>
      <c r="F19" t="s">
        <v>1450</v>
      </c>
    </row>
    <row r="20" spans="1:6" x14ac:dyDescent="0.35">
      <c r="A20">
        <v>20260101</v>
      </c>
      <c r="B20" t="s">
        <v>1164</v>
      </c>
      <c r="C20">
        <v>5000</v>
      </c>
      <c r="D20" t="s">
        <v>1131</v>
      </c>
      <c r="E20">
        <v>460000</v>
      </c>
      <c r="F20" t="s">
        <v>1450</v>
      </c>
    </row>
    <row r="21" spans="1:6" x14ac:dyDescent="0.35">
      <c r="A21">
        <v>20260101</v>
      </c>
      <c r="B21" t="s">
        <v>1164</v>
      </c>
      <c r="C21">
        <v>5400</v>
      </c>
      <c r="D21" t="s">
        <v>1131</v>
      </c>
      <c r="E21">
        <v>64860</v>
      </c>
      <c r="F21" t="s">
        <v>1450</v>
      </c>
    </row>
    <row r="22" spans="1:6" x14ac:dyDescent="0.35">
      <c r="A22">
        <v>20260101</v>
      </c>
      <c r="B22" t="s">
        <v>1164</v>
      </c>
      <c r="C22">
        <v>6300</v>
      </c>
      <c r="D22" t="s">
        <v>1131</v>
      </c>
      <c r="E22">
        <v>85000</v>
      </c>
      <c r="F22" t="s">
        <v>1450</v>
      </c>
    </row>
    <row r="23" spans="1:6" x14ac:dyDescent="0.35">
      <c r="A23">
        <v>20260101</v>
      </c>
      <c r="B23" t="s">
        <v>1164</v>
      </c>
      <c r="C23">
        <v>3900</v>
      </c>
      <c r="D23" t="s">
        <v>1131</v>
      </c>
      <c r="E23">
        <v>-650000</v>
      </c>
      <c r="F23" t="s">
        <v>1450</v>
      </c>
    </row>
    <row r="24" spans="1:6" x14ac:dyDescent="0.35">
      <c r="A24">
        <v>20260101</v>
      </c>
      <c r="B24" t="s">
        <v>1249</v>
      </c>
      <c r="C24">
        <v>5100</v>
      </c>
      <c r="D24" t="s">
        <v>485</v>
      </c>
      <c r="E24">
        <v>90000</v>
      </c>
      <c r="F24" t="s">
        <v>1450</v>
      </c>
    </row>
    <row r="25" spans="1:6" x14ac:dyDescent="0.35">
      <c r="A25">
        <v>20260101</v>
      </c>
      <c r="B25" t="s">
        <v>1249</v>
      </c>
      <c r="C25">
        <v>3400</v>
      </c>
      <c r="D25" t="s">
        <v>485</v>
      </c>
      <c r="E25">
        <v>-90000</v>
      </c>
      <c r="F25" t="s">
        <v>1450</v>
      </c>
    </row>
    <row r="26" spans="1:6" x14ac:dyDescent="0.35">
      <c r="A26">
        <v>20260101</v>
      </c>
      <c r="B26" t="s">
        <v>1169</v>
      </c>
      <c r="C26">
        <v>5000</v>
      </c>
      <c r="D26" t="s">
        <v>1131</v>
      </c>
      <c r="E26">
        <v>460000</v>
      </c>
      <c r="F26" t="s">
        <v>1450</v>
      </c>
    </row>
    <row r="27" spans="1:6" x14ac:dyDescent="0.35">
      <c r="A27">
        <v>20260101</v>
      </c>
      <c r="B27" t="s">
        <v>1169</v>
      </c>
      <c r="C27">
        <v>5400</v>
      </c>
      <c r="D27" t="s">
        <v>1131</v>
      </c>
      <c r="E27">
        <v>64860</v>
      </c>
      <c r="F27" t="s">
        <v>1450</v>
      </c>
    </row>
    <row r="28" spans="1:6" x14ac:dyDescent="0.35">
      <c r="A28">
        <v>20260101</v>
      </c>
      <c r="B28" t="s">
        <v>1169</v>
      </c>
      <c r="C28">
        <v>6300</v>
      </c>
      <c r="D28" t="s">
        <v>1131</v>
      </c>
      <c r="E28">
        <v>85000</v>
      </c>
      <c r="F28" t="s">
        <v>1450</v>
      </c>
    </row>
    <row r="29" spans="1:6" x14ac:dyDescent="0.35">
      <c r="A29">
        <v>20260101</v>
      </c>
      <c r="B29" t="s">
        <v>1169</v>
      </c>
      <c r="C29">
        <v>3900</v>
      </c>
      <c r="D29" t="s">
        <v>1131</v>
      </c>
      <c r="E29">
        <v>-650000</v>
      </c>
      <c r="F29" t="s">
        <v>1450</v>
      </c>
    </row>
    <row r="30" spans="1:6" x14ac:dyDescent="0.35">
      <c r="A30">
        <v>20260101</v>
      </c>
      <c r="B30" t="s">
        <v>1260</v>
      </c>
      <c r="C30">
        <v>5100</v>
      </c>
      <c r="D30" t="s">
        <v>485</v>
      </c>
      <c r="E30">
        <v>90000</v>
      </c>
      <c r="F30" t="s">
        <v>1450</v>
      </c>
    </row>
    <row r="31" spans="1:6" x14ac:dyDescent="0.35">
      <c r="A31">
        <v>20260101</v>
      </c>
      <c r="B31" t="s">
        <v>1260</v>
      </c>
      <c r="C31">
        <v>3400</v>
      </c>
      <c r="D31" t="s">
        <v>485</v>
      </c>
      <c r="E31">
        <v>-90000</v>
      </c>
      <c r="F31" t="s">
        <v>1450</v>
      </c>
    </row>
    <row r="32" spans="1:6" x14ac:dyDescent="0.35">
      <c r="A32">
        <v>20260101</v>
      </c>
      <c r="B32" t="s">
        <v>1175</v>
      </c>
      <c r="C32">
        <v>5000</v>
      </c>
      <c r="D32" t="s">
        <v>1131</v>
      </c>
      <c r="E32">
        <v>460000</v>
      </c>
      <c r="F32" t="s">
        <v>1450</v>
      </c>
    </row>
    <row r="33" spans="1:6" x14ac:dyDescent="0.35">
      <c r="A33">
        <v>20260101</v>
      </c>
      <c r="B33" t="s">
        <v>1175</v>
      </c>
      <c r="C33">
        <v>5400</v>
      </c>
      <c r="D33" t="s">
        <v>1131</v>
      </c>
      <c r="E33">
        <v>64860</v>
      </c>
      <c r="F33" t="s">
        <v>1450</v>
      </c>
    </row>
    <row r="34" spans="1:6" x14ac:dyDescent="0.35">
      <c r="A34">
        <v>20260101</v>
      </c>
      <c r="B34" t="s">
        <v>1175</v>
      </c>
      <c r="C34">
        <v>6300</v>
      </c>
      <c r="D34" t="s">
        <v>1131</v>
      </c>
      <c r="E34">
        <v>85000</v>
      </c>
      <c r="F34" t="s">
        <v>1450</v>
      </c>
    </row>
    <row r="35" spans="1:6" x14ac:dyDescent="0.35">
      <c r="A35">
        <v>20260101</v>
      </c>
      <c r="B35" t="s">
        <v>1175</v>
      </c>
      <c r="C35">
        <v>3900</v>
      </c>
      <c r="D35" t="s">
        <v>1131</v>
      </c>
      <c r="E35">
        <v>-650000</v>
      </c>
      <c r="F35" t="s">
        <v>1450</v>
      </c>
    </row>
    <row r="36" spans="1:6" x14ac:dyDescent="0.35">
      <c r="A36">
        <v>20260101</v>
      </c>
      <c r="B36" t="s">
        <v>1247</v>
      </c>
      <c r="C36">
        <v>5100</v>
      </c>
      <c r="D36" t="s">
        <v>485</v>
      </c>
      <c r="E36">
        <v>90000</v>
      </c>
      <c r="F36" t="s">
        <v>1450</v>
      </c>
    </row>
    <row r="37" spans="1:6" x14ac:dyDescent="0.35">
      <c r="A37">
        <v>20260101</v>
      </c>
      <c r="B37" t="s">
        <v>1247</v>
      </c>
      <c r="C37">
        <v>3400</v>
      </c>
      <c r="D37" t="s">
        <v>485</v>
      </c>
      <c r="E37">
        <v>-90000</v>
      </c>
      <c r="F37" t="s">
        <v>1450</v>
      </c>
    </row>
    <row r="38" spans="1:6" x14ac:dyDescent="0.35">
      <c r="A38">
        <v>20260101</v>
      </c>
      <c r="B38" t="s">
        <v>1130</v>
      </c>
      <c r="C38">
        <v>5000</v>
      </c>
      <c r="D38" t="s">
        <v>1131</v>
      </c>
      <c r="E38">
        <v>460000</v>
      </c>
      <c r="F38" t="s">
        <v>1450</v>
      </c>
    </row>
    <row r="39" spans="1:6" x14ac:dyDescent="0.35">
      <c r="A39">
        <v>20260101</v>
      </c>
      <c r="B39" t="s">
        <v>1130</v>
      </c>
      <c r="C39">
        <v>5400</v>
      </c>
      <c r="D39" t="s">
        <v>1131</v>
      </c>
      <c r="E39">
        <v>64860</v>
      </c>
      <c r="F39" t="s">
        <v>1450</v>
      </c>
    </row>
    <row r="40" spans="1:6" x14ac:dyDescent="0.35">
      <c r="A40">
        <v>20260101</v>
      </c>
      <c r="B40" t="s">
        <v>1130</v>
      </c>
      <c r="C40">
        <v>6300</v>
      </c>
      <c r="D40" t="s">
        <v>1131</v>
      </c>
      <c r="E40">
        <v>85000</v>
      </c>
      <c r="F40" t="s">
        <v>1450</v>
      </c>
    </row>
    <row r="41" spans="1:6" x14ac:dyDescent="0.35">
      <c r="A41">
        <v>20260101</v>
      </c>
      <c r="B41" t="s">
        <v>1130</v>
      </c>
      <c r="C41">
        <v>3900</v>
      </c>
      <c r="D41" t="s">
        <v>1131</v>
      </c>
      <c r="E41">
        <v>-650000</v>
      </c>
      <c r="F41" t="s">
        <v>1450</v>
      </c>
    </row>
    <row r="42" spans="1:6" x14ac:dyDescent="0.35">
      <c r="A42">
        <v>20260101</v>
      </c>
      <c r="B42" t="s">
        <v>1265</v>
      </c>
      <c r="C42">
        <v>5100</v>
      </c>
      <c r="D42" t="s">
        <v>485</v>
      </c>
      <c r="E42">
        <v>90000</v>
      </c>
      <c r="F42" t="s">
        <v>1450</v>
      </c>
    </row>
    <row r="43" spans="1:6" x14ac:dyDescent="0.35">
      <c r="A43">
        <v>20260101</v>
      </c>
      <c r="B43" t="s">
        <v>1265</v>
      </c>
      <c r="C43">
        <v>3400</v>
      </c>
      <c r="D43" t="s">
        <v>485</v>
      </c>
      <c r="E43">
        <v>-90000</v>
      </c>
      <c r="F43" t="s">
        <v>1450</v>
      </c>
    </row>
    <row r="44" spans="1:6" x14ac:dyDescent="0.35">
      <c r="A44">
        <v>20260101</v>
      </c>
      <c r="B44" t="s">
        <v>1173</v>
      </c>
      <c r="C44">
        <v>5000</v>
      </c>
      <c r="D44" t="s">
        <v>1131</v>
      </c>
      <c r="E44">
        <v>460000</v>
      </c>
      <c r="F44" t="s">
        <v>1450</v>
      </c>
    </row>
    <row r="45" spans="1:6" x14ac:dyDescent="0.35">
      <c r="A45">
        <v>20260101</v>
      </c>
      <c r="B45" t="s">
        <v>1173</v>
      </c>
      <c r="C45">
        <v>5400</v>
      </c>
      <c r="D45" t="s">
        <v>1131</v>
      </c>
      <c r="E45">
        <v>64860</v>
      </c>
      <c r="F45" t="s">
        <v>1450</v>
      </c>
    </row>
    <row r="46" spans="1:6" x14ac:dyDescent="0.35">
      <c r="A46">
        <v>20260101</v>
      </c>
      <c r="B46" t="s">
        <v>1173</v>
      </c>
      <c r="C46">
        <v>6300</v>
      </c>
      <c r="D46" t="s">
        <v>1131</v>
      </c>
      <c r="E46">
        <v>85000</v>
      </c>
      <c r="F46" t="s">
        <v>1450</v>
      </c>
    </row>
    <row r="47" spans="1:6" x14ac:dyDescent="0.35">
      <c r="A47">
        <v>20260101</v>
      </c>
      <c r="B47" t="s">
        <v>1173</v>
      </c>
      <c r="C47">
        <v>3900</v>
      </c>
      <c r="D47" t="s">
        <v>1131</v>
      </c>
      <c r="E47">
        <v>-650000</v>
      </c>
      <c r="F47" t="s">
        <v>1450</v>
      </c>
    </row>
    <row r="48" spans="1:6" x14ac:dyDescent="0.35">
      <c r="A48">
        <v>20260101</v>
      </c>
      <c r="B48" t="s">
        <v>1255</v>
      </c>
      <c r="C48">
        <v>5100</v>
      </c>
      <c r="D48" t="s">
        <v>485</v>
      </c>
      <c r="E48">
        <v>90000</v>
      </c>
      <c r="F48" t="s">
        <v>1450</v>
      </c>
    </row>
    <row r="49" spans="1:6" x14ac:dyDescent="0.35">
      <c r="A49">
        <v>20260101</v>
      </c>
      <c r="B49" t="s">
        <v>1255</v>
      </c>
      <c r="C49">
        <v>3400</v>
      </c>
      <c r="D49" t="s">
        <v>485</v>
      </c>
      <c r="E49">
        <v>-90000</v>
      </c>
      <c r="F49" t="s">
        <v>1450</v>
      </c>
    </row>
    <row r="50" spans="1:6" x14ac:dyDescent="0.35">
      <c r="A50">
        <v>20260101</v>
      </c>
      <c r="B50" t="s">
        <v>1155</v>
      </c>
      <c r="C50">
        <v>5000</v>
      </c>
      <c r="D50" t="s">
        <v>1131</v>
      </c>
      <c r="E50">
        <v>460000</v>
      </c>
      <c r="F50" t="s">
        <v>1450</v>
      </c>
    </row>
    <row r="51" spans="1:6" x14ac:dyDescent="0.35">
      <c r="A51">
        <v>20260101</v>
      </c>
      <c r="B51" t="s">
        <v>1155</v>
      </c>
      <c r="C51">
        <v>5400</v>
      </c>
      <c r="D51" t="s">
        <v>1131</v>
      </c>
      <c r="E51">
        <v>64860</v>
      </c>
      <c r="F51" t="s">
        <v>1450</v>
      </c>
    </row>
    <row r="52" spans="1:6" x14ac:dyDescent="0.35">
      <c r="A52">
        <v>20260101</v>
      </c>
      <c r="B52" t="s">
        <v>1155</v>
      </c>
      <c r="C52">
        <v>6300</v>
      </c>
      <c r="D52" t="s">
        <v>1131</v>
      </c>
      <c r="E52">
        <v>85000</v>
      </c>
      <c r="F52" t="s">
        <v>1450</v>
      </c>
    </row>
    <row r="53" spans="1:6" x14ac:dyDescent="0.35">
      <c r="A53">
        <v>20260101</v>
      </c>
      <c r="B53" t="s">
        <v>1155</v>
      </c>
      <c r="C53">
        <v>3900</v>
      </c>
      <c r="D53" t="s">
        <v>1131</v>
      </c>
      <c r="E53">
        <v>-650000</v>
      </c>
      <c r="F53" t="s">
        <v>1450</v>
      </c>
    </row>
    <row r="54" spans="1:6" x14ac:dyDescent="0.35">
      <c r="A54">
        <v>20260101</v>
      </c>
      <c r="B54" t="s">
        <v>1138</v>
      </c>
      <c r="C54">
        <v>5000</v>
      </c>
      <c r="D54" t="s">
        <v>1131</v>
      </c>
      <c r="E54">
        <v>460000</v>
      </c>
      <c r="F54" t="s">
        <v>1450</v>
      </c>
    </row>
    <row r="55" spans="1:6" x14ac:dyDescent="0.35">
      <c r="A55">
        <v>20260101</v>
      </c>
      <c r="B55" t="s">
        <v>1138</v>
      </c>
      <c r="C55">
        <v>5400</v>
      </c>
      <c r="D55" t="s">
        <v>1131</v>
      </c>
      <c r="E55">
        <v>64860</v>
      </c>
      <c r="F55" t="s">
        <v>1450</v>
      </c>
    </row>
    <row r="56" spans="1:6" x14ac:dyDescent="0.35">
      <c r="A56">
        <v>20260101</v>
      </c>
      <c r="B56" t="s">
        <v>1138</v>
      </c>
      <c r="C56">
        <v>6300</v>
      </c>
      <c r="D56" t="s">
        <v>1131</v>
      </c>
      <c r="E56">
        <v>85000</v>
      </c>
      <c r="F56" t="s">
        <v>1450</v>
      </c>
    </row>
    <row r="57" spans="1:6" x14ac:dyDescent="0.35">
      <c r="A57">
        <v>20260101</v>
      </c>
      <c r="B57" t="s">
        <v>1138</v>
      </c>
      <c r="C57">
        <v>3900</v>
      </c>
      <c r="D57" t="s">
        <v>1131</v>
      </c>
      <c r="E57">
        <v>-650000</v>
      </c>
      <c r="F57" t="s">
        <v>1450</v>
      </c>
    </row>
    <row r="58" spans="1:6" x14ac:dyDescent="0.35">
      <c r="A58">
        <v>20260201</v>
      </c>
      <c r="B58" t="s">
        <v>1150</v>
      </c>
      <c r="C58">
        <v>5000</v>
      </c>
      <c r="D58" t="s">
        <v>1131</v>
      </c>
      <c r="E58">
        <v>460000</v>
      </c>
      <c r="F58" t="s">
        <v>1450</v>
      </c>
    </row>
    <row r="59" spans="1:6" x14ac:dyDescent="0.35">
      <c r="A59">
        <v>20260201</v>
      </c>
      <c r="B59" t="s">
        <v>1150</v>
      </c>
      <c r="C59">
        <v>5400</v>
      </c>
      <c r="D59" t="s">
        <v>1131</v>
      </c>
      <c r="E59">
        <v>64860</v>
      </c>
      <c r="F59" t="s">
        <v>1450</v>
      </c>
    </row>
    <row r="60" spans="1:6" x14ac:dyDescent="0.35">
      <c r="A60">
        <v>20260201</v>
      </c>
      <c r="B60" t="s">
        <v>1150</v>
      </c>
      <c r="C60">
        <v>6300</v>
      </c>
      <c r="D60" t="s">
        <v>1131</v>
      </c>
      <c r="E60">
        <v>85000</v>
      </c>
      <c r="F60" t="s">
        <v>1450</v>
      </c>
    </row>
    <row r="61" spans="1:6" x14ac:dyDescent="0.35">
      <c r="A61">
        <v>20260201</v>
      </c>
      <c r="B61" t="s">
        <v>1150</v>
      </c>
      <c r="C61">
        <v>3900</v>
      </c>
      <c r="D61" t="s">
        <v>1131</v>
      </c>
      <c r="E61">
        <v>-650000</v>
      </c>
      <c r="F61" t="s">
        <v>1450</v>
      </c>
    </row>
    <row r="62" spans="1:6" x14ac:dyDescent="0.35">
      <c r="A62">
        <v>20260201</v>
      </c>
      <c r="B62" t="s">
        <v>1272</v>
      </c>
      <c r="C62">
        <v>5100</v>
      </c>
      <c r="D62" t="s">
        <v>485</v>
      </c>
      <c r="E62">
        <v>90000</v>
      </c>
      <c r="F62" t="s">
        <v>1450</v>
      </c>
    </row>
    <row r="63" spans="1:6" x14ac:dyDescent="0.35">
      <c r="A63">
        <v>20260201</v>
      </c>
      <c r="B63" t="s">
        <v>1272</v>
      </c>
      <c r="C63">
        <v>3400</v>
      </c>
      <c r="D63" t="s">
        <v>485</v>
      </c>
      <c r="E63">
        <v>-90000</v>
      </c>
      <c r="F63" t="s">
        <v>1450</v>
      </c>
    </row>
    <row r="64" spans="1:6" x14ac:dyDescent="0.35">
      <c r="A64">
        <v>20260201</v>
      </c>
      <c r="B64" t="s">
        <v>1158</v>
      </c>
      <c r="C64">
        <v>5000</v>
      </c>
      <c r="D64" t="s">
        <v>1131</v>
      </c>
      <c r="E64">
        <v>460000</v>
      </c>
      <c r="F64" t="s">
        <v>1450</v>
      </c>
    </row>
    <row r="65" spans="1:6" x14ac:dyDescent="0.35">
      <c r="A65">
        <v>20260201</v>
      </c>
      <c r="B65" t="s">
        <v>1158</v>
      </c>
      <c r="C65">
        <v>5400</v>
      </c>
      <c r="D65" t="s">
        <v>1131</v>
      </c>
      <c r="E65">
        <v>64860</v>
      </c>
      <c r="F65" t="s">
        <v>1450</v>
      </c>
    </row>
    <row r="66" spans="1:6" x14ac:dyDescent="0.35">
      <c r="A66">
        <v>20260201</v>
      </c>
      <c r="B66" t="s">
        <v>1158</v>
      </c>
      <c r="C66">
        <v>6300</v>
      </c>
      <c r="D66" t="s">
        <v>1131</v>
      </c>
      <c r="E66">
        <v>85000</v>
      </c>
      <c r="F66" t="s">
        <v>1450</v>
      </c>
    </row>
    <row r="67" spans="1:6" x14ac:dyDescent="0.35">
      <c r="A67">
        <v>20260201</v>
      </c>
      <c r="B67" t="s">
        <v>1158</v>
      </c>
      <c r="C67">
        <v>3900</v>
      </c>
      <c r="D67" t="s">
        <v>1131</v>
      </c>
      <c r="E67">
        <v>-650000</v>
      </c>
      <c r="F67" t="s">
        <v>1450</v>
      </c>
    </row>
    <row r="68" spans="1:6" x14ac:dyDescent="0.35">
      <c r="A68">
        <v>20260201</v>
      </c>
      <c r="B68" t="s">
        <v>1243</v>
      </c>
      <c r="C68">
        <v>5100</v>
      </c>
      <c r="D68" t="s">
        <v>485</v>
      </c>
      <c r="E68">
        <v>90000</v>
      </c>
      <c r="F68" t="s">
        <v>1450</v>
      </c>
    </row>
    <row r="69" spans="1:6" x14ac:dyDescent="0.35">
      <c r="A69">
        <v>20260201</v>
      </c>
      <c r="B69" t="s">
        <v>1243</v>
      </c>
      <c r="C69">
        <v>3400</v>
      </c>
      <c r="D69" t="s">
        <v>485</v>
      </c>
      <c r="E69">
        <v>-90000</v>
      </c>
      <c r="F69" t="s">
        <v>1450</v>
      </c>
    </row>
    <row r="70" spans="1:6" x14ac:dyDescent="0.35">
      <c r="A70">
        <v>20260201</v>
      </c>
      <c r="B70" t="s">
        <v>1205</v>
      </c>
      <c r="C70">
        <v>5000</v>
      </c>
      <c r="D70" t="s">
        <v>1131</v>
      </c>
      <c r="E70">
        <v>460000</v>
      </c>
      <c r="F70" t="s">
        <v>1450</v>
      </c>
    </row>
    <row r="71" spans="1:6" x14ac:dyDescent="0.35">
      <c r="A71">
        <v>20260201</v>
      </c>
      <c r="B71" t="s">
        <v>1205</v>
      </c>
      <c r="C71">
        <v>5400</v>
      </c>
      <c r="D71" t="s">
        <v>1131</v>
      </c>
      <c r="E71">
        <v>64860</v>
      </c>
      <c r="F71" t="s">
        <v>1450</v>
      </c>
    </row>
    <row r="72" spans="1:6" x14ac:dyDescent="0.35">
      <c r="A72">
        <v>20260201</v>
      </c>
      <c r="B72" t="s">
        <v>1205</v>
      </c>
      <c r="C72">
        <v>6300</v>
      </c>
      <c r="D72" t="s">
        <v>1131</v>
      </c>
      <c r="E72">
        <v>85000</v>
      </c>
      <c r="F72" t="s">
        <v>1450</v>
      </c>
    </row>
    <row r="73" spans="1:6" x14ac:dyDescent="0.35">
      <c r="A73">
        <v>20260201</v>
      </c>
      <c r="B73" t="s">
        <v>1205</v>
      </c>
      <c r="C73">
        <v>3900</v>
      </c>
      <c r="D73" t="s">
        <v>1131</v>
      </c>
      <c r="E73">
        <v>-650000</v>
      </c>
      <c r="F73" t="s">
        <v>1450</v>
      </c>
    </row>
    <row r="74" spans="1:6" x14ac:dyDescent="0.35">
      <c r="A74">
        <v>20260201</v>
      </c>
      <c r="B74" t="s">
        <v>1257</v>
      </c>
      <c r="C74">
        <v>5100</v>
      </c>
      <c r="D74" t="s">
        <v>485</v>
      </c>
      <c r="E74">
        <v>90000</v>
      </c>
      <c r="F74" t="s">
        <v>1450</v>
      </c>
    </row>
    <row r="75" spans="1:6" x14ac:dyDescent="0.35">
      <c r="A75">
        <v>20260201</v>
      </c>
      <c r="B75" t="s">
        <v>1257</v>
      </c>
      <c r="C75">
        <v>3400</v>
      </c>
      <c r="D75" t="s">
        <v>485</v>
      </c>
      <c r="E75">
        <v>-90000</v>
      </c>
      <c r="F75" t="s">
        <v>1450</v>
      </c>
    </row>
    <row r="76" spans="1:6" x14ac:dyDescent="0.35">
      <c r="A76">
        <v>20260201</v>
      </c>
      <c r="B76" t="s">
        <v>1164</v>
      </c>
      <c r="C76">
        <v>5000</v>
      </c>
      <c r="D76" t="s">
        <v>1131</v>
      </c>
      <c r="E76">
        <v>460000</v>
      </c>
      <c r="F76" t="s">
        <v>1450</v>
      </c>
    </row>
    <row r="77" spans="1:6" x14ac:dyDescent="0.35">
      <c r="A77">
        <v>20260201</v>
      </c>
      <c r="B77" t="s">
        <v>1164</v>
      </c>
      <c r="C77">
        <v>5400</v>
      </c>
      <c r="D77" t="s">
        <v>1131</v>
      </c>
      <c r="E77">
        <v>64860</v>
      </c>
      <c r="F77" t="s">
        <v>1450</v>
      </c>
    </row>
    <row r="78" spans="1:6" x14ac:dyDescent="0.35">
      <c r="A78">
        <v>20260201</v>
      </c>
      <c r="B78" t="s">
        <v>1164</v>
      </c>
      <c r="C78">
        <v>6300</v>
      </c>
      <c r="D78" t="s">
        <v>1131</v>
      </c>
      <c r="E78">
        <v>85000</v>
      </c>
      <c r="F78" t="s">
        <v>1450</v>
      </c>
    </row>
    <row r="79" spans="1:6" x14ac:dyDescent="0.35">
      <c r="A79">
        <v>20260201</v>
      </c>
      <c r="B79" t="s">
        <v>1164</v>
      </c>
      <c r="C79">
        <v>3900</v>
      </c>
      <c r="D79" t="s">
        <v>1131</v>
      </c>
      <c r="E79">
        <v>-650000</v>
      </c>
      <c r="F79" t="s">
        <v>1450</v>
      </c>
    </row>
    <row r="80" spans="1:6" x14ac:dyDescent="0.35">
      <c r="A80">
        <v>20260201</v>
      </c>
      <c r="B80" t="s">
        <v>1249</v>
      </c>
      <c r="C80">
        <v>5100</v>
      </c>
      <c r="D80" t="s">
        <v>485</v>
      </c>
      <c r="E80">
        <v>90000</v>
      </c>
      <c r="F80" t="s">
        <v>1450</v>
      </c>
    </row>
    <row r="81" spans="1:6" x14ac:dyDescent="0.35">
      <c r="A81">
        <v>20260201</v>
      </c>
      <c r="B81" t="s">
        <v>1249</v>
      </c>
      <c r="C81">
        <v>3400</v>
      </c>
      <c r="D81" t="s">
        <v>485</v>
      </c>
      <c r="E81">
        <v>-90000</v>
      </c>
      <c r="F81" t="s">
        <v>1450</v>
      </c>
    </row>
    <row r="82" spans="1:6" x14ac:dyDescent="0.35">
      <c r="A82">
        <v>20260201</v>
      </c>
      <c r="B82" t="s">
        <v>1169</v>
      </c>
      <c r="C82">
        <v>5000</v>
      </c>
      <c r="D82" t="s">
        <v>1131</v>
      </c>
      <c r="E82">
        <v>460000</v>
      </c>
      <c r="F82" t="s">
        <v>1450</v>
      </c>
    </row>
    <row r="83" spans="1:6" x14ac:dyDescent="0.35">
      <c r="A83">
        <v>20260201</v>
      </c>
      <c r="B83" t="s">
        <v>1169</v>
      </c>
      <c r="C83">
        <v>5400</v>
      </c>
      <c r="D83" t="s">
        <v>1131</v>
      </c>
      <c r="E83">
        <v>64860</v>
      </c>
      <c r="F83" t="s">
        <v>1450</v>
      </c>
    </row>
    <row r="84" spans="1:6" x14ac:dyDescent="0.35">
      <c r="A84">
        <v>20260201</v>
      </c>
      <c r="B84" t="s">
        <v>1169</v>
      </c>
      <c r="C84">
        <v>6300</v>
      </c>
      <c r="D84" t="s">
        <v>1131</v>
      </c>
      <c r="E84">
        <v>85000</v>
      </c>
      <c r="F84" t="s">
        <v>1450</v>
      </c>
    </row>
    <row r="85" spans="1:6" x14ac:dyDescent="0.35">
      <c r="A85">
        <v>20260201</v>
      </c>
      <c r="B85" t="s">
        <v>1169</v>
      </c>
      <c r="C85">
        <v>3900</v>
      </c>
      <c r="D85" t="s">
        <v>1131</v>
      </c>
      <c r="E85">
        <v>-650000</v>
      </c>
      <c r="F85" t="s">
        <v>1450</v>
      </c>
    </row>
    <row r="86" spans="1:6" x14ac:dyDescent="0.35">
      <c r="A86">
        <v>20260201</v>
      </c>
      <c r="B86" t="s">
        <v>1260</v>
      </c>
      <c r="C86">
        <v>5100</v>
      </c>
      <c r="D86" t="s">
        <v>485</v>
      </c>
      <c r="E86">
        <v>90000</v>
      </c>
      <c r="F86" t="s">
        <v>1450</v>
      </c>
    </row>
    <row r="87" spans="1:6" x14ac:dyDescent="0.35">
      <c r="A87">
        <v>20260201</v>
      </c>
      <c r="B87" t="s">
        <v>1260</v>
      </c>
      <c r="C87">
        <v>3400</v>
      </c>
      <c r="D87" t="s">
        <v>485</v>
      </c>
      <c r="E87">
        <v>-90000</v>
      </c>
      <c r="F87" t="s">
        <v>1450</v>
      </c>
    </row>
    <row r="88" spans="1:6" x14ac:dyDescent="0.35">
      <c r="A88">
        <v>20260201</v>
      </c>
      <c r="B88" t="s">
        <v>1175</v>
      </c>
      <c r="C88">
        <v>5000</v>
      </c>
      <c r="D88" t="s">
        <v>1131</v>
      </c>
      <c r="E88">
        <v>460000</v>
      </c>
      <c r="F88" t="s">
        <v>1450</v>
      </c>
    </row>
    <row r="89" spans="1:6" x14ac:dyDescent="0.35">
      <c r="A89">
        <v>20260201</v>
      </c>
      <c r="B89" t="s">
        <v>1175</v>
      </c>
      <c r="C89">
        <v>5400</v>
      </c>
      <c r="D89" t="s">
        <v>1131</v>
      </c>
      <c r="E89">
        <v>64860</v>
      </c>
      <c r="F89" t="s">
        <v>1450</v>
      </c>
    </row>
    <row r="90" spans="1:6" x14ac:dyDescent="0.35">
      <c r="A90">
        <v>20260201</v>
      </c>
      <c r="B90" t="s">
        <v>1175</v>
      </c>
      <c r="C90">
        <v>6300</v>
      </c>
      <c r="D90" t="s">
        <v>1131</v>
      </c>
      <c r="E90">
        <v>85000</v>
      </c>
      <c r="F90" t="s">
        <v>1450</v>
      </c>
    </row>
    <row r="91" spans="1:6" x14ac:dyDescent="0.35">
      <c r="A91">
        <v>20260201</v>
      </c>
      <c r="B91" t="s">
        <v>1175</v>
      </c>
      <c r="C91">
        <v>3900</v>
      </c>
      <c r="D91" t="s">
        <v>1131</v>
      </c>
      <c r="E91">
        <v>-650000</v>
      </c>
      <c r="F91" t="s">
        <v>1450</v>
      </c>
    </row>
    <row r="92" spans="1:6" x14ac:dyDescent="0.35">
      <c r="A92">
        <v>20260201</v>
      </c>
      <c r="B92" t="s">
        <v>1247</v>
      </c>
      <c r="C92">
        <v>5100</v>
      </c>
      <c r="D92" t="s">
        <v>485</v>
      </c>
      <c r="E92">
        <v>90000</v>
      </c>
      <c r="F92" t="s">
        <v>1450</v>
      </c>
    </row>
    <row r="93" spans="1:6" x14ac:dyDescent="0.35">
      <c r="A93">
        <v>20260201</v>
      </c>
      <c r="B93" t="s">
        <v>1247</v>
      </c>
      <c r="C93">
        <v>3400</v>
      </c>
      <c r="D93" t="s">
        <v>485</v>
      </c>
      <c r="E93">
        <v>-90000</v>
      </c>
      <c r="F93" t="s">
        <v>1450</v>
      </c>
    </row>
    <row r="94" spans="1:6" x14ac:dyDescent="0.35">
      <c r="A94">
        <v>20260201</v>
      </c>
      <c r="B94" t="s">
        <v>1130</v>
      </c>
      <c r="C94">
        <v>5000</v>
      </c>
      <c r="D94" t="s">
        <v>1131</v>
      </c>
      <c r="E94">
        <v>460000</v>
      </c>
      <c r="F94" t="s">
        <v>1450</v>
      </c>
    </row>
    <row r="95" spans="1:6" x14ac:dyDescent="0.35">
      <c r="A95">
        <v>20260201</v>
      </c>
      <c r="B95" t="s">
        <v>1130</v>
      </c>
      <c r="C95">
        <v>5400</v>
      </c>
      <c r="D95" t="s">
        <v>1131</v>
      </c>
      <c r="E95">
        <v>64860</v>
      </c>
      <c r="F95" t="s">
        <v>1450</v>
      </c>
    </row>
    <row r="96" spans="1:6" x14ac:dyDescent="0.35">
      <c r="A96">
        <v>20260201</v>
      </c>
      <c r="B96" t="s">
        <v>1130</v>
      </c>
      <c r="C96">
        <v>6300</v>
      </c>
      <c r="D96" t="s">
        <v>1131</v>
      </c>
      <c r="E96">
        <v>85000</v>
      </c>
      <c r="F96" t="s">
        <v>1450</v>
      </c>
    </row>
    <row r="97" spans="1:6" x14ac:dyDescent="0.35">
      <c r="A97">
        <v>20260201</v>
      </c>
      <c r="B97" t="s">
        <v>1130</v>
      </c>
      <c r="C97">
        <v>3900</v>
      </c>
      <c r="D97" t="s">
        <v>1131</v>
      </c>
      <c r="E97">
        <v>-650000</v>
      </c>
      <c r="F97" t="s">
        <v>1450</v>
      </c>
    </row>
    <row r="98" spans="1:6" x14ac:dyDescent="0.35">
      <c r="A98">
        <v>20260201</v>
      </c>
      <c r="B98" t="s">
        <v>1265</v>
      </c>
      <c r="C98">
        <v>5100</v>
      </c>
      <c r="D98" t="s">
        <v>485</v>
      </c>
      <c r="E98">
        <v>90000</v>
      </c>
      <c r="F98" t="s">
        <v>1450</v>
      </c>
    </row>
    <row r="99" spans="1:6" x14ac:dyDescent="0.35">
      <c r="A99">
        <v>20260201</v>
      </c>
      <c r="B99" t="s">
        <v>1265</v>
      </c>
      <c r="C99">
        <v>3400</v>
      </c>
      <c r="D99" t="s">
        <v>485</v>
      </c>
      <c r="E99">
        <v>-90000</v>
      </c>
      <c r="F99" t="s">
        <v>1450</v>
      </c>
    </row>
    <row r="100" spans="1:6" x14ac:dyDescent="0.35">
      <c r="A100">
        <v>20260201</v>
      </c>
      <c r="B100" t="s">
        <v>1173</v>
      </c>
      <c r="C100">
        <v>5000</v>
      </c>
      <c r="D100" t="s">
        <v>1131</v>
      </c>
      <c r="E100">
        <v>460000</v>
      </c>
      <c r="F100" t="s">
        <v>1450</v>
      </c>
    </row>
    <row r="101" spans="1:6" x14ac:dyDescent="0.35">
      <c r="A101">
        <v>20260201</v>
      </c>
      <c r="B101" t="s">
        <v>1173</v>
      </c>
      <c r="C101">
        <v>5400</v>
      </c>
      <c r="D101" t="s">
        <v>1131</v>
      </c>
      <c r="E101">
        <v>64860</v>
      </c>
      <c r="F101" t="s">
        <v>1450</v>
      </c>
    </row>
    <row r="102" spans="1:6" x14ac:dyDescent="0.35">
      <c r="A102">
        <v>20260201</v>
      </c>
      <c r="B102" t="s">
        <v>1173</v>
      </c>
      <c r="C102">
        <v>6300</v>
      </c>
      <c r="D102" t="s">
        <v>1131</v>
      </c>
      <c r="E102">
        <v>85000</v>
      </c>
      <c r="F102" t="s">
        <v>1450</v>
      </c>
    </row>
    <row r="103" spans="1:6" x14ac:dyDescent="0.35">
      <c r="A103">
        <v>20260201</v>
      </c>
      <c r="B103" t="s">
        <v>1173</v>
      </c>
      <c r="C103">
        <v>3900</v>
      </c>
      <c r="D103" t="s">
        <v>1131</v>
      </c>
      <c r="E103">
        <v>-650000</v>
      </c>
      <c r="F103" t="s">
        <v>1450</v>
      </c>
    </row>
    <row r="104" spans="1:6" x14ac:dyDescent="0.35">
      <c r="A104">
        <v>20260201</v>
      </c>
      <c r="B104" t="s">
        <v>1255</v>
      </c>
      <c r="C104">
        <v>5100</v>
      </c>
      <c r="D104" t="s">
        <v>485</v>
      </c>
      <c r="E104">
        <v>90000</v>
      </c>
      <c r="F104" t="s">
        <v>1450</v>
      </c>
    </row>
    <row r="105" spans="1:6" x14ac:dyDescent="0.35">
      <c r="A105">
        <v>20260201</v>
      </c>
      <c r="B105" t="s">
        <v>1255</v>
      </c>
      <c r="C105">
        <v>3400</v>
      </c>
      <c r="D105" t="s">
        <v>485</v>
      </c>
      <c r="E105">
        <v>-90000</v>
      </c>
      <c r="F105" t="s">
        <v>1450</v>
      </c>
    </row>
    <row r="106" spans="1:6" x14ac:dyDescent="0.35">
      <c r="A106">
        <v>20260201</v>
      </c>
      <c r="B106" t="s">
        <v>1155</v>
      </c>
      <c r="C106">
        <v>5000</v>
      </c>
      <c r="D106" t="s">
        <v>1131</v>
      </c>
      <c r="E106">
        <v>460000</v>
      </c>
      <c r="F106" t="s">
        <v>1450</v>
      </c>
    </row>
    <row r="107" spans="1:6" x14ac:dyDescent="0.35">
      <c r="A107">
        <v>20260201</v>
      </c>
      <c r="B107" t="s">
        <v>1155</v>
      </c>
      <c r="C107">
        <v>5400</v>
      </c>
      <c r="D107" t="s">
        <v>1131</v>
      </c>
      <c r="E107">
        <v>64860</v>
      </c>
      <c r="F107" t="s">
        <v>1450</v>
      </c>
    </row>
    <row r="108" spans="1:6" x14ac:dyDescent="0.35">
      <c r="A108">
        <v>20260201</v>
      </c>
      <c r="B108" t="s">
        <v>1155</v>
      </c>
      <c r="C108">
        <v>6300</v>
      </c>
      <c r="D108" t="s">
        <v>1131</v>
      </c>
      <c r="E108">
        <v>85000</v>
      </c>
      <c r="F108" t="s">
        <v>1450</v>
      </c>
    </row>
    <row r="109" spans="1:6" x14ac:dyDescent="0.35">
      <c r="A109">
        <v>20260201</v>
      </c>
      <c r="B109" t="s">
        <v>1155</v>
      </c>
      <c r="C109">
        <v>3900</v>
      </c>
      <c r="D109" t="s">
        <v>1131</v>
      </c>
      <c r="E109">
        <v>-650000</v>
      </c>
      <c r="F109" t="s">
        <v>1450</v>
      </c>
    </row>
    <row r="110" spans="1:6" x14ac:dyDescent="0.35">
      <c r="A110">
        <v>20260201</v>
      </c>
      <c r="B110" t="s">
        <v>1138</v>
      </c>
      <c r="C110">
        <v>5000</v>
      </c>
      <c r="D110" t="s">
        <v>1131</v>
      </c>
      <c r="E110">
        <v>460000</v>
      </c>
      <c r="F110" t="s">
        <v>1450</v>
      </c>
    </row>
    <row r="111" spans="1:6" x14ac:dyDescent="0.35">
      <c r="A111">
        <v>20260201</v>
      </c>
      <c r="B111" t="s">
        <v>1138</v>
      </c>
      <c r="C111">
        <v>5400</v>
      </c>
      <c r="D111" t="s">
        <v>1131</v>
      </c>
      <c r="E111">
        <v>64860</v>
      </c>
      <c r="F111" t="s">
        <v>1450</v>
      </c>
    </row>
    <row r="112" spans="1:6" x14ac:dyDescent="0.35">
      <c r="A112">
        <v>20260201</v>
      </c>
      <c r="B112" t="s">
        <v>1138</v>
      </c>
      <c r="C112">
        <v>6300</v>
      </c>
      <c r="D112" t="s">
        <v>1131</v>
      </c>
      <c r="E112">
        <v>85000</v>
      </c>
      <c r="F112" t="s">
        <v>1450</v>
      </c>
    </row>
    <row r="113" spans="1:6" x14ac:dyDescent="0.35">
      <c r="A113">
        <v>20260201</v>
      </c>
      <c r="B113" t="s">
        <v>1138</v>
      </c>
      <c r="C113">
        <v>3900</v>
      </c>
      <c r="D113" t="s">
        <v>1131</v>
      </c>
      <c r="E113">
        <v>-650000</v>
      </c>
      <c r="F113" t="s">
        <v>1450</v>
      </c>
    </row>
    <row r="114" spans="1:6" x14ac:dyDescent="0.35">
      <c r="A114">
        <v>20260301</v>
      </c>
      <c r="B114" t="s">
        <v>1150</v>
      </c>
      <c r="C114">
        <v>5000</v>
      </c>
      <c r="D114" t="s">
        <v>1131</v>
      </c>
      <c r="E114">
        <v>460000</v>
      </c>
      <c r="F114" t="s">
        <v>1450</v>
      </c>
    </row>
    <row r="115" spans="1:6" x14ac:dyDescent="0.35">
      <c r="A115">
        <v>20260301</v>
      </c>
      <c r="B115" t="s">
        <v>1150</v>
      </c>
      <c r="C115">
        <v>5400</v>
      </c>
      <c r="D115" t="s">
        <v>1131</v>
      </c>
      <c r="E115">
        <v>64860</v>
      </c>
      <c r="F115" t="s">
        <v>1450</v>
      </c>
    </row>
    <row r="116" spans="1:6" x14ac:dyDescent="0.35">
      <c r="A116">
        <v>20260301</v>
      </c>
      <c r="B116" t="s">
        <v>1150</v>
      </c>
      <c r="C116">
        <v>6300</v>
      </c>
      <c r="D116" t="s">
        <v>1131</v>
      </c>
      <c r="E116">
        <v>85000</v>
      </c>
      <c r="F116" t="s">
        <v>1450</v>
      </c>
    </row>
    <row r="117" spans="1:6" x14ac:dyDescent="0.35">
      <c r="A117">
        <v>20260301</v>
      </c>
      <c r="B117" t="s">
        <v>1150</v>
      </c>
      <c r="C117">
        <v>3900</v>
      </c>
      <c r="D117" t="s">
        <v>1131</v>
      </c>
      <c r="E117">
        <v>-650000</v>
      </c>
      <c r="F117" t="s">
        <v>1450</v>
      </c>
    </row>
    <row r="118" spans="1:6" x14ac:dyDescent="0.35">
      <c r="A118">
        <v>20260301</v>
      </c>
      <c r="B118" t="s">
        <v>1272</v>
      </c>
      <c r="C118">
        <v>5100</v>
      </c>
      <c r="D118" t="s">
        <v>485</v>
      </c>
      <c r="E118">
        <v>90000</v>
      </c>
      <c r="F118" t="s">
        <v>1450</v>
      </c>
    </row>
    <row r="119" spans="1:6" x14ac:dyDescent="0.35">
      <c r="A119">
        <v>20260301</v>
      </c>
      <c r="B119" t="s">
        <v>1272</v>
      </c>
      <c r="C119">
        <v>3400</v>
      </c>
      <c r="D119" t="s">
        <v>485</v>
      </c>
      <c r="E119">
        <v>-90000</v>
      </c>
      <c r="F119" t="s">
        <v>1450</v>
      </c>
    </row>
    <row r="120" spans="1:6" x14ac:dyDescent="0.35">
      <c r="A120">
        <v>20260301</v>
      </c>
      <c r="B120" t="s">
        <v>1158</v>
      </c>
      <c r="C120">
        <v>5000</v>
      </c>
      <c r="D120" t="s">
        <v>1131</v>
      </c>
      <c r="E120">
        <v>460000</v>
      </c>
      <c r="F120" t="s">
        <v>1450</v>
      </c>
    </row>
    <row r="121" spans="1:6" x14ac:dyDescent="0.35">
      <c r="A121">
        <v>20260301</v>
      </c>
      <c r="B121" t="s">
        <v>1158</v>
      </c>
      <c r="C121">
        <v>5400</v>
      </c>
      <c r="D121" t="s">
        <v>1131</v>
      </c>
      <c r="E121">
        <v>64860</v>
      </c>
      <c r="F121" t="s">
        <v>1450</v>
      </c>
    </row>
    <row r="122" spans="1:6" x14ac:dyDescent="0.35">
      <c r="A122">
        <v>20260301</v>
      </c>
      <c r="B122" t="s">
        <v>1158</v>
      </c>
      <c r="C122">
        <v>6300</v>
      </c>
      <c r="D122" t="s">
        <v>1131</v>
      </c>
      <c r="E122">
        <v>85000</v>
      </c>
      <c r="F122" t="s">
        <v>1450</v>
      </c>
    </row>
    <row r="123" spans="1:6" x14ac:dyDescent="0.35">
      <c r="A123">
        <v>20260301</v>
      </c>
      <c r="B123" t="s">
        <v>1158</v>
      </c>
      <c r="C123">
        <v>3900</v>
      </c>
      <c r="D123" t="s">
        <v>1131</v>
      </c>
      <c r="E123">
        <v>-650000</v>
      </c>
      <c r="F123" t="s">
        <v>1450</v>
      </c>
    </row>
    <row r="124" spans="1:6" x14ac:dyDescent="0.35">
      <c r="A124">
        <v>20260301</v>
      </c>
      <c r="B124" t="s">
        <v>1243</v>
      </c>
      <c r="C124">
        <v>5100</v>
      </c>
      <c r="D124" t="s">
        <v>485</v>
      </c>
      <c r="E124">
        <v>90000</v>
      </c>
      <c r="F124" t="s">
        <v>1450</v>
      </c>
    </row>
    <row r="125" spans="1:6" x14ac:dyDescent="0.35">
      <c r="A125">
        <v>20260301</v>
      </c>
      <c r="B125" t="s">
        <v>1243</v>
      </c>
      <c r="C125">
        <v>3400</v>
      </c>
      <c r="D125" t="s">
        <v>485</v>
      </c>
      <c r="E125">
        <v>-90000</v>
      </c>
      <c r="F125" t="s">
        <v>1450</v>
      </c>
    </row>
    <row r="126" spans="1:6" x14ac:dyDescent="0.35">
      <c r="A126">
        <v>20260301</v>
      </c>
      <c r="B126" t="s">
        <v>1205</v>
      </c>
      <c r="C126">
        <v>5000</v>
      </c>
      <c r="D126" t="s">
        <v>1131</v>
      </c>
      <c r="E126">
        <v>460000</v>
      </c>
      <c r="F126" t="s">
        <v>1450</v>
      </c>
    </row>
    <row r="127" spans="1:6" x14ac:dyDescent="0.35">
      <c r="A127">
        <v>20260301</v>
      </c>
      <c r="B127" t="s">
        <v>1205</v>
      </c>
      <c r="C127">
        <v>5400</v>
      </c>
      <c r="D127" t="s">
        <v>1131</v>
      </c>
      <c r="E127">
        <v>64860</v>
      </c>
      <c r="F127" t="s">
        <v>1450</v>
      </c>
    </row>
    <row r="128" spans="1:6" x14ac:dyDescent="0.35">
      <c r="A128">
        <v>20260301</v>
      </c>
      <c r="B128" t="s">
        <v>1205</v>
      </c>
      <c r="C128">
        <v>6300</v>
      </c>
      <c r="D128" t="s">
        <v>1131</v>
      </c>
      <c r="E128">
        <v>85000</v>
      </c>
      <c r="F128" t="s">
        <v>1450</v>
      </c>
    </row>
    <row r="129" spans="1:6" x14ac:dyDescent="0.35">
      <c r="A129">
        <v>20260301</v>
      </c>
      <c r="B129" t="s">
        <v>1205</v>
      </c>
      <c r="C129">
        <v>3900</v>
      </c>
      <c r="D129" t="s">
        <v>1131</v>
      </c>
      <c r="E129">
        <v>-650000</v>
      </c>
      <c r="F129" t="s">
        <v>1450</v>
      </c>
    </row>
    <row r="130" spans="1:6" x14ac:dyDescent="0.35">
      <c r="A130">
        <v>20260301</v>
      </c>
      <c r="B130" t="s">
        <v>1257</v>
      </c>
      <c r="C130">
        <v>5100</v>
      </c>
      <c r="D130" t="s">
        <v>485</v>
      </c>
      <c r="E130">
        <v>90000</v>
      </c>
      <c r="F130" t="s">
        <v>1450</v>
      </c>
    </row>
    <row r="131" spans="1:6" x14ac:dyDescent="0.35">
      <c r="A131">
        <v>20260301</v>
      </c>
      <c r="B131" t="s">
        <v>1257</v>
      </c>
      <c r="C131">
        <v>3400</v>
      </c>
      <c r="D131" t="s">
        <v>485</v>
      </c>
      <c r="E131">
        <v>-90000</v>
      </c>
      <c r="F131" t="s">
        <v>1450</v>
      </c>
    </row>
    <row r="132" spans="1:6" x14ac:dyDescent="0.35">
      <c r="A132">
        <v>20260301</v>
      </c>
      <c r="B132" t="s">
        <v>1164</v>
      </c>
      <c r="C132">
        <v>5000</v>
      </c>
      <c r="D132" t="s">
        <v>1131</v>
      </c>
      <c r="E132">
        <v>460000</v>
      </c>
      <c r="F132" t="s">
        <v>1450</v>
      </c>
    </row>
    <row r="133" spans="1:6" x14ac:dyDescent="0.35">
      <c r="A133">
        <v>20260301</v>
      </c>
      <c r="B133" t="s">
        <v>1164</v>
      </c>
      <c r="C133">
        <v>5400</v>
      </c>
      <c r="D133" t="s">
        <v>1131</v>
      </c>
      <c r="E133">
        <v>64860</v>
      </c>
      <c r="F133" t="s">
        <v>1450</v>
      </c>
    </row>
    <row r="134" spans="1:6" x14ac:dyDescent="0.35">
      <c r="A134">
        <v>20260301</v>
      </c>
      <c r="B134" t="s">
        <v>1164</v>
      </c>
      <c r="C134">
        <v>6300</v>
      </c>
      <c r="D134" t="s">
        <v>1131</v>
      </c>
      <c r="E134">
        <v>85000</v>
      </c>
      <c r="F134" t="s">
        <v>1450</v>
      </c>
    </row>
    <row r="135" spans="1:6" x14ac:dyDescent="0.35">
      <c r="A135">
        <v>20260301</v>
      </c>
      <c r="B135" t="s">
        <v>1164</v>
      </c>
      <c r="C135">
        <v>3900</v>
      </c>
      <c r="D135" t="s">
        <v>1131</v>
      </c>
      <c r="E135">
        <v>-650000</v>
      </c>
      <c r="F135" t="s">
        <v>1450</v>
      </c>
    </row>
    <row r="136" spans="1:6" x14ac:dyDescent="0.35">
      <c r="A136">
        <v>20260301</v>
      </c>
      <c r="B136" t="s">
        <v>1249</v>
      </c>
      <c r="C136">
        <v>5100</v>
      </c>
      <c r="D136" t="s">
        <v>485</v>
      </c>
      <c r="E136">
        <v>90000</v>
      </c>
      <c r="F136" t="s">
        <v>1450</v>
      </c>
    </row>
    <row r="137" spans="1:6" x14ac:dyDescent="0.35">
      <c r="A137">
        <v>20260301</v>
      </c>
      <c r="B137" t="s">
        <v>1249</v>
      </c>
      <c r="C137">
        <v>3400</v>
      </c>
      <c r="D137" t="s">
        <v>485</v>
      </c>
      <c r="E137">
        <v>-90000</v>
      </c>
      <c r="F137" t="s">
        <v>1450</v>
      </c>
    </row>
    <row r="138" spans="1:6" x14ac:dyDescent="0.35">
      <c r="A138">
        <v>20260301</v>
      </c>
      <c r="B138" t="s">
        <v>1169</v>
      </c>
      <c r="C138">
        <v>5000</v>
      </c>
      <c r="D138" t="s">
        <v>1131</v>
      </c>
      <c r="E138">
        <v>460000</v>
      </c>
      <c r="F138" t="s">
        <v>1450</v>
      </c>
    </row>
    <row r="139" spans="1:6" x14ac:dyDescent="0.35">
      <c r="A139">
        <v>20260301</v>
      </c>
      <c r="B139" t="s">
        <v>1169</v>
      </c>
      <c r="C139">
        <v>5400</v>
      </c>
      <c r="D139" t="s">
        <v>1131</v>
      </c>
      <c r="E139">
        <v>64860</v>
      </c>
      <c r="F139" t="s">
        <v>1450</v>
      </c>
    </row>
    <row r="140" spans="1:6" x14ac:dyDescent="0.35">
      <c r="A140">
        <v>20260301</v>
      </c>
      <c r="B140" t="s">
        <v>1169</v>
      </c>
      <c r="C140">
        <v>6300</v>
      </c>
      <c r="D140" t="s">
        <v>1131</v>
      </c>
      <c r="E140">
        <v>85000</v>
      </c>
      <c r="F140" t="s">
        <v>1450</v>
      </c>
    </row>
    <row r="141" spans="1:6" x14ac:dyDescent="0.35">
      <c r="A141">
        <v>20260301</v>
      </c>
      <c r="B141" t="s">
        <v>1169</v>
      </c>
      <c r="C141">
        <v>3900</v>
      </c>
      <c r="D141" t="s">
        <v>1131</v>
      </c>
      <c r="E141">
        <v>-650000</v>
      </c>
      <c r="F141" t="s">
        <v>1450</v>
      </c>
    </row>
    <row r="142" spans="1:6" x14ac:dyDescent="0.35">
      <c r="A142">
        <v>20260301</v>
      </c>
      <c r="B142" t="s">
        <v>1260</v>
      </c>
      <c r="C142">
        <v>5100</v>
      </c>
      <c r="D142" t="s">
        <v>485</v>
      </c>
      <c r="E142">
        <v>90000</v>
      </c>
      <c r="F142" t="s">
        <v>1450</v>
      </c>
    </row>
    <row r="143" spans="1:6" x14ac:dyDescent="0.35">
      <c r="A143">
        <v>20260301</v>
      </c>
      <c r="B143" t="s">
        <v>1260</v>
      </c>
      <c r="C143">
        <v>3400</v>
      </c>
      <c r="D143" t="s">
        <v>485</v>
      </c>
      <c r="E143">
        <v>-90000</v>
      </c>
      <c r="F143" t="s">
        <v>1450</v>
      </c>
    </row>
    <row r="144" spans="1:6" x14ac:dyDescent="0.35">
      <c r="A144">
        <v>20260301</v>
      </c>
      <c r="B144" t="s">
        <v>1175</v>
      </c>
      <c r="C144">
        <v>5000</v>
      </c>
      <c r="D144" t="s">
        <v>1131</v>
      </c>
      <c r="E144">
        <v>460000</v>
      </c>
      <c r="F144" t="s">
        <v>1450</v>
      </c>
    </row>
    <row r="145" spans="1:6" x14ac:dyDescent="0.35">
      <c r="A145">
        <v>20260301</v>
      </c>
      <c r="B145" t="s">
        <v>1175</v>
      </c>
      <c r="C145">
        <v>5400</v>
      </c>
      <c r="D145" t="s">
        <v>1131</v>
      </c>
      <c r="E145">
        <v>64860</v>
      </c>
      <c r="F145" t="s">
        <v>1450</v>
      </c>
    </row>
    <row r="146" spans="1:6" x14ac:dyDescent="0.35">
      <c r="A146">
        <v>20260301</v>
      </c>
      <c r="B146" t="s">
        <v>1175</v>
      </c>
      <c r="C146">
        <v>6300</v>
      </c>
      <c r="D146" t="s">
        <v>1131</v>
      </c>
      <c r="E146">
        <v>85000</v>
      </c>
      <c r="F146" t="s">
        <v>1450</v>
      </c>
    </row>
    <row r="147" spans="1:6" x14ac:dyDescent="0.35">
      <c r="A147">
        <v>20260301</v>
      </c>
      <c r="B147" t="s">
        <v>1175</v>
      </c>
      <c r="C147">
        <v>3900</v>
      </c>
      <c r="D147" t="s">
        <v>1131</v>
      </c>
      <c r="E147">
        <v>-650000</v>
      </c>
      <c r="F147" t="s">
        <v>1450</v>
      </c>
    </row>
    <row r="148" spans="1:6" x14ac:dyDescent="0.35">
      <c r="A148">
        <v>20260301</v>
      </c>
      <c r="B148" t="s">
        <v>1247</v>
      </c>
      <c r="C148">
        <v>5100</v>
      </c>
      <c r="D148" t="s">
        <v>485</v>
      </c>
      <c r="E148">
        <v>90000</v>
      </c>
      <c r="F148" t="s">
        <v>1450</v>
      </c>
    </row>
    <row r="149" spans="1:6" x14ac:dyDescent="0.35">
      <c r="A149">
        <v>20260301</v>
      </c>
      <c r="B149" t="s">
        <v>1247</v>
      </c>
      <c r="C149">
        <v>3400</v>
      </c>
      <c r="D149" t="s">
        <v>485</v>
      </c>
      <c r="E149">
        <v>-90000</v>
      </c>
      <c r="F149" t="s">
        <v>1450</v>
      </c>
    </row>
    <row r="150" spans="1:6" x14ac:dyDescent="0.35">
      <c r="A150">
        <v>20260301</v>
      </c>
      <c r="B150" t="s">
        <v>1130</v>
      </c>
      <c r="C150">
        <v>5000</v>
      </c>
      <c r="D150" t="s">
        <v>1131</v>
      </c>
      <c r="E150">
        <v>460000</v>
      </c>
      <c r="F150" t="s">
        <v>1450</v>
      </c>
    </row>
    <row r="151" spans="1:6" x14ac:dyDescent="0.35">
      <c r="A151">
        <v>20260301</v>
      </c>
      <c r="B151" t="s">
        <v>1130</v>
      </c>
      <c r="C151">
        <v>5400</v>
      </c>
      <c r="D151" t="s">
        <v>1131</v>
      </c>
      <c r="E151">
        <v>64860</v>
      </c>
      <c r="F151" t="s">
        <v>1450</v>
      </c>
    </row>
    <row r="152" spans="1:6" x14ac:dyDescent="0.35">
      <c r="A152">
        <v>20260301</v>
      </c>
      <c r="B152" t="s">
        <v>1130</v>
      </c>
      <c r="C152">
        <v>6300</v>
      </c>
      <c r="D152" t="s">
        <v>1131</v>
      </c>
      <c r="E152">
        <v>85000</v>
      </c>
      <c r="F152" t="s">
        <v>1450</v>
      </c>
    </row>
    <row r="153" spans="1:6" x14ac:dyDescent="0.35">
      <c r="A153">
        <v>20260301</v>
      </c>
      <c r="B153" t="s">
        <v>1130</v>
      </c>
      <c r="C153">
        <v>3900</v>
      </c>
      <c r="D153" t="s">
        <v>1131</v>
      </c>
      <c r="E153">
        <v>-650000</v>
      </c>
      <c r="F153" t="s">
        <v>1450</v>
      </c>
    </row>
    <row r="154" spans="1:6" x14ac:dyDescent="0.35">
      <c r="A154">
        <v>20260301</v>
      </c>
      <c r="B154" t="s">
        <v>1265</v>
      </c>
      <c r="C154">
        <v>5100</v>
      </c>
      <c r="D154" t="s">
        <v>485</v>
      </c>
      <c r="E154">
        <v>90000</v>
      </c>
      <c r="F154" t="s">
        <v>1450</v>
      </c>
    </row>
    <row r="155" spans="1:6" x14ac:dyDescent="0.35">
      <c r="A155">
        <v>20260301</v>
      </c>
      <c r="B155" t="s">
        <v>1265</v>
      </c>
      <c r="C155">
        <v>3400</v>
      </c>
      <c r="D155" t="s">
        <v>485</v>
      </c>
      <c r="E155">
        <v>-90000</v>
      </c>
      <c r="F155" t="s">
        <v>1450</v>
      </c>
    </row>
    <row r="156" spans="1:6" x14ac:dyDescent="0.35">
      <c r="A156">
        <v>20260301</v>
      </c>
      <c r="B156" t="s">
        <v>1173</v>
      </c>
      <c r="C156">
        <v>5000</v>
      </c>
      <c r="D156" t="s">
        <v>1131</v>
      </c>
      <c r="E156">
        <v>460000</v>
      </c>
      <c r="F156" t="s">
        <v>1450</v>
      </c>
    </row>
    <row r="157" spans="1:6" x14ac:dyDescent="0.35">
      <c r="A157">
        <v>20260301</v>
      </c>
      <c r="B157" t="s">
        <v>1173</v>
      </c>
      <c r="C157">
        <v>5400</v>
      </c>
      <c r="D157" t="s">
        <v>1131</v>
      </c>
      <c r="E157">
        <v>64860</v>
      </c>
      <c r="F157" t="s">
        <v>1450</v>
      </c>
    </row>
    <row r="158" spans="1:6" x14ac:dyDescent="0.35">
      <c r="A158">
        <v>20260301</v>
      </c>
      <c r="B158" t="s">
        <v>1173</v>
      </c>
      <c r="C158">
        <v>6300</v>
      </c>
      <c r="D158" t="s">
        <v>1131</v>
      </c>
      <c r="E158">
        <v>85000</v>
      </c>
      <c r="F158" t="s">
        <v>1450</v>
      </c>
    </row>
    <row r="159" spans="1:6" x14ac:dyDescent="0.35">
      <c r="A159">
        <v>20260301</v>
      </c>
      <c r="B159" t="s">
        <v>1173</v>
      </c>
      <c r="C159">
        <v>3900</v>
      </c>
      <c r="D159" t="s">
        <v>1131</v>
      </c>
      <c r="E159">
        <v>-650000</v>
      </c>
      <c r="F159" t="s">
        <v>1450</v>
      </c>
    </row>
    <row r="160" spans="1:6" x14ac:dyDescent="0.35">
      <c r="A160">
        <v>20260301</v>
      </c>
      <c r="B160" t="s">
        <v>1255</v>
      </c>
      <c r="C160">
        <v>5100</v>
      </c>
      <c r="D160" t="s">
        <v>485</v>
      </c>
      <c r="E160">
        <v>90000</v>
      </c>
      <c r="F160" t="s">
        <v>1450</v>
      </c>
    </row>
    <row r="161" spans="1:6" x14ac:dyDescent="0.35">
      <c r="A161">
        <v>20260301</v>
      </c>
      <c r="B161" t="s">
        <v>1255</v>
      </c>
      <c r="C161">
        <v>3400</v>
      </c>
      <c r="D161" t="s">
        <v>485</v>
      </c>
      <c r="E161">
        <v>-90000</v>
      </c>
      <c r="F161" t="s">
        <v>1450</v>
      </c>
    </row>
    <row r="162" spans="1:6" x14ac:dyDescent="0.35">
      <c r="A162">
        <v>20260301</v>
      </c>
      <c r="B162" t="s">
        <v>1155</v>
      </c>
      <c r="C162">
        <v>5000</v>
      </c>
      <c r="D162" t="s">
        <v>1131</v>
      </c>
      <c r="E162">
        <v>460000</v>
      </c>
      <c r="F162" t="s">
        <v>1450</v>
      </c>
    </row>
    <row r="163" spans="1:6" x14ac:dyDescent="0.35">
      <c r="A163">
        <v>20260301</v>
      </c>
      <c r="B163" t="s">
        <v>1155</v>
      </c>
      <c r="C163">
        <v>5400</v>
      </c>
      <c r="D163" t="s">
        <v>1131</v>
      </c>
      <c r="E163">
        <v>64860</v>
      </c>
      <c r="F163" t="s">
        <v>1450</v>
      </c>
    </row>
    <row r="164" spans="1:6" x14ac:dyDescent="0.35">
      <c r="A164">
        <v>20260301</v>
      </c>
      <c r="B164" t="s">
        <v>1155</v>
      </c>
      <c r="C164">
        <v>6300</v>
      </c>
      <c r="D164" t="s">
        <v>1131</v>
      </c>
      <c r="E164">
        <v>85000</v>
      </c>
      <c r="F164" t="s">
        <v>1450</v>
      </c>
    </row>
    <row r="165" spans="1:6" x14ac:dyDescent="0.35">
      <c r="A165">
        <v>20260301</v>
      </c>
      <c r="B165" t="s">
        <v>1155</v>
      </c>
      <c r="C165">
        <v>3900</v>
      </c>
      <c r="D165" t="s">
        <v>1131</v>
      </c>
      <c r="E165">
        <v>-650000</v>
      </c>
      <c r="F165" t="s">
        <v>1450</v>
      </c>
    </row>
    <row r="166" spans="1:6" x14ac:dyDescent="0.35">
      <c r="A166">
        <v>20260301</v>
      </c>
      <c r="B166" t="s">
        <v>1138</v>
      </c>
      <c r="C166">
        <v>5000</v>
      </c>
      <c r="D166" t="s">
        <v>1131</v>
      </c>
      <c r="E166">
        <v>460000</v>
      </c>
      <c r="F166" t="s">
        <v>1450</v>
      </c>
    </row>
    <row r="167" spans="1:6" x14ac:dyDescent="0.35">
      <c r="A167">
        <v>20260301</v>
      </c>
      <c r="B167" t="s">
        <v>1138</v>
      </c>
      <c r="C167">
        <v>5400</v>
      </c>
      <c r="D167" t="s">
        <v>1131</v>
      </c>
      <c r="E167">
        <v>64860</v>
      </c>
      <c r="F167" t="s">
        <v>1450</v>
      </c>
    </row>
    <row r="168" spans="1:6" x14ac:dyDescent="0.35">
      <c r="A168">
        <v>20260301</v>
      </c>
      <c r="B168" t="s">
        <v>1138</v>
      </c>
      <c r="C168">
        <v>6300</v>
      </c>
      <c r="D168" t="s">
        <v>1131</v>
      </c>
      <c r="E168">
        <v>85000</v>
      </c>
      <c r="F168" t="s">
        <v>1450</v>
      </c>
    </row>
    <row r="169" spans="1:6" x14ac:dyDescent="0.35">
      <c r="A169">
        <v>20260301</v>
      </c>
      <c r="B169" t="s">
        <v>1138</v>
      </c>
      <c r="C169">
        <v>3900</v>
      </c>
      <c r="D169" t="s">
        <v>1131</v>
      </c>
      <c r="E169">
        <v>-650000</v>
      </c>
      <c r="F169" t="s">
        <v>1450</v>
      </c>
    </row>
    <row r="170" spans="1:6" x14ac:dyDescent="0.35">
      <c r="A170">
        <v>20260401</v>
      </c>
      <c r="B170" t="s">
        <v>1150</v>
      </c>
      <c r="C170">
        <v>5000</v>
      </c>
      <c r="D170" t="s">
        <v>1131</v>
      </c>
      <c r="E170">
        <v>460000</v>
      </c>
      <c r="F170" t="s">
        <v>1450</v>
      </c>
    </row>
    <row r="171" spans="1:6" x14ac:dyDescent="0.35">
      <c r="A171">
        <v>20260401</v>
      </c>
      <c r="B171" t="s">
        <v>1150</v>
      </c>
      <c r="C171">
        <v>5400</v>
      </c>
      <c r="D171" t="s">
        <v>1131</v>
      </c>
      <c r="E171">
        <v>64860</v>
      </c>
      <c r="F171" t="s">
        <v>1450</v>
      </c>
    </row>
    <row r="172" spans="1:6" x14ac:dyDescent="0.35">
      <c r="A172">
        <v>20260401</v>
      </c>
      <c r="B172" t="s">
        <v>1150</v>
      </c>
      <c r="C172">
        <v>6300</v>
      </c>
      <c r="D172" t="s">
        <v>1131</v>
      </c>
      <c r="E172">
        <v>85000</v>
      </c>
      <c r="F172" t="s">
        <v>1450</v>
      </c>
    </row>
    <row r="173" spans="1:6" x14ac:dyDescent="0.35">
      <c r="A173">
        <v>20260401</v>
      </c>
      <c r="B173" t="s">
        <v>1150</v>
      </c>
      <c r="C173">
        <v>3900</v>
      </c>
      <c r="D173" t="s">
        <v>1131</v>
      </c>
      <c r="E173">
        <v>-650000</v>
      </c>
      <c r="F173" t="s">
        <v>1450</v>
      </c>
    </row>
    <row r="174" spans="1:6" x14ac:dyDescent="0.35">
      <c r="A174">
        <v>20260401</v>
      </c>
      <c r="B174" t="s">
        <v>1272</v>
      </c>
      <c r="C174">
        <v>5100</v>
      </c>
      <c r="D174" t="s">
        <v>485</v>
      </c>
      <c r="E174">
        <v>90000</v>
      </c>
      <c r="F174" t="s">
        <v>1450</v>
      </c>
    </row>
    <row r="175" spans="1:6" x14ac:dyDescent="0.35">
      <c r="A175">
        <v>20260401</v>
      </c>
      <c r="B175" t="s">
        <v>1272</v>
      </c>
      <c r="C175">
        <v>3400</v>
      </c>
      <c r="D175" t="s">
        <v>485</v>
      </c>
      <c r="E175">
        <v>-90000</v>
      </c>
      <c r="F175" t="s">
        <v>1450</v>
      </c>
    </row>
    <row r="176" spans="1:6" x14ac:dyDescent="0.35">
      <c r="A176">
        <v>20260401</v>
      </c>
      <c r="B176" t="s">
        <v>1158</v>
      </c>
      <c r="C176">
        <v>5000</v>
      </c>
      <c r="D176" t="s">
        <v>1131</v>
      </c>
      <c r="E176">
        <v>460000</v>
      </c>
      <c r="F176" t="s">
        <v>1450</v>
      </c>
    </row>
    <row r="177" spans="1:6" x14ac:dyDescent="0.35">
      <c r="A177">
        <v>20260401</v>
      </c>
      <c r="B177" t="s">
        <v>1158</v>
      </c>
      <c r="C177">
        <v>5400</v>
      </c>
      <c r="D177" t="s">
        <v>1131</v>
      </c>
      <c r="E177">
        <v>64860</v>
      </c>
      <c r="F177" t="s">
        <v>1450</v>
      </c>
    </row>
    <row r="178" spans="1:6" x14ac:dyDescent="0.35">
      <c r="A178">
        <v>20260401</v>
      </c>
      <c r="B178" t="s">
        <v>1158</v>
      </c>
      <c r="C178">
        <v>6300</v>
      </c>
      <c r="D178" t="s">
        <v>1131</v>
      </c>
      <c r="E178">
        <v>85000</v>
      </c>
      <c r="F178" t="s">
        <v>1450</v>
      </c>
    </row>
    <row r="179" spans="1:6" x14ac:dyDescent="0.35">
      <c r="A179">
        <v>20260401</v>
      </c>
      <c r="B179" t="s">
        <v>1158</v>
      </c>
      <c r="C179">
        <v>3900</v>
      </c>
      <c r="D179" t="s">
        <v>1131</v>
      </c>
      <c r="E179">
        <v>-650000</v>
      </c>
      <c r="F179" t="s">
        <v>1450</v>
      </c>
    </row>
    <row r="180" spans="1:6" x14ac:dyDescent="0.35">
      <c r="A180">
        <v>20260401</v>
      </c>
      <c r="B180" t="s">
        <v>1243</v>
      </c>
      <c r="C180">
        <v>5100</v>
      </c>
      <c r="D180" t="s">
        <v>485</v>
      </c>
      <c r="E180">
        <v>90000</v>
      </c>
      <c r="F180" t="s">
        <v>1450</v>
      </c>
    </row>
    <row r="181" spans="1:6" x14ac:dyDescent="0.35">
      <c r="A181">
        <v>20260401</v>
      </c>
      <c r="B181" t="s">
        <v>1243</v>
      </c>
      <c r="C181">
        <v>3400</v>
      </c>
      <c r="D181" t="s">
        <v>485</v>
      </c>
      <c r="E181">
        <v>-90000</v>
      </c>
      <c r="F181" t="s">
        <v>1450</v>
      </c>
    </row>
    <row r="182" spans="1:6" x14ac:dyDescent="0.35">
      <c r="A182">
        <v>20260401</v>
      </c>
      <c r="B182" t="s">
        <v>1205</v>
      </c>
      <c r="C182">
        <v>5000</v>
      </c>
      <c r="D182" t="s">
        <v>1131</v>
      </c>
      <c r="E182">
        <v>460000</v>
      </c>
      <c r="F182" t="s">
        <v>1450</v>
      </c>
    </row>
    <row r="183" spans="1:6" x14ac:dyDescent="0.35">
      <c r="A183">
        <v>20260401</v>
      </c>
      <c r="B183" t="s">
        <v>1205</v>
      </c>
      <c r="C183">
        <v>5400</v>
      </c>
      <c r="D183" t="s">
        <v>1131</v>
      </c>
      <c r="E183">
        <v>64860</v>
      </c>
      <c r="F183" t="s">
        <v>1450</v>
      </c>
    </row>
    <row r="184" spans="1:6" x14ac:dyDescent="0.35">
      <c r="A184">
        <v>20260401</v>
      </c>
      <c r="B184" t="s">
        <v>1205</v>
      </c>
      <c r="C184">
        <v>6300</v>
      </c>
      <c r="D184" t="s">
        <v>1131</v>
      </c>
      <c r="E184">
        <v>85000</v>
      </c>
      <c r="F184" t="s">
        <v>1450</v>
      </c>
    </row>
    <row r="185" spans="1:6" x14ac:dyDescent="0.35">
      <c r="A185">
        <v>20260401</v>
      </c>
      <c r="B185" t="s">
        <v>1205</v>
      </c>
      <c r="C185">
        <v>3900</v>
      </c>
      <c r="D185" t="s">
        <v>1131</v>
      </c>
      <c r="E185">
        <v>-650000</v>
      </c>
      <c r="F185" t="s">
        <v>1450</v>
      </c>
    </row>
    <row r="186" spans="1:6" x14ac:dyDescent="0.35">
      <c r="A186">
        <v>20260401</v>
      </c>
      <c r="B186" t="s">
        <v>1257</v>
      </c>
      <c r="C186">
        <v>5100</v>
      </c>
      <c r="D186" t="s">
        <v>485</v>
      </c>
      <c r="E186">
        <v>90000</v>
      </c>
      <c r="F186" t="s">
        <v>1450</v>
      </c>
    </row>
    <row r="187" spans="1:6" x14ac:dyDescent="0.35">
      <c r="A187">
        <v>20260401</v>
      </c>
      <c r="B187" t="s">
        <v>1257</v>
      </c>
      <c r="C187">
        <v>3400</v>
      </c>
      <c r="D187" t="s">
        <v>485</v>
      </c>
      <c r="E187">
        <v>-90000</v>
      </c>
      <c r="F187" t="s">
        <v>1450</v>
      </c>
    </row>
    <row r="188" spans="1:6" x14ac:dyDescent="0.35">
      <c r="A188">
        <v>20260401</v>
      </c>
      <c r="B188" t="s">
        <v>1164</v>
      </c>
      <c r="C188">
        <v>5000</v>
      </c>
      <c r="D188" t="s">
        <v>1131</v>
      </c>
      <c r="E188">
        <v>460000</v>
      </c>
      <c r="F188" t="s">
        <v>1450</v>
      </c>
    </row>
    <row r="189" spans="1:6" x14ac:dyDescent="0.35">
      <c r="A189">
        <v>20260401</v>
      </c>
      <c r="B189" t="s">
        <v>1164</v>
      </c>
      <c r="C189">
        <v>5400</v>
      </c>
      <c r="D189" t="s">
        <v>1131</v>
      </c>
      <c r="E189">
        <v>64860</v>
      </c>
      <c r="F189" t="s">
        <v>1450</v>
      </c>
    </row>
    <row r="190" spans="1:6" x14ac:dyDescent="0.35">
      <c r="A190">
        <v>20260401</v>
      </c>
      <c r="B190" t="s">
        <v>1164</v>
      </c>
      <c r="C190">
        <v>6300</v>
      </c>
      <c r="D190" t="s">
        <v>1131</v>
      </c>
      <c r="E190">
        <v>85000</v>
      </c>
      <c r="F190" t="s">
        <v>1450</v>
      </c>
    </row>
    <row r="191" spans="1:6" x14ac:dyDescent="0.35">
      <c r="A191">
        <v>20260401</v>
      </c>
      <c r="B191" t="s">
        <v>1164</v>
      </c>
      <c r="C191">
        <v>3900</v>
      </c>
      <c r="D191" t="s">
        <v>1131</v>
      </c>
      <c r="E191">
        <v>-650000</v>
      </c>
      <c r="F191" t="s">
        <v>1450</v>
      </c>
    </row>
    <row r="192" spans="1:6" x14ac:dyDescent="0.35">
      <c r="A192">
        <v>20260401</v>
      </c>
      <c r="B192" t="s">
        <v>1249</v>
      </c>
      <c r="C192">
        <v>5100</v>
      </c>
      <c r="D192" t="s">
        <v>485</v>
      </c>
      <c r="E192">
        <v>90000</v>
      </c>
      <c r="F192" t="s">
        <v>1450</v>
      </c>
    </row>
    <row r="193" spans="1:6" x14ac:dyDescent="0.35">
      <c r="A193">
        <v>20260401</v>
      </c>
      <c r="B193" t="s">
        <v>1249</v>
      </c>
      <c r="C193">
        <v>3400</v>
      </c>
      <c r="D193" t="s">
        <v>485</v>
      </c>
      <c r="E193">
        <v>-90000</v>
      </c>
      <c r="F193" t="s">
        <v>1450</v>
      </c>
    </row>
    <row r="194" spans="1:6" x14ac:dyDescent="0.35">
      <c r="A194">
        <v>20260401</v>
      </c>
      <c r="B194" t="s">
        <v>1169</v>
      </c>
      <c r="C194">
        <v>5000</v>
      </c>
      <c r="D194" t="s">
        <v>1131</v>
      </c>
      <c r="E194">
        <v>460000</v>
      </c>
      <c r="F194" t="s">
        <v>1450</v>
      </c>
    </row>
    <row r="195" spans="1:6" x14ac:dyDescent="0.35">
      <c r="A195">
        <v>20260401</v>
      </c>
      <c r="B195" t="s">
        <v>1169</v>
      </c>
      <c r="C195">
        <v>5400</v>
      </c>
      <c r="D195" t="s">
        <v>1131</v>
      </c>
      <c r="E195">
        <v>64860</v>
      </c>
      <c r="F195" t="s">
        <v>1450</v>
      </c>
    </row>
    <row r="196" spans="1:6" x14ac:dyDescent="0.35">
      <c r="A196">
        <v>20260401</v>
      </c>
      <c r="B196" t="s">
        <v>1169</v>
      </c>
      <c r="C196">
        <v>6300</v>
      </c>
      <c r="D196" t="s">
        <v>1131</v>
      </c>
      <c r="E196">
        <v>85000</v>
      </c>
      <c r="F196" t="s">
        <v>1450</v>
      </c>
    </row>
    <row r="197" spans="1:6" x14ac:dyDescent="0.35">
      <c r="A197">
        <v>20260401</v>
      </c>
      <c r="B197" t="s">
        <v>1169</v>
      </c>
      <c r="C197">
        <v>3900</v>
      </c>
      <c r="D197" t="s">
        <v>1131</v>
      </c>
      <c r="E197">
        <v>-650000</v>
      </c>
      <c r="F197" t="s">
        <v>1450</v>
      </c>
    </row>
    <row r="198" spans="1:6" x14ac:dyDescent="0.35">
      <c r="A198">
        <v>20260401</v>
      </c>
      <c r="B198" t="s">
        <v>1260</v>
      </c>
      <c r="C198">
        <v>5100</v>
      </c>
      <c r="D198" t="s">
        <v>485</v>
      </c>
      <c r="E198">
        <v>90000</v>
      </c>
      <c r="F198" t="s">
        <v>1450</v>
      </c>
    </row>
    <row r="199" spans="1:6" x14ac:dyDescent="0.35">
      <c r="A199">
        <v>20260401</v>
      </c>
      <c r="B199" t="s">
        <v>1260</v>
      </c>
      <c r="C199">
        <v>3400</v>
      </c>
      <c r="D199" t="s">
        <v>485</v>
      </c>
      <c r="E199">
        <v>-90000</v>
      </c>
      <c r="F199" t="s">
        <v>1450</v>
      </c>
    </row>
    <row r="200" spans="1:6" x14ac:dyDescent="0.35">
      <c r="A200">
        <v>20260401</v>
      </c>
      <c r="B200" t="s">
        <v>1175</v>
      </c>
      <c r="C200">
        <v>5000</v>
      </c>
      <c r="D200" t="s">
        <v>1131</v>
      </c>
      <c r="E200">
        <v>460000</v>
      </c>
      <c r="F200" t="s">
        <v>1450</v>
      </c>
    </row>
    <row r="201" spans="1:6" x14ac:dyDescent="0.35">
      <c r="A201">
        <v>20260401</v>
      </c>
      <c r="B201" t="s">
        <v>1175</v>
      </c>
      <c r="C201">
        <v>5400</v>
      </c>
      <c r="D201" t="s">
        <v>1131</v>
      </c>
      <c r="E201">
        <v>64860</v>
      </c>
      <c r="F201" t="s">
        <v>1450</v>
      </c>
    </row>
    <row r="202" spans="1:6" x14ac:dyDescent="0.35">
      <c r="A202">
        <v>20260401</v>
      </c>
      <c r="B202" t="s">
        <v>1175</v>
      </c>
      <c r="C202">
        <v>6300</v>
      </c>
      <c r="D202" t="s">
        <v>1131</v>
      </c>
      <c r="E202">
        <v>85000</v>
      </c>
      <c r="F202" t="s">
        <v>1450</v>
      </c>
    </row>
    <row r="203" spans="1:6" x14ac:dyDescent="0.35">
      <c r="A203">
        <v>20260401</v>
      </c>
      <c r="B203" t="s">
        <v>1175</v>
      </c>
      <c r="C203">
        <v>3900</v>
      </c>
      <c r="D203" t="s">
        <v>1131</v>
      </c>
      <c r="E203">
        <v>-650000</v>
      </c>
      <c r="F203" t="s">
        <v>1450</v>
      </c>
    </row>
    <row r="204" spans="1:6" x14ac:dyDescent="0.35">
      <c r="A204">
        <v>20260401</v>
      </c>
      <c r="B204" t="s">
        <v>1247</v>
      </c>
      <c r="C204">
        <v>5100</v>
      </c>
      <c r="D204" t="s">
        <v>485</v>
      </c>
      <c r="E204">
        <v>90000</v>
      </c>
      <c r="F204" t="s">
        <v>1450</v>
      </c>
    </row>
    <row r="205" spans="1:6" x14ac:dyDescent="0.35">
      <c r="A205">
        <v>20260401</v>
      </c>
      <c r="B205" t="s">
        <v>1247</v>
      </c>
      <c r="C205">
        <v>3400</v>
      </c>
      <c r="D205" t="s">
        <v>485</v>
      </c>
      <c r="E205">
        <v>-90000</v>
      </c>
      <c r="F205" t="s">
        <v>1450</v>
      </c>
    </row>
    <row r="206" spans="1:6" x14ac:dyDescent="0.35">
      <c r="A206">
        <v>20260401</v>
      </c>
      <c r="B206" t="s">
        <v>1130</v>
      </c>
      <c r="C206">
        <v>5000</v>
      </c>
      <c r="D206" t="s">
        <v>1131</v>
      </c>
      <c r="E206">
        <v>460000</v>
      </c>
      <c r="F206" t="s">
        <v>1450</v>
      </c>
    </row>
    <row r="207" spans="1:6" x14ac:dyDescent="0.35">
      <c r="A207">
        <v>20260401</v>
      </c>
      <c r="B207" t="s">
        <v>1130</v>
      </c>
      <c r="C207">
        <v>5400</v>
      </c>
      <c r="D207" t="s">
        <v>1131</v>
      </c>
      <c r="E207">
        <v>64860</v>
      </c>
      <c r="F207" t="s">
        <v>1450</v>
      </c>
    </row>
    <row r="208" spans="1:6" x14ac:dyDescent="0.35">
      <c r="A208">
        <v>20260401</v>
      </c>
      <c r="B208" t="s">
        <v>1130</v>
      </c>
      <c r="C208">
        <v>6300</v>
      </c>
      <c r="D208" t="s">
        <v>1131</v>
      </c>
      <c r="E208">
        <v>85000</v>
      </c>
      <c r="F208" t="s">
        <v>1450</v>
      </c>
    </row>
    <row r="209" spans="1:6" x14ac:dyDescent="0.35">
      <c r="A209">
        <v>20260401</v>
      </c>
      <c r="B209" t="s">
        <v>1130</v>
      </c>
      <c r="C209">
        <v>3900</v>
      </c>
      <c r="D209" t="s">
        <v>1131</v>
      </c>
      <c r="E209">
        <v>-650000</v>
      </c>
      <c r="F209" t="s">
        <v>1450</v>
      </c>
    </row>
    <row r="210" spans="1:6" x14ac:dyDescent="0.35">
      <c r="A210">
        <v>20260401</v>
      </c>
      <c r="B210" t="s">
        <v>1265</v>
      </c>
      <c r="C210">
        <v>5100</v>
      </c>
      <c r="D210" t="s">
        <v>485</v>
      </c>
      <c r="E210">
        <v>90000</v>
      </c>
      <c r="F210" t="s">
        <v>1450</v>
      </c>
    </row>
    <row r="211" spans="1:6" x14ac:dyDescent="0.35">
      <c r="A211">
        <v>20260401</v>
      </c>
      <c r="B211" t="s">
        <v>1265</v>
      </c>
      <c r="C211">
        <v>3400</v>
      </c>
      <c r="D211" t="s">
        <v>485</v>
      </c>
      <c r="E211">
        <v>-90000</v>
      </c>
      <c r="F211" t="s">
        <v>1450</v>
      </c>
    </row>
    <row r="212" spans="1:6" x14ac:dyDescent="0.35">
      <c r="A212">
        <v>20260401</v>
      </c>
      <c r="B212" t="s">
        <v>1173</v>
      </c>
      <c r="C212">
        <v>5000</v>
      </c>
      <c r="D212" t="s">
        <v>1131</v>
      </c>
      <c r="E212">
        <v>460000</v>
      </c>
      <c r="F212" t="s">
        <v>1450</v>
      </c>
    </row>
    <row r="213" spans="1:6" x14ac:dyDescent="0.35">
      <c r="A213">
        <v>20260401</v>
      </c>
      <c r="B213" t="s">
        <v>1173</v>
      </c>
      <c r="C213">
        <v>5400</v>
      </c>
      <c r="D213" t="s">
        <v>1131</v>
      </c>
      <c r="E213">
        <v>64860</v>
      </c>
      <c r="F213" t="s">
        <v>1450</v>
      </c>
    </row>
    <row r="214" spans="1:6" x14ac:dyDescent="0.35">
      <c r="A214">
        <v>20260401</v>
      </c>
      <c r="B214" t="s">
        <v>1173</v>
      </c>
      <c r="C214">
        <v>6300</v>
      </c>
      <c r="D214" t="s">
        <v>1131</v>
      </c>
      <c r="E214">
        <v>85000</v>
      </c>
      <c r="F214" t="s">
        <v>1450</v>
      </c>
    </row>
    <row r="215" spans="1:6" x14ac:dyDescent="0.35">
      <c r="A215">
        <v>20260401</v>
      </c>
      <c r="B215" t="s">
        <v>1173</v>
      </c>
      <c r="C215">
        <v>3900</v>
      </c>
      <c r="D215" t="s">
        <v>1131</v>
      </c>
      <c r="E215">
        <v>-650000</v>
      </c>
      <c r="F215" t="s">
        <v>1450</v>
      </c>
    </row>
    <row r="216" spans="1:6" x14ac:dyDescent="0.35">
      <c r="A216">
        <v>20260401</v>
      </c>
      <c r="B216" t="s">
        <v>1255</v>
      </c>
      <c r="C216">
        <v>5100</v>
      </c>
      <c r="D216" t="s">
        <v>485</v>
      </c>
      <c r="E216">
        <v>90000</v>
      </c>
      <c r="F216" t="s">
        <v>1450</v>
      </c>
    </row>
    <row r="217" spans="1:6" x14ac:dyDescent="0.35">
      <c r="A217">
        <v>20260401</v>
      </c>
      <c r="B217" t="s">
        <v>1255</v>
      </c>
      <c r="C217">
        <v>3400</v>
      </c>
      <c r="D217" t="s">
        <v>485</v>
      </c>
      <c r="E217">
        <v>-90000</v>
      </c>
      <c r="F217" t="s">
        <v>1450</v>
      </c>
    </row>
    <row r="218" spans="1:6" x14ac:dyDescent="0.35">
      <c r="A218">
        <v>20260401</v>
      </c>
      <c r="B218" t="s">
        <v>1155</v>
      </c>
      <c r="C218">
        <v>5000</v>
      </c>
      <c r="D218" t="s">
        <v>1131</v>
      </c>
      <c r="E218">
        <v>460000</v>
      </c>
      <c r="F218" t="s">
        <v>1450</v>
      </c>
    </row>
    <row r="219" spans="1:6" x14ac:dyDescent="0.35">
      <c r="A219">
        <v>20260401</v>
      </c>
      <c r="B219" t="s">
        <v>1155</v>
      </c>
      <c r="C219">
        <v>5400</v>
      </c>
      <c r="D219" t="s">
        <v>1131</v>
      </c>
      <c r="E219">
        <v>64860</v>
      </c>
      <c r="F219" t="s">
        <v>1450</v>
      </c>
    </row>
    <row r="220" spans="1:6" x14ac:dyDescent="0.35">
      <c r="A220">
        <v>20260401</v>
      </c>
      <c r="B220" t="s">
        <v>1155</v>
      </c>
      <c r="C220">
        <v>6300</v>
      </c>
      <c r="D220" t="s">
        <v>1131</v>
      </c>
      <c r="E220">
        <v>85000</v>
      </c>
      <c r="F220" t="s">
        <v>1450</v>
      </c>
    </row>
    <row r="221" spans="1:6" x14ac:dyDescent="0.35">
      <c r="A221">
        <v>20260401</v>
      </c>
      <c r="B221" t="s">
        <v>1155</v>
      </c>
      <c r="C221">
        <v>3900</v>
      </c>
      <c r="D221" t="s">
        <v>1131</v>
      </c>
      <c r="E221">
        <v>-650000</v>
      </c>
      <c r="F221" t="s">
        <v>1450</v>
      </c>
    </row>
    <row r="222" spans="1:6" x14ac:dyDescent="0.35">
      <c r="A222">
        <v>20260401</v>
      </c>
      <c r="B222" t="s">
        <v>1138</v>
      </c>
      <c r="C222">
        <v>5000</v>
      </c>
      <c r="D222" t="s">
        <v>1131</v>
      </c>
      <c r="E222">
        <v>460000</v>
      </c>
      <c r="F222" t="s">
        <v>1450</v>
      </c>
    </row>
    <row r="223" spans="1:6" x14ac:dyDescent="0.35">
      <c r="A223">
        <v>20260401</v>
      </c>
      <c r="B223" t="s">
        <v>1138</v>
      </c>
      <c r="C223">
        <v>5400</v>
      </c>
      <c r="D223" t="s">
        <v>1131</v>
      </c>
      <c r="E223">
        <v>64860</v>
      </c>
      <c r="F223" t="s">
        <v>1450</v>
      </c>
    </row>
    <row r="224" spans="1:6" x14ac:dyDescent="0.35">
      <c r="A224">
        <v>20260401</v>
      </c>
      <c r="B224" t="s">
        <v>1138</v>
      </c>
      <c r="C224">
        <v>6300</v>
      </c>
      <c r="D224" t="s">
        <v>1131</v>
      </c>
      <c r="E224">
        <v>85000</v>
      </c>
      <c r="F224" t="s">
        <v>1450</v>
      </c>
    </row>
    <row r="225" spans="1:6" x14ac:dyDescent="0.35">
      <c r="A225">
        <v>20260401</v>
      </c>
      <c r="B225" t="s">
        <v>1138</v>
      </c>
      <c r="C225">
        <v>3900</v>
      </c>
      <c r="D225" t="s">
        <v>1131</v>
      </c>
      <c r="E225">
        <v>-650000</v>
      </c>
      <c r="F225" t="s">
        <v>1450</v>
      </c>
    </row>
    <row r="226" spans="1:6" x14ac:dyDescent="0.35">
      <c r="A226">
        <v>20260501</v>
      </c>
      <c r="B226" t="s">
        <v>1150</v>
      </c>
      <c r="C226">
        <v>5000</v>
      </c>
      <c r="D226" t="s">
        <v>1131</v>
      </c>
      <c r="E226">
        <v>460000</v>
      </c>
      <c r="F226" t="s">
        <v>1450</v>
      </c>
    </row>
    <row r="227" spans="1:6" x14ac:dyDescent="0.35">
      <c r="A227">
        <v>20260501</v>
      </c>
      <c r="B227" t="s">
        <v>1150</v>
      </c>
      <c r="C227">
        <v>5400</v>
      </c>
      <c r="D227" t="s">
        <v>1131</v>
      </c>
      <c r="E227">
        <v>64860</v>
      </c>
      <c r="F227" t="s">
        <v>1450</v>
      </c>
    </row>
    <row r="228" spans="1:6" x14ac:dyDescent="0.35">
      <c r="A228">
        <v>20260501</v>
      </c>
      <c r="B228" t="s">
        <v>1150</v>
      </c>
      <c r="C228">
        <v>6300</v>
      </c>
      <c r="D228" t="s">
        <v>1131</v>
      </c>
      <c r="E228">
        <v>85000</v>
      </c>
      <c r="F228" t="s">
        <v>1450</v>
      </c>
    </row>
    <row r="229" spans="1:6" x14ac:dyDescent="0.35">
      <c r="A229">
        <v>20260501</v>
      </c>
      <c r="B229" t="s">
        <v>1150</v>
      </c>
      <c r="C229">
        <v>3900</v>
      </c>
      <c r="D229" t="s">
        <v>1131</v>
      </c>
      <c r="E229">
        <v>-650000</v>
      </c>
      <c r="F229" t="s">
        <v>1450</v>
      </c>
    </row>
    <row r="230" spans="1:6" x14ac:dyDescent="0.35">
      <c r="A230">
        <v>20260501</v>
      </c>
      <c r="B230" t="s">
        <v>1272</v>
      </c>
      <c r="C230">
        <v>5100</v>
      </c>
      <c r="D230" t="s">
        <v>485</v>
      </c>
      <c r="E230">
        <v>90000</v>
      </c>
      <c r="F230" t="s">
        <v>1450</v>
      </c>
    </row>
    <row r="231" spans="1:6" x14ac:dyDescent="0.35">
      <c r="A231">
        <v>20260501</v>
      </c>
      <c r="B231" t="s">
        <v>1272</v>
      </c>
      <c r="C231">
        <v>3400</v>
      </c>
      <c r="D231" t="s">
        <v>485</v>
      </c>
      <c r="E231">
        <v>-90000</v>
      </c>
      <c r="F231" t="s">
        <v>1450</v>
      </c>
    </row>
    <row r="232" spans="1:6" x14ac:dyDescent="0.35">
      <c r="A232">
        <v>20260501</v>
      </c>
      <c r="B232" t="s">
        <v>1158</v>
      </c>
      <c r="C232">
        <v>5000</v>
      </c>
      <c r="D232" t="s">
        <v>1131</v>
      </c>
      <c r="E232">
        <v>460000</v>
      </c>
      <c r="F232" t="s">
        <v>1450</v>
      </c>
    </row>
    <row r="233" spans="1:6" x14ac:dyDescent="0.35">
      <c r="A233">
        <v>20260501</v>
      </c>
      <c r="B233" t="s">
        <v>1158</v>
      </c>
      <c r="C233">
        <v>5400</v>
      </c>
      <c r="D233" t="s">
        <v>1131</v>
      </c>
      <c r="E233">
        <v>64860</v>
      </c>
      <c r="F233" t="s">
        <v>1450</v>
      </c>
    </row>
    <row r="234" spans="1:6" x14ac:dyDescent="0.35">
      <c r="A234">
        <v>20260501</v>
      </c>
      <c r="B234" t="s">
        <v>1158</v>
      </c>
      <c r="C234">
        <v>6300</v>
      </c>
      <c r="D234" t="s">
        <v>1131</v>
      </c>
      <c r="E234">
        <v>85000</v>
      </c>
      <c r="F234" t="s">
        <v>1450</v>
      </c>
    </row>
    <row r="235" spans="1:6" x14ac:dyDescent="0.35">
      <c r="A235">
        <v>20260501</v>
      </c>
      <c r="B235" t="s">
        <v>1158</v>
      </c>
      <c r="C235">
        <v>3900</v>
      </c>
      <c r="D235" t="s">
        <v>1131</v>
      </c>
      <c r="E235">
        <v>-650000</v>
      </c>
      <c r="F235" t="s">
        <v>1450</v>
      </c>
    </row>
    <row r="236" spans="1:6" x14ac:dyDescent="0.35">
      <c r="A236">
        <v>20260501</v>
      </c>
      <c r="B236" t="s">
        <v>1243</v>
      </c>
      <c r="C236">
        <v>5100</v>
      </c>
      <c r="D236" t="s">
        <v>485</v>
      </c>
      <c r="E236">
        <v>90000</v>
      </c>
      <c r="F236" t="s">
        <v>1450</v>
      </c>
    </row>
    <row r="237" spans="1:6" x14ac:dyDescent="0.35">
      <c r="A237">
        <v>20260501</v>
      </c>
      <c r="B237" t="s">
        <v>1243</v>
      </c>
      <c r="C237">
        <v>3400</v>
      </c>
      <c r="D237" t="s">
        <v>485</v>
      </c>
      <c r="E237">
        <v>-90000</v>
      </c>
      <c r="F237" t="s">
        <v>1450</v>
      </c>
    </row>
    <row r="238" spans="1:6" x14ac:dyDescent="0.35">
      <c r="A238">
        <v>20260501</v>
      </c>
      <c r="B238" t="s">
        <v>1205</v>
      </c>
      <c r="C238">
        <v>5000</v>
      </c>
      <c r="D238" t="s">
        <v>1131</v>
      </c>
      <c r="E238">
        <v>460000</v>
      </c>
      <c r="F238" t="s">
        <v>1450</v>
      </c>
    </row>
    <row r="239" spans="1:6" x14ac:dyDescent="0.35">
      <c r="A239">
        <v>20260501</v>
      </c>
      <c r="B239" t="s">
        <v>1205</v>
      </c>
      <c r="C239">
        <v>5400</v>
      </c>
      <c r="D239" t="s">
        <v>1131</v>
      </c>
      <c r="E239">
        <v>64860</v>
      </c>
      <c r="F239" t="s">
        <v>1450</v>
      </c>
    </row>
    <row r="240" spans="1:6" x14ac:dyDescent="0.35">
      <c r="A240">
        <v>20260501</v>
      </c>
      <c r="B240" t="s">
        <v>1205</v>
      </c>
      <c r="C240">
        <v>6300</v>
      </c>
      <c r="D240" t="s">
        <v>1131</v>
      </c>
      <c r="E240">
        <v>85000</v>
      </c>
      <c r="F240" t="s">
        <v>1450</v>
      </c>
    </row>
    <row r="241" spans="1:6" x14ac:dyDescent="0.35">
      <c r="A241">
        <v>20260501</v>
      </c>
      <c r="B241" t="s">
        <v>1205</v>
      </c>
      <c r="C241">
        <v>3900</v>
      </c>
      <c r="D241" t="s">
        <v>1131</v>
      </c>
      <c r="E241">
        <v>-650000</v>
      </c>
      <c r="F241" t="s">
        <v>1450</v>
      </c>
    </row>
    <row r="242" spans="1:6" x14ac:dyDescent="0.35">
      <c r="A242">
        <v>20260501</v>
      </c>
      <c r="B242" t="s">
        <v>1257</v>
      </c>
      <c r="C242">
        <v>5100</v>
      </c>
      <c r="D242" t="s">
        <v>485</v>
      </c>
      <c r="E242">
        <v>90000</v>
      </c>
      <c r="F242" t="s">
        <v>1450</v>
      </c>
    </row>
    <row r="243" spans="1:6" x14ac:dyDescent="0.35">
      <c r="A243">
        <v>20260501</v>
      </c>
      <c r="B243" t="s">
        <v>1257</v>
      </c>
      <c r="C243">
        <v>3400</v>
      </c>
      <c r="D243" t="s">
        <v>485</v>
      </c>
      <c r="E243">
        <v>-90000</v>
      </c>
      <c r="F243" t="s">
        <v>1450</v>
      </c>
    </row>
    <row r="244" spans="1:6" x14ac:dyDescent="0.35">
      <c r="A244">
        <v>20260501</v>
      </c>
      <c r="B244" t="s">
        <v>1164</v>
      </c>
      <c r="C244">
        <v>5000</v>
      </c>
      <c r="D244" t="s">
        <v>1131</v>
      </c>
      <c r="E244">
        <v>460000</v>
      </c>
      <c r="F244" t="s">
        <v>1450</v>
      </c>
    </row>
    <row r="245" spans="1:6" x14ac:dyDescent="0.35">
      <c r="A245">
        <v>20260501</v>
      </c>
      <c r="B245" t="s">
        <v>1164</v>
      </c>
      <c r="C245">
        <v>5400</v>
      </c>
      <c r="D245" t="s">
        <v>1131</v>
      </c>
      <c r="E245">
        <v>64860</v>
      </c>
      <c r="F245" t="s">
        <v>1450</v>
      </c>
    </row>
    <row r="246" spans="1:6" x14ac:dyDescent="0.35">
      <c r="A246">
        <v>20260501</v>
      </c>
      <c r="B246" t="s">
        <v>1164</v>
      </c>
      <c r="C246">
        <v>6300</v>
      </c>
      <c r="D246" t="s">
        <v>1131</v>
      </c>
      <c r="E246">
        <v>85000</v>
      </c>
      <c r="F246" t="s">
        <v>1450</v>
      </c>
    </row>
    <row r="247" spans="1:6" x14ac:dyDescent="0.35">
      <c r="A247">
        <v>20260501</v>
      </c>
      <c r="B247" t="s">
        <v>1164</v>
      </c>
      <c r="C247">
        <v>3900</v>
      </c>
      <c r="D247" t="s">
        <v>1131</v>
      </c>
      <c r="E247">
        <v>-650000</v>
      </c>
      <c r="F247" t="s">
        <v>1450</v>
      </c>
    </row>
    <row r="248" spans="1:6" x14ac:dyDescent="0.35">
      <c r="A248">
        <v>20260501</v>
      </c>
      <c r="B248" t="s">
        <v>1249</v>
      </c>
      <c r="C248">
        <v>5100</v>
      </c>
      <c r="D248" t="s">
        <v>485</v>
      </c>
      <c r="E248">
        <v>90000</v>
      </c>
      <c r="F248" t="s">
        <v>1450</v>
      </c>
    </row>
    <row r="249" spans="1:6" x14ac:dyDescent="0.35">
      <c r="A249">
        <v>20260501</v>
      </c>
      <c r="B249" t="s">
        <v>1249</v>
      </c>
      <c r="C249">
        <v>3400</v>
      </c>
      <c r="D249" t="s">
        <v>485</v>
      </c>
      <c r="E249">
        <v>-90000</v>
      </c>
      <c r="F249" t="s">
        <v>1450</v>
      </c>
    </row>
    <row r="250" spans="1:6" x14ac:dyDescent="0.35">
      <c r="A250">
        <v>20260501</v>
      </c>
      <c r="B250" t="s">
        <v>1169</v>
      </c>
      <c r="C250">
        <v>5000</v>
      </c>
      <c r="D250" t="s">
        <v>1131</v>
      </c>
      <c r="E250">
        <v>460000</v>
      </c>
      <c r="F250" t="s">
        <v>1450</v>
      </c>
    </row>
    <row r="251" spans="1:6" x14ac:dyDescent="0.35">
      <c r="A251">
        <v>20260501</v>
      </c>
      <c r="B251" t="s">
        <v>1169</v>
      </c>
      <c r="C251">
        <v>5400</v>
      </c>
      <c r="D251" t="s">
        <v>1131</v>
      </c>
      <c r="E251">
        <v>64860</v>
      </c>
      <c r="F251" t="s">
        <v>1450</v>
      </c>
    </row>
    <row r="252" spans="1:6" x14ac:dyDescent="0.35">
      <c r="A252">
        <v>20260501</v>
      </c>
      <c r="B252" t="s">
        <v>1169</v>
      </c>
      <c r="C252">
        <v>6300</v>
      </c>
      <c r="D252" t="s">
        <v>1131</v>
      </c>
      <c r="E252">
        <v>85000</v>
      </c>
      <c r="F252" t="s">
        <v>1450</v>
      </c>
    </row>
    <row r="253" spans="1:6" x14ac:dyDescent="0.35">
      <c r="A253">
        <v>20260501</v>
      </c>
      <c r="B253" t="s">
        <v>1169</v>
      </c>
      <c r="C253">
        <v>3900</v>
      </c>
      <c r="D253" t="s">
        <v>1131</v>
      </c>
      <c r="E253">
        <v>-650000</v>
      </c>
      <c r="F253" t="s">
        <v>1450</v>
      </c>
    </row>
    <row r="254" spans="1:6" x14ac:dyDescent="0.35">
      <c r="A254">
        <v>20260501</v>
      </c>
      <c r="B254" t="s">
        <v>1260</v>
      </c>
      <c r="C254">
        <v>5100</v>
      </c>
      <c r="D254" t="s">
        <v>485</v>
      </c>
      <c r="E254">
        <v>90000</v>
      </c>
      <c r="F254" t="s">
        <v>1450</v>
      </c>
    </row>
    <row r="255" spans="1:6" x14ac:dyDescent="0.35">
      <c r="A255">
        <v>20260501</v>
      </c>
      <c r="B255" t="s">
        <v>1260</v>
      </c>
      <c r="C255">
        <v>3400</v>
      </c>
      <c r="D255" t="s">
        <v>485</v>
      </c>
      <c r="E255">
        <v>-90000</v>
      </c>
      <c r="F255" t="s">
        <v>1450</v>
      </c>
    </row>
    <row r="256" spans="1:6" x14ac:dyDescent="0.35">
      <c r="A256">
        <v>20260501</v>
      </c>
      <c r="B256" t="s">
        <v>1175</v>
      </c>
      <c r="C256">
        <v>5000</v>
      </c>
      <c r="D256" t="s">
        <v>1131</v>
      </c>
      <c r="E256">
        <v>460000</v>
      </c>
      <c r="F256" t="s">
        <v>1450</v>
      </c>
    </row>
    <row r="257" spans="1:6" x14ac:dyDescent="0.35">
      <c r="A257">
        <v>20260501</v>
      </c>
      <c r="B257" t="s">
        <v>1175</v>
      </c>
      <c r="C257">
        <v>5400</v>
      </c>
      <c r="D257" t="s">
        <v>1131</v>
      </c>
      <c r="E257">
        <v>64860</v>
      </c>
      <c r="F257" t="s">
        <v>1450</v>
      </c>
    </row>
    <row r="258" spans="1:6" x14ac:dyDescent="0.35">
      <c r="A258">
        <v>20260501</v>
      </c>
      <c r="B258" t="s">
        <v>1175</v>
      </c>
      <c r="C258">
        <v>6300</v>
      </c>
      <c r="D258" t="s">
        <v>1131</v>
      </c>
      <c r="E258">
        <v>85000</v>
      </c>
      <c r="F258" t="s">
        <v>1450</v>
      </c>
    </row>
    <row r="259" spans="1:6" x14ac:dyDescent="0.35">
      <c r="A259">
        <v>20260501</v>
      </c>
      <c r="B259" t="s">
        <v>1175</v>
      </c>
      <c r="C259">
        <v>3900</v>
      </c>
      <c r="D259" t="s">
        <v>1131</v>
      </c>
      <c r="E259">
        <v>-650000</v>
      </c>
      <c r="F259" t="s">
        <v>1450</v>
      </c>
    </row>
    <row r="260" spans="1:6" x14ac:dyDescent="0.35">
      <c r="A260">
        <v>20260501</v>
      </c>
      <c r="B260" t="s">
        <v>1247</v>
      </c>
      <c r="C260">
        <v>5100</v>
      </c>
      <c r="D260" t="s">
        <v>485</v>
      </c>
      <c r="E260">
        <v>90000</v>
      </c>
      <c r="F260" t="s">
        <v>1450</v>
      </c>
    </row>
    <row r="261" spans="1:6" x14ac:dyDescent="0.35">
      <c r="A261">
        <v>20260501</v>
      </c>
      <c r="B261" t="s">
        <v>1247</v>
      </c>
      <c r="C261">
        <v>3400</v>
      </c>
      <c r="D261" t="s">
        <v>485</v>
      </c>
      <c r="E261">
        <v>-90000</v>
      </c>
      <c r="F261" t="s">
        <v>1450</v>
      </c>
    </row>
    <row r="262" spans="1:6" x14ac:dyDescent="0.35">
      <c r="A262">
        <v>20260501</v>
      </c>
      <c r="B262" t="s">
        <v>1130</v>
      </c>
      <c r="C262">
        <v>5000</v>
      </c>
      <c r="D262" t="s">
        <v>1131</v>
      </c>
      <c r="E262">
        <v>460000</v>
      </c>
      <c r="F262" t="s">
        <v>1450</v>
      </c>
    </row>
    <row r="263" spans="1:6" x14ac:dyDescent="0.35">
      <c r="A263">
        <v>20260501</v>
      </c>
      <c r="B263" t="s">
        <v>1130</v>
      </c>
      <c r="C263">
        <v>5400</v>
      </c>
      <c r="D263" t="s">
        <v>1131</v>
      </c>
      <c r="E263">
        <v>64860</v>
      </c>
      <c r="F263" t="s">
        <v>1450</v>
      </c>
    </row>
    <row r="264" spans="1:6" x14ac:dyDescent="0.35">
      <c r="A264">
        <v>20260501</v>
      </c>
      <c r="B264" t="s">
        <v>1130</v>
      </c>
      <c r="C264">
        <v>6300</v>
      </c>
      <c r="D264" t="s">
        <v>1131</v>
      </c>
      <c r="E264">
        <v>85000</v>
      </c>
      <c r="F264" t="s">
        <v>1450</v>
      </c>
    </row>
    <row r="265" spans="1:6" x14ac:dyDescent="0.35">
      <c r="A265">
        <v>20260501</v>
      </c>
      <c r="B265" t="s">
        <v>1130</v>
      </c>
      <c r="C265">
        <v>3900</v>
      </c>
      <c r="D265" t="s">
        <v>1131</v>
      </c>
      <c r="E265">
        <v>-650000</v>
      </c>
      <c r="F265" t="s">
        <v>1450</v>
      </c>
    </row>
    <row r="266" spans="1:6" x14ac:dyDescent="0.35">
      <c r="A266">
        <v>20260501</v>
      </c>
      <c r="B266" t="s">
        <v>1265</v>
      </c>
      <c r="C266">
        <v>5100</v>
      </c>
      <c r="D266" t="s">
        <v>485</v>
      </c>
      <c r="E266">
        <v>90000</v>
      </c>
      <c r="F266" t="s">
        <v>1450</v>
      </c>
    </row>
    <row r="267" spans="1:6" x14ac:dyDescent="0.35">
      <c r="A267">
        <v>20260501</v>
      </c>
      <c r="B267" t="s">
        <v>1265</v>
      </c>
      <c r="C267">
        <v>3400</v>
      </c>
      <c r="D267" t="s">
        <v>485</v>
      </c>
      <c r="E267">
        <v>-90000</v>
      </c>
      <c r="F267" t="s">
        <v>1450</v>
      </c>
    </row>
    <row r="268" spans="1:6" x14ac:dyDescent="0.35">
      <c r="A268">
        <v>20260501</v>
      </c>
      <c r="B268" t="s">
        <v>1173</v>
      </c>
      <c r="C268">
        <v>5000</v>
      </c>
      <c r="D268" t="s">
        <v>1131</v>
      </c>
      <c r="E268">
        <v>460000</v>
      </c>
      <c r="F268" t="s">
        <v>1450</v>
      </c>
    </row>
    <row r="269" spans="1:6" x14ac:dyDescent="0.35">
      <c r="A269">
        <v>20260501</v>
      </c>
      <c r="B269" t="s">
        <v>1173</v>
      </c>
      <c r="C269">
        <v>5400</v>
      </c>
      <c r="D269" t="s">
        <v>1131</v>
      </c>
      <c r="E269">
        <v>64860</v>
      </c>
      <c r="F269" t="s">
        <v>1450</v>
      </c>
    </row>
    <row r="270" spans="1:6" x14ac:dyDescent="0.35">
      <c r="A270">
        <v>20260501</v>
      </c>
      <c r="B270" t="s">
        <v>1173</v>
      </c>
      <c r="C270">
        <v>6300</v>
      </c>
      <c r="D270" t="s">
        <v>1131</v>
      </c>
      <c r="E270">
        <v>85000</v>
      </c>
      <c r="F270" t="s">
        <v>1450</v>
      </c>
    </row>
    <row r="271" spans="1:6" x14ac:dyDescent="0.35">
      <c r="A271">
        <v>20260501</v>
      </c>
      <c r="B271" t="s">
        <v>1173</v>
      </c>
      <c r="C271">
        <v>3900</v>
      </c>
      <c r="D271" t="s">
        <v>1131</v>
      </c>
      <c r="E271">
        <v>-650000</v>
      </c>
      <c r="F271" t="s">
        <v>1450</v>
      </c>
    </row>
    <row r="272" spans="1:6" x14ac:dyDescent="0.35">
      <c r="A272">
        <v>20260501</v>
      </c>
      <c r="B272" t="s">
        <v>1255</v>
      </c>
      <c r="C272">
        <v>5100</v>
      </c>
      <c r="D272" t="s">
        <v>485</v>
      </c>
      <c r="E272">
        <v>90000</v>
      </c>
      <c r="F272" t="s">
        <v>1450</v>
      </c>
    </row>
    <row r="273" spans="1:6" x14ac:dyDescent="0.35">
      <c r="A273">
        <v>20260501</v>
      </c>
      <c r="B273" t="s">
        <v>1255</v>
      </c>
      <c r="C273">
        <v>3400</v>
      </c>
      <c r="D273" t="s">
        <v>485</v>
      </c>
      <c r="E273">
        <v>-90000</v>
      </c>
      <c r="F273" t="s">
        <v>1450</v>
      </c>
    </row>
    <row r="274" spans="1:6" x14ac:dyDescent="0.35">
      <c r="A274">
        <v>20260501</v>
      </c>
      <c r="B274" t="s">
        <v>1155</v>
      </c>
      <c r="C274">
        <v>5000</v>
      </c>
      <c r="D274" t="s">
        <v>1131</v>
      </c>
      <c r="E274">
        <v>460000</v>
      </c>
      <c r="F274" t="s">
        <v>1450</v>
      </c>
    </row>
    <row r="275" spans="1:6" x14ac:dyDescent="0.35">
      <c r="A275">
        <v>20260501</v>
      </c>
      <c r="B275" t="s">
        <v>1155</v>
      </c>
      <c r="C275">
        <v>5400</v>
      </c>
      <c r="D275" t="s">
        <v>1131</v>
      </c>
      <c r="E275">
        <v>64860</v>
      </c>
      <c r="F275" t="s">
        <v>1450</v>
      </c>
    </row>
    <row r="276" spans="1:6" x14ac:dyDescent="0.35">
      <c r="A276">
        <v>20260501</v>
      </c>
      <c r="B276" t="s">
        <v>1155</v>
      </c>
      <c r="C276">
        <v>6300</v>
      </c>
      <c r="D276" t="s">
        <v>1131</v>
      </c>
      <c r="E276">
        <v>85000</v>
      </c>
      <c r="F276" t="s">
        <v>1450</v>
      </c>
    </row>
    <row r="277" spans="1:6" x14ac:dyDescent="0.35">
      <c r="A277">
        <v>20260501</v>
      </c>
      <c r="B277" t="s">
        <v>1155</v>
      </c>
      <c r="C277">
        <v>3900</v>
      </c>
      <c r="D277" t="s">
        <v>1131</v>
      </c>
      <c r="E277">
        <v>-650000</v>
      </c>
      <c r="F277" t="s">
        <v>1450</v>
      </c>
    </row>
    <row r="278" spans="1:6" x14ac:dyDescent="0.35">
      <c r="A278">
        <v>20260501</v>
      </c>
      <c r="B278" t="s">
        <v>1138</v>
      </c>
      <c r="C278">
        <v>5000</v>
      </c>
      <c r="D278" t="s">
        <v>1131</v>
      </c>
      <c r="E278">
        <v>460000</v>
      </c>
      <c r="F278" t="s">
        <v>1450</v>
      </c>
    </row>
    <row r="279" spans="1:6" x14ac:dyDescent="0.35">
      <c r="A279">
        <v>20260501</v>
      </c>
      <c r="B279" t="s">
        <v>1138</v>
      </c>
      <c r="C279">
        <v>5400</v>
      </c>
      <c r="D279" t="s">
        <v>1131</v>
      </c>
      <c r="E279">
        <v>64860</v>
      </c>
      <c r="F279" t="s">
        <v>1450</v>
      </c>
    </row>
    <row r="280" spans="1:6" x14ac:dyDescent="0.35">
      <c r="A280">
        <v>20260501</v>
      </c>
      <c r="B280" t="s">
        <v>1138</v>
      </c>
      <c r="C280">
        <v>6300</v>
      </c>
      <c r="D280" t="s">
        <v>1131</v>
      </c>
      <c r="E280">
        <v>85000</v>
      </c>
      <c r="F280" t="s">
        <v>1450</v>
      </c>
    </row>
    <row r="281" spans="1:6" x14ac:dyDescent="0.35">
      <c r="A281">
        <v>20260501</v>
      </c>
      <c r="B281" t="s">
        <v>1138</v>
      </c>
      <c r="C281">
        <v>3900</v>
      </c>
      <c r="D281" t="s">
        <v>1131</v>
      </c>
      <c r="E281">
        <v>-650000</v>
      </c>
      <c r="F281" t="s">
        <v>1450</v>
      </c>
    </row>
    <row r="282" spans="1:6" x14ac:dyDescent="0.35">
      <c r="A282">
        <v>20260601</v>
      </c>
      <c r="B282" t="s">
        <v>1150</v>
      </c>
      <c r="C282">
        <v>5000</v>
      </c>
      <c r="D282" t="s">
        <v>1131</v>
      </c>
      <c r="E282">
        <v>460000</v>
      </c>
      <c r="F282" t="s">
        <v>1450</v>
      </c>
    </row>
    <row r="283" spans="1:6" x14ac:dyDescent="0.35">
      <c r="A283">
        <v>20260601</v>
      </c>
      <c r="B283" t="s">
        <v>1150</v>
      </c>
      <c r="C283">
        <v>5400</v>
      </c>
      <c r="D283" t="s">
        <v>1131</v>
      </c>
      <c r="E283">
        <v>64860</v>
      </c>
      <c r="F283" t="s">
        <v>1450</v>
      </c>
    </row>
    <row r="284" spans="1:6" x14ac:dyDescent="0.35">
      <c r="A284">
        <v>20260601</v>
      </c>
      <c r="B284" t="s">
        <v>1150</v>
      </c>
      <c r="C284">
        <v>6300</v>
      </c>
      <c r="D284" t="s">
        <v>1131</v>
      </c>
      <c r="E284">
        <v>85000</v>
      </c>
      <c r="F284" t="s">
        <v>1450</v>
      </c>
    </row>
    <row r="285" spans="1:6" x14ac:dyDescent="0.35">
      <c r="A285">
        <v>20260601</v>
      </c>
      <c r="B285" t="s">
        <v>1150</v>
      </c>
      <c r="C285">
        <v>3900</v>
      </c>
      <c r="D285" t="s">
        <v>1131</v>
      </c>
      <c r="E285">
        <v>-650000</v>
      </c>
      <c r="F285" t="s">
        <v>1450</v>
      </c>
    </row>
    <row r="286" spans="1:6" x14ac:dyDescent="0.35">
      <c r="A286">
        <v>20260601</v>
      </c>
      <c r="B286" t="s">
        <v>1272</v>
      </c>
      <c r="C286">
        <v>5100</v>
      </c>
      <c r="D286" t="s">
        <v>485</v>
      </c>
      <c r="E286">
        <v>90000</v>
      </c>
      <c r="F286" t="s">
        <v>1450</v>
      </c>
    </row>
    <row r="287" spans="1:6" x14ac:dyDescent="0.35">
      <c r="A287">
        <v>20260601</v>
      </c>
      <c r="B287" t="s">
        <v>1272</v>
      </c>
      <c r="C287">
        <v>3400</v>
      </c>
      <c r="D287" t="s">
        <v>485</v>
      </c>
      <c r="E287">
        <v>-90000</v>
      </c>
      <c r="F287" t="s">
        <v>1450</v>
      </c>
    </row>
    <row r="288" spans="1:6" x14ac:dyDescent="0.35">
      <c r="A288">
        <v>20260601</v>
      </c>
      <c r="B288" t="s">
        <v>1158</v>
      </c>
      <c r="C288">
        <v>5000</v>
      </c>
      <c r="D288" t="s">
        <v>1131</v>
      </c>
      <c r="E288">
        <v>460000</v>
      </c>
      <c r="F288" t="s">
        <v>1450</v>
      </c>
    </row>
    <row r="289" spans="1:6" x14ac:dyDescent="0.35">
      <c r="A289">
        <v>20260601</v>
      </c>
      <c r="B289" t="s">
        <v>1158</v>
      </c>
      <c r="C289">
        <v>5400</v>
      </c>
      <c r="D289" t="s">
        <v>1131</v>
      </c>
      <c r="E289">
        <v>64860</v>
      </c>
      <c r="F289" t="s">
        <v>1450</v>
      </c>
    </row>
    <row r="290" spans="1:6" x14ac:dyDescent="0.35">
      <c r="A290">
        <v>20260601</v>
      </c>
      <c r="B290" t="s">
        <v>1158</v>
      </c>
      <c r="C290">
        <v>6300</v>
      </c>
      <c r="D290" t="s">
        <v>1131</v>
      </c>
      <c r="E290">
        <v>85000</v>
      </c>
      <c r="F290" t="s">
        <v>1450</v>
      </c>
    </row>
    <row r="291" spans="1:6" x14ac:dyDescent="0.35">
      <c r="A291">
        <v>20260601</v>
      </c>
      <c r="B291" t="s">
        <v>1158</v>
      </c>
      <c r="C291">
        <v>3900</v>
      </c>
      <c r="D291" t="s">
        <v>1131</v>
      </c>
      <c r="E291">
        <v>-650000</v>
      </c>
      <c r="F291" t="s">
        <v>1450</v>
      </c>
    </row>
    <row r="292" spans="1:6" x14ac:dyDescent="0.35">
      <c r="A292">
        <v>20260601</v>
      </c>
      <c r="B292" t="s">
        <v>1243</v>
      </c>
      <c r="C292">
        <v>5100</v>
      </c>
      <c r="D292" t="s">
        <v>485</v>
      </c>
      <c r="E292">
        <v>90000</v>
      </c>
      <c r="F292" t="s">
        <v>1450</v>
      </c>
    </row>
    <row r="293" spans="1:6" x14ac:dyDescent="0.35">
      <c r="A293">
        <v>20260601</v>
      </c>
      <c r="B293" t="s">
        <v>1243</v>
      </c>
      <c r="C293">
        <v>3400</v>
      </c>
      <c r="D293" t="s">
        <v>485</v>
      </c>
      <c r="E293">
        <v>-90000</v>
      </c>
      <c r="F293" t="s">
        <v>1450</v>
      </c>
    </row>
    <row r="294" spans="1:6" x14ac:dyDescent="0.35">
      <c r="A294">
        <v>20260601</v>
      </c>
      <c r="B294" t="s">
        <v>1205</v>
      </c>
      <c r="C294">
        <v>5000</v>
      </c>
      <c r="D294" t="s">
        <v>1131</v>
      </c>
      <c r="E294">
        <v>460000</v>
      </c>
      <c r="F294" t="s">
        <v>1450</v>
      </c>
    </row>
    <row r="295" spans="1:6" x14ac:dyDescent="0.35">
      <c r="A295">
        <v>20260601</v>
      </c>
      <c r="B295" t="s">
        <v>1205</v>
      </c>
      <c r="C295">
        <v>5400</v>
      </c>
      <c r="D295" t="s">
        <v>1131</v>
      </c>
      <c r="E295">
        <v>64860</v>
      </c>
      <c r="F295" t="s">
        <v>1450</v>
      </c>
    </row>
    <row r="296" spans="1:6" x14ac:dyDescent="0.35">
      <c r="A296">
        <v>20260601</v>
      </c>
      <c r="B296" t="s">
        <v>1205</v>
      </c>
      <c r="C296">
        <v>6300</v>
      </c>
      <c r="D296" t="s">
        <v>1131</v>
      </c>
      <c r="E296">
        <v>85000</v>
      </c>
      <c r="F296" t="s">
        <v>1450</v>
      </c>
    </row>
    <row r="297" spans="1:6" x14ac:dyDescent="0.35">
      <c r="A297">
        <v>20260601</v>
      </c>
      <c r="B297" t="s">
        <v>1205</v>
      </c>
      <c r="C297">
        <v>3900</v>
      </c>
      <c r="D297" t="s">
        <v>1131</v>
      </c>
      <c r="E297">
        <v>-650000</v>
      </c>
      <c r="F297" t="s">
        <v>1450</v>
      </c>
    </row>
    <row r="298" spans="1:6" x14ac:dyDescent="0.35">
      <c r="A298">
        <v>20260601</v>
      </c>
      <c r="B298" t="s">
        <v>1257</v>
      </c>
      <c r="C298">
        <v>5100</v>
      </c>
      <c r="D298" t="s">
        <v>485</v>
      </c>
      <c r="E298">
        <v>90000</v>
      </c>
      <c r="F298" t="s">
        <v>1450</v>
      </c>
    </row>
    <row r="299" spans="1:6" x14ac:dyDescent="0.35">
      <c r="A299">
        <v>20260601</v>
      </c>
      <c r="B299" t="s">
        <v>1257</v>
      </c>
      <c r="C299">
        <v>3400</v>
      </c>
      <c r="D299" t="s">
        <v>485</v>
      </c>
      <c r="E299">
        <v>-90000</v>
      </c>
      <c r="F299" t="s">
        <v>1450</v>
      </c>
    </row>
    <row r="300" spans="1:6" x14ac:dyDescent="0.35">
      <c r="A300">
        <v>20260601</v>
      </c>
      <c r="B300" t="s">
        <v>1164</v>
      </c>
      <c r="C300">
        <v>5000</v>
      </c>
      <c r="D300" t="s">
        <v>1131</v>
      </c>
      <c r="E300">
        <v>460000</v>
      </c>
      <c r="F300" t="s">
        <v>1450</v>
      </c>
    </row>
    <row r="301" spans="1:6" x14ac:dyDescent="0.35">
      <c r="A301">
        <v>20260601</v>
      </c>
      <c r="B301" t="s">
        <v>1164</v>
      </c>
      <c r="C301">
        <v>5400</v>
      </c>
      <c r="D301" t="s">
        <v>1131</v>
      </c>
      <c r="E301">
        <v>64860</v>
      </c>
      <c r="F301" t="s">
        <v>1450</v>
      </c>
    </row>
    <row r="302" spans="1:6" x14ac:dyDescent="0.35">
      <c r="A302">
        <v>20260601</v>
      </c>
      <c r="B302" t="s">
        <v>1164</v>
      </c>
      <c r="C302">
        <v>6300</v>
      </c>
      <c r="D302" t="s">
        <v>1131</v>
      </c>
      <c r="E302">
        <v>85000</v>
      </c>
      <c r="F302" t="s">
        <v>1450</v>
      </c>
    </row>
    <row r="303" spans="1:6" x14ac:dyDescent="0.35">
      <c r="A303">
        <v>20260601</v>
      </c>
      <c r="B303" t="s">
        <v>1164</v>
      </c>
      <c r="C303">
        <v>3900</v>
      </c>
      <c r="D303" t="s">
        <v>1131</v>
      </c>
      <c r="E303">
        <v>-650000</v>
      </c>
      <c r="F303" t="s">
        <v>1450</v>
      </c>
    </row>
    <row r="304" spans="1:6" x14ac:dyDescent="0.35">
      <c r="A304">
        <v>20260601</v>
      </c>
      <c r="B304" t="s">
        <v>1249</v>
      </c>
      <c r="C304">
        <v>5100</v>
      </c>
      <c r="D304" t="s">
        <v>485</v>
      </c>
      <c r="E304">
        <v>90000</v>
      </c>
      <c r="F304" t="s">
        <v>1450</v>
      </c>
    </row>
    <row r="305" spans="1:6" x14ac:dyDescent="0.35">
      <c r="A305">
        <v>20260601</v>
      </c>
      <c r="B305" t="s">
        <v>1249</v>
      </c>
      <c r="C305">
        <v>3400</v>
      </c>
      <c r="D305" t="s">
        <v>485</v>
      </c>
      <c r="E305">
        <v>-90000</v>
      </c>
      <c r="F305" t="s">
        <v>1450</v>
      </c>
    </row>
    <row r="306" spans="1:6" x14ac:dyDescent="0.35">
      <c r="A306">
        <v>20260601</v>
      </c>
      <c r="B306" t="s">
        <v>1169</v>
      </c>
      <c r="C306">
        <v>5000</v>
      </c>
      <c r="D306" t="s">
        <v>1131</v>
      </c>
      <c r="E306">
        <v>460000</v>
      </c>
      <c r="F306" t="s">
        <v>1450</v>
      </c>
    </row>
    <row r="307" spans="1:6" x14ac:dyDescent="0.35">
      <c r="A307">
        <v>20260601</v>
      </c>
      <c r="B307" t="s">
        <v>1169</v>
      </c>
      <c r="C307">
        <v>5400</v>
      </c>
      <c r="D307" t="s">
        <v>1131</v>
      </c>
      <c r="E307">
        <v>64860</v>
      </c>
      <c r="F307" t="s">
        <v>1450</v>
      </c>
    </row>
    <row r="308" spans="1:6" x14ac:dyDescent="0.35">
      <c r="A308">
        <v>20260601</v>
      </c>
      <c r="B308" t="s">
        <v>1169</v>
      </c>
      <c r="C308">
        <v>6300</v>
      </c>
      <c r="D308" t="s">
        <v>1131</v>
      </c>
      <c r="E308">
        <v>85000</v>
      </c>
      <c r="F308" t="s">
        <v>1450</v>
      </c>
    </row>
    <row r="309" spans="1:6" x14ac:dyDescent="0.35">
      <c r="A309">
        <v>20260601</v>
      </c>
      <c r="B309" t="s">
        <v>1169</v>
      </c>
      <c r="C309">
        <v>3900</v>
      </c>
      <c r="D309" t="s">
        <v>1131</v>
      </c>
      <c r="E309">
        <v>-650000</v>
      </c>
      <c r="F309" t="s">
        <v>1450</v>
      </c>
    </row>
    <row r="310" spans="1:6" x14ac:dyDescent="0.35">
      <c r="A310">
        <v>20260601</v>
      </c>
      <c r="B310" t="s">
        <v>1260</v>
      </c>
      <c r="C310">
        <v>5100</v>
      </c>
      <c r="D310" t="s">
        <v>485</v>
      </c>
      <c r="E310">
        <v>90000</v>
      </c>
      <c r="F310" t="s">
        <v>1450</v>
      </c>
    </row>
    <row r="311" spans="1:6" x14ac:dyDescent="0.35">
      <c r="A311">
        <v>20260601</v>
      </c>
      <c r="B311" t="s">
        <v>1260</v>
      </c>
      <c r="C311">
        <v>3400</v>
      </c>
      <c r="D311" t="s">
        <v>485</v>
      </c>
      <c r="E311">
        <v>-90000</v>
      </c>
      <c r="F311" t="s">
        <v>1450</v>
      </c>
    </row>
    <row r="312" spans="1:6" x14ac:dyDescent="0.35">
      <c r="A312">
        <v>20260601</v>
      </c>
      <c r="B312" t="s">
        <v>1175</v>
      </c>
      <c r="C312">
        <v>5000</v>
      </c>
      <c r="D312" t="s">
        <v>1131</v>
      </c>
      <c r="E312">
        <v>460000</v>
      </c>
      <c r="F312" t="s">
        <v>1450</v>
      </c>
    </row>
    <row r="313" spans="1:6" x14ac:dyDescent="0.35">
      <c r="A313">
        <v>20260601</v>
      </c>
      <c r="B313" t="s">
        <v>1175</v>
      </c>
      <c r="C313">
        <v>5400</v>
      </c>
      <c r="D313" t="s">
        <v>1131</v>
      </c>
      <c r="E313">
        <v>64860</v>
      </c>
      <c r="F313" t="s">
        <v>1450</v>
      </c>
    </row>
    <row r="314" spans="1:6" x14ac:dyDescent="0.35">
      <c r="A314">
        <v>20260601</v>
      </c>
      <c r="B314" t="s">
        <v>1175</v>
      </c>
      <c r="C314">
        <v>6300</v>
      </c>
      <c r="D314" t="s">
        <v>1131</v>
      </c>
      <c r="E314">
        <v>85000</v>
      </c>
      <c r="F314" t="s">
        <v>1450</v>
      </c>
    </row>
    <row r="315" spans="1:6" x14ac:dyDescent="0.35">
      <c r="A315">
        <v>20260601</v>
      </c>
      <c r="B315" t="s">
        <v>1175</v>
      </c>
      <c r="C315">
        <v>3900</v>
      </c>
      <c r="D315" t="s">
        <v>1131</v>
      </c>
      <c r="E315">
        <v>-650000</v>
      </c>
      <c r="F315" t="s">
        <v>1450</v>
      </c>
    </row>
    <row r="316" spans="1:6" x14ac:dyDescent="0.35">
      <c r="A316">
        <v>20260601</v>
      </c>
      <c r="B316" t="s">
        <v>1247</v>
      </c>
      <c r="C316">
        <v>5100</v>
      </c>
      <c r="D316" t="s">
        <v>485</v>
      </c>
      <c r="E316">
        <v>90000</v>
      </c>
      <c r="F316" t="s">
        <v>1450</v>
      </c>
    </row>
    <row r="317" spans="1:6" x14ac:dyDescent="0.35">
      <c r="A317">
        <v>20260601</v>
      </c>
      <c r="B317" t="s">
        <v>1247</v>
      </c>
      <c r="C317">
        <v>3400</v>
      </c>
      <c r="D317" t="s">
        <v>485</v>
      </c>
      <c r="E317">
        <v>-90000</v>
      </c>
      <c r="F317" t="s">
        <v>1450</v>
      </c>
    </row>
    <row r="318" spans="1:6" x14ac:dyDescent="0.35">
      <c r="A318">
        <v>20260601</v>
      </c>
      <c r="B318" t="s">
        <v>1130</v>
      </c>
      <c r="C318">
        <v>5000</v>
      </c>
      <c r="D318" t="s">
        <v>1131</v>
      </c>
      <c r="E318">
        <v>460000</v>
      </c>
      <c r="F318" t="s">
        <v>1450</v>
      </c>
    </row>
    <row r="319" spans="1:6" x14ac:dyDescent="0.35">
      <c r="A319">
        <v>20260601</v>
      </c>
      <c r="B319" t="s">
        <v>1130</v>
      </c>
      <c r="C319">
        <v>5400</v>
      </c>
      <c r="D319" t="s">
        <v>1131</v>
      </c>
      <c r="E319">
        <v>64860</v>
      </c>
      <c r="F319" t="s">
        <v>1450</v>
      </c>
    </row>
    <row r="320" spans="1:6" x14ac:dyDescent="0.35">
      <c r="A320">
        <v>20260601</v>
      </c>
      <c r="B320" t="s">
        <v>1130</v>
      </c>
      <c r="C320">
        <v>6300</v>
      </c>
      <c r="D320" t="s">
        <v>1131</v>
      </c>
      <c r="E320">
        <v>85000</v>
      </c>
      <c r="F320" t="s">
        <v>1450</v>
      </c>
    </row>
    <row r="321" spans="1:6" x14ac:dyDescent="0.35">
      <c r="A321">
        <v>20260601</v>
      </c>
      <c r="B321" t="s">
        <v>1130</v>
      </c>
      <c r="C321">
        <v>3900</v>
      </c>
      <c r="D321" t="s">
        <v>1131</v>
      </c>
      <c r="E321">
        <v>-650000</v>
      </c>
      <c r="F321" t="s">
        <v>1450</v>
      </c>
    </row>
    <row r="322" spans="1:6" x14ac:dyDescent="0.35">
      <c r="A322">
        <v>20260601</v>
      </c>
      <c r="B322" t="s">
        <v>1265</v>
      </c>
      <c r="C322">
        <v>5100</v>
      </c>
      <c r="D322" t="s">
        <v>485</v>
      </c>
      <c r="E322">
        <v>90000</v>
      </c>
      <c r="F322" t="s">
        <v>1450</v>
      </c>
    </row>
    <row r="323" spans="1:6" x14ac:dyDescent="0.35">
      <c r="A323">
        <v>20260601</v>
      </c>
      <c r="B323" t="s">
        <v>1265</v>
      </c>
      <c r="C323">
        <v>3400</v>
      </c>
      <c r="D323" t="s">
        <v>485</v>
      </c>
      <c r="E323">
        <v>-90000</v>
      </c>
      <c r="F323" t="s">
        <v>1450</v>
      </c>
    </row>
    <row r="324" spans="1:6" x14ac:dyDescent="0.35">
      <c r="A324">
        <v>20260601</v>
      </c>
      <c r="B324" t="s">
        <v>1173</v>
      </c>
      <c r="C324">
        <v>5000</v>
      </c>
      <c r="D324" t="s">
        <v>1131</v>
      </c>
      <c r="E324">
        <v>460000</v>
      </c>
      <c r="F324" t="s">
        <v>1450</v>
      </c>
    </row>
    <row r="325" spans="1:6" x14ac:dyDescent="0.35">
      <c r="A325">
        <v>20260601</v>
      </c>
      <c r="B325" t="s">
        <v>1173</v>
      </c>
      <c r="C325">
        <v>5400</v>
      </c>
      <c r="D325" t="s">
        <v>1131</v>
      </c>
      <c r="E325">
        <v>64860</v>
      </c>
      <c r="F325" t="s">
        <v>1450</v>
      </c>
    </row>
    <row r="326" spans="1:6" x14ac:dyDescent="0.35">
      <c r="A326">
        <v>20260601</v>
      </c>
      <c r="B326" t="s">
        <v>1173</v>
      </c>
      <c r="C326">
        <v>6300</v>
      </c>
      <c r="D326" t="s">
        <v>1131</v>
      </c>
      <c r="E326">
        <v>85000</v>
      </c>
      <c r="F326" t="s">
        <v>1450</v>
      </c>
    </row>
    <row r="327" spans="1:6" x14ac:dyDescent="0.35">
      <c r="A327">
        <v>20260601</v>
      </c>
      <c r="B327" t="s">
        <v>1173</v>
      </c>
      <c r="C327">
        <v>3900</v>
      </c>
      <c r="D327" t="s">
        <v>1131</v>
      </c>
      <c r="E327">
        <v>-650000</v>
      </c>
      <c r="F327" t="s">
        <v>1450</v>
      </c>
    </row>
    <row r="328" spans="1:6" x14ac:dyDescent="0.35">
      <c r="A328">
        <v>20260601</v>
      </c>
      <c r="B328" t="s">
        <v>1255</v>
      </c>
      <c r="C328">
        <v>5100</v>
      </c>
      <c r="D328" t="s">
        <v>485</v>
      </c>
      <c r="E328">
        <v>90000</v>
      </c>
      <c r="F328" t="s">
        <v>1450</v>
      </c>
    </row>
    <row r="329" spans="1:6" x14ac:dyDescent="0.35">
      <c r="A329">
        <v>20260601</v>
      </c>
      <c r="B329" t="s">
        <v>1255</v>
      </c>
      <c r="C329">
        <v>3400</v>
      </c>
      <c r="D329" t="s">
        <v>485</v>
      </c>
      <c r="E329">
        <v>-90000</v>
      </c>
      <c r="F329" t="s">
        <v>1450</v>
      </c>
    </row>
    <row r="330" spans="1:6" x14ac:dyDescent="0.35">
      <c r="A330">
        <v>20260601</v>
      </c>
      <c r="B330" t="s">
        <v>1155</v>
      </c>
      <c r="C330">
        <v>5000</v>
      </c>
      <c r="D330" t="s">
        <v>1131</v>
      </c>
      <c r="E330">
        <v>460000</v>
      </c>
      <c r="F330" t="s">
        <v>1450</v>
      </c>
    </row>
    <row r="331" spans="1:6" x14ac:dyDescent="0.35">
      <c r="A331">
        <v>20260601</v>
      </c>
      <c r="B331" t="s">
        <v>1155</v>
      </c>
      <c r="C331">
        <v>5400</v>
      </c>
      <c r="D331" t="s">
        <v>1131</v>
      </c>
      <c r="E331">
        <v>64860</v>
      </c>
      <c r="F331" t="s">
        <v>1450</v>
      </c>
    </row>
    <row r="332" spans="1:6" x14ac:dyDescent="0.35">
      <c r="A332">
        <v>20260601</v>
      </c>
      <c r="B332" t="s">
        <v>1155</v>
      </c>
      <c r="C332">
        <v>6300</v>
      </c>
      <c r="D332" t="s">
        <v>1131</v>
      </c>
      <c r="E332">
        <v>85000</v>
      </c>
      <c r="F332" t="s">
        <v>1450</v>
      </c>
    </row>
    <row r="333" spans="1:6" x14ac:dyDescent="0.35">
      <c r="A333">
        <v>20260601</v>
      </c>
      <c r="B333" t="s">
        <v>1155</v>
      </c>
      <c r="C333">
        <v>3900</v>
      </c>
      <c r="D333" t="s">
        <v>1131</v>
      </c>
      <c r="E333">
        <v>-650000</v>
      </c>
      <c r="F333" t="s">
        <v>1450</v>
      </c>
    </row>
    <row r="334" spans="1:6" x14ac:dyDescent="0.35">
      <c r="A334">
        <v>20260601</v>
      </c>
      <c r="B334" t="s">
        <v>1138</v>
      </c>
      <c r="C334">
        <v>5000</v>
      </c>
      <c r="D334" t="s">
        <v>1131</v>
      </c>
      <c r="E334">
        <v>460000</v>
      </c>
      <c r="F334" t="s">
        <v>1450</v>
      </c>
    </row>
    <row r="335" spans="1:6" x14ac:dyDescent="0.35">
      <c r="A335">
        <v>20260601</v>
      </c>
      <c r="B335" t="s">
        <v>1138</v>
      </c>
      <c r="C335">
        <v>5400</v>
      </c>
      <c r="D335" t="s">
        <v>1131</v>
      </c>
      <c r="E335">
        <v>64860</v>
      </c>
      <c r="F335" t="s">
        <v>1450</v>
      </c>
    </row>
    <row r="336" spans="1:6" x14ac:dyDescent="0.35">
      <c r="A336">
        <v>20260601</v>
      </c>
      <c r="B336" t="s">
        <v>1138</v>
      </c>
      <c r="C336">
        <v>6300</v>
      </c>
      <c r="D336" t="s">
        <v>1131</v>
      </c>
      <c r="E336">
        <v>85000</v>
      </c>
      <c r="F336" t="s">
        <v>1450</v>
      </c>
    </row>
    <row r="337" spans="1:6" x14ac:dyDescent="0.35">
      <c r="A337">
        <v>20260601</v>
      </c>
      <c r="B337" t="s">
        <v>1138</v>
      </c>
      <c r="C337">
        <v>3900</v>
      </c>
      <c r="D337" t="s">
        <v>1131</v>
      </c>
      <c r="E337">
        <v>-650000</v>
      </c>
      <c r="F337" t="s">
        <v>1450</v>
      </c>
    </row>
    <row r="338" spans="1:6" x14ac:dyDescent="0.35">
      <c r="A338">
        <v>20260701</v>
      </c>
      <c r="B338" t="s">
        <v>1150</v>
      </c>
      <c r="C338">
        <v>5000</v>
      </c>
      <c r="D338" t="s">
        <v>1131</v>
      </c>
      <c r="E338">
        <v>460000</v>
      </c>
      <c r="F338" t="s">
        <v>1450</v>
      </c>
    </row>
    <row r="339" spans="1:6" x14ac:dyDescent="0.35">
      <c r="A339">
        <v>20260701</v>
      </c>
      <c r="B339" t="s">
        <v>1150</v>
      </c>
      <c r="C339">
        <v>5400</v>
      </c>
      <c r="D339" t="s">
        <v>1131</v>
      </c>
      <c r="E339">
        <v>64860</v>
      </c>
      <c r="F339" t="s">
        <v>1450</v>
      </c>
    </row>
    <row r="340" spans="1:6" x14ac:dyDescent="0.35">
      <c r="A340">
        <v>20260701</v>
      </c>
      <c r="B340" t="s">
        <v>1150</v>
      </c>
      <c r="C340">
        <v>6300</v>
      </c>
      <c r="D340" t="s">
        <v>1131</v>
      </c>
      <c r="E340">
        <v>85000</v>
      </c>
      <c r="F340" t="s">
        <v>1450</v>
      </c>
    </row>
    <row r="341" spans="1:6" x14ac:dyDescent="0.35">
      <c r="A341">
        <v>20260701</v>
      </c>
      <c r="B341" t="s">
        <v>1150</v>
      </c>
      <c r="C341">
        <v>3900</v>
      </c>
      <c r="D341" t="s">
        <v>1131</v>
      </c>
      <c r="E341">
        <v>-650000</v>
      </c>
      <c r="F341" t="s">
        <v>1450</v>
      </c>
    </row>
    <row r="342" spans="1:6" x14ac:dyDescent="0.35">
      <c r="A342">
        <v>20260701</v>
      </c>
      <c r="B342" t="s">
        <v>1272</v>
      </c>
      <c r="C342">
        <v>5100</v>
      </c>
      <c r="D342" t="s">
        <v>485</v>
      </c>
      <c r="E342">
        <v>90000</v>
      </c>
      <c r="F342" t="s">
        <v>1450</v>
      </c>
    </row>
    <row r="343" spans="1:6" x14ac:dyDescent="0.35">
      <c r="A343">
        <v>20260701</v>
      </c>
      <c r="B343" t="s">
        <v>1272</v>
      </c>
      <c r="C343">
        <v>3400</v>
      </c>
      <c r="D343" t="s">
        <v>485</v>
      </c>
      <c r="E343">
        <v>-90000</v>
      </c>
      <c r="F343" t="s">
        <v>1450</v>
      </c>
    </row>
    <row r="344" spans="1:6" x14ac:dyDescent="0.35">
      <c r="A344">
        <v>20260701</v>
      </c>
      <c r="B344" t="s">
        <v>1158</v>
      </c>
      <c r="C344">
        <v>5000</v>
      </c>
      <c r="D344" t="s">
        <v>1131</v>
      </c>
      <c r="E344">
        <v>460000</v>
      </c>
      <c r="F344" t="s">
        <v>1450</v>
      </c>
    </row>
    <row r="345" spans="1:6" x14ac:dyDescent="0.35">
      <c r="A345">
        <v>20260701</v>
      </c>
      <c r="B345" t="s">
        <v>1158</v>
      </c>
      <c r="C345">
        <v>5400</v>
      </c>
      <c r="D345" t="s">
        <v>1131</v>
      </c>
      <c r="E345">
        <v>64860</v>
      </c>
      <c r="F345" t="s">
        <v>1450</v>
      </c>
    </row>
    <row r="346" spans="1:6" x14ac:dyDescent="0.35">
      <c r="A346">
        <v>20260701</v>
      </c>
      <c r="B346" t="s">
        <v>1158</v>
      </c>
      <c r="C346">
        <v>6300</v>
      </c>
      <c r="D346" t="s">
        <v>1131</v>
      </c>
      <c r="E346">
        <v>85000</v>
      </c>
      <c r="F346" t="s">
        <v>1450</v>
      </c>
    </row>
    <row r="347" spans="1:6" x14ac:dyDescent="0.35">
      <c r="A347">
        <v>20260701</v>
      </c>
      <c r="B347" t="s">
        <v>1158</v>
      </c>
      <c r="C347">
        <v>3900</v>
      </c>
      <c r="D347" t="s">
        <v>1131</v>
      </c>
      <c r="E347">
        <v>-650000</v>
      </c>
      <c r="F347" t="s">
        <v>1450</v>
      </c>
    </row>
    <row r="348" spans="1:6" x14ac:dyDescent="0.35">
      <c r="A348">
        <v>20260701</v>
      </c>
      <c r="B348" t="s">
        <v>1243</v>
      </c>
      <c r="C348">
        <v>5100</v>
      </c>
      <c r="D348" t="s">
        <v>485</v>
      </c>
      <c r="E348">
        <v>90000</v>
      </c>
      <c r="F348" t="s">
        <v>1450</v>
      </c>
    </row>
    <row r="349" spans="1:6" x14ac:dyDescent="0.35">
      <c r="A349">
        <v>20260701</v>
      </c>
      <c r="B349" t="s">
        <v>1243</v>
      </c>
      <c r="C349">
        <v>3400</v>
      </c>
      <c r="D349" t="s">
        <v>485</v>
      </c>
      <c r="E349">
        <v>-90000</v>
      </c>
      <c r="F349" t="s">
        <v>1450</v>
      </c>
    </row>
    <row r="350" spans="1:6" x14ac:dyDescent="0.35">
      <c r="A350">
        <v>20260701</v>
      </c>
      <c r="B350" t="s">
        <v>1205</v>
      </c>
      <c r="C350">
        <v>5000</v>
      </c>
      <c r="D350" t="s">
        <v>1131</v>
      </c>
      <c r="E350">
        <v>460000</v>
      </c>
      <c r="F350" t="s">
        <v>1450</v>
      </c>
    </row>
    <row r="351" spans="1:6" x14ac:dyDescent="0.35">
      <c r="A351">
        <v>20260701</v>
      </c>
      <c r="B351" t="s">
        <v>1205</v>
      </c>
      <c r="C351">
        <v>5400</v>
      </c>
      <c r="D351" t="s">
        <v>1131</v>
      </c>
      <c r="E351">
        <v>64860</v>
      </c>
      <c r="F351" t="s">
        <v>1450</v>
      </c>
    </row>
    <row r="352" spans="1:6" x14ac:dyDescent="0.35">
      <c r="A352">
        <v>20260701</v>
      </c>
      <c r="B352" t="s">
        <v>1205</v>
      </c>
      <c r="C352">
        <v>6300</v>
      </c>
      <c r="D352" t="s">
        <v>1131</v>
      </c>
      <c r="E352">
        <v>85000</v>
      </c>
      <c r="F352" t="s">
        <v>1450</v>
      </c>
    </row>
    <row r="353" spans="1:6" x14ac:dyDescent="0.35">
      <c r="A353">
        <v>20260701</v>
      </c>
      <c r="B353" t="s">
        <v>1205</v>
      </c>
      <c r="C353">
        <v>3900</v>
      </c>
      <c r="D353" t="s">
        <v>1131</v>
      </c>
      <c r="E353">
        <v>-650000</v>
      </c>
      <c r="F353" t="s">
        <v>1450</v>
      </c>
    </row>
    <row r="354" spans="1:6" x14ac:dyDescent="0.35">
      <c r="A354">
        <v>20260701</v>
      </c>
      <c r="B354" t="s">
        <v>1257</v>
      </c>
      <c r="C354">
        <v>5100</v>
      </c>
      <c r="D354" t="s">
        <v>485</v>
      </c>
      <c r="E354">
        <v>90000</v>
      </c>
      <c r="F354" t="s">
        <v>1450</v>
      </c>
    </row>
    <row r="355" spans="1:6" x14ac:dyDescent="0.35">
      <c r="A355">
        <v>20260701</v>
      </c>
      <c r="B355" t="s">
        <v>1257</v>
      </c>
      <c r="C355">
        <v>3400</v>
      </c>
      <c r="D355" t="s">
        <v>485</v>
      </c>
      <c r="E355">
        <v>-90000</v>
      </c>
      <c r="F355" t="s">
        <v>1450</v>
      </c>
    </row>
    <row r="356" spans="1:6" x14ac:dyDescent="0.35">
      <c r="A356">
        <v>20260701</v>
      </c>
      <c r="B356" t="s">
        <v>1164</v>
      </c>
      <c r="C356">
        <v>5000</v>
      </c>
      <c r="D356" t="s">
        <v>1131</v>
      </c>
      <c r="E356">
        <v>460000</v>
      </c>
      <c r="F356" t="s">
        <v>1450</v>
      </c>
    </row>
    <row r="357" spans="1:6" x14ac:dyDescent="0.35">
      <c r="A357">
        <v>20260701</v>
      </c>
      <c r="B357" t="s">
        <v>1164</v>
      </c>
      <c r="C357">
        <v>5400</v>
      </c>
      <c r="D357" t="s">
        <v>1131</v>
      </c>
      <c r="E357">
        <v>64860</v>
      </c>
      <c r="F357" t="s">
        <v>1450</v>
      </c>
    </row>
    <row r="358" spans="1:6" x14ac:dyDescent="0.35">
      <c r="A358">
        <v>20260701</v>
      </c>
      <c r="B358" t="s">
        <v>1164</v>
      </c>
      <c r="C358">
        <v>6300</v>
      </c>
      <c r="D358" t="s">
        <v>1131</v>
      </c>
      <c r="E358">
        <v>85000</v>
      </c>
      <c r="F358" t="s">
        <v>1450</v>
      </c>
    </row>
    <row r="359" spans="1:6" x14ac:dyDescent="0.35">
      <c r="A359">
        <v>20260701</v>
      </c>
      <c r="B359" t="s">
        <v>1164</v>
      </c>
      <c r="C359">
        <v>3900</v>
      </c>
      <c r="D359" t="s">
        <v>1131</v>
      </c>
      <c r="E359">
        <v>-650000</v>
      </c>
      <c r="F359" t="s">
        <v>1450</v>
      </c>
    </row>
    <row r="360" spans="1:6" x14ac:dyDescent="0.35">
      <c r="A360">
        <v>20260701</v>
      </c>
      <c r="B360" t="s">
        <v>1249</v>
      </c>
      <c r="C360">
        <v>5100</v>
      </c>
      <c r="D360" t="s">
        <v>485</v>
      </c>
      <c r="E360">
        <v>90000</v>
      </c>
      <c r="F360" t="s">
        <v>1450</v>
      </c>
    </row>
    <row r="361" spans="1:6" x14ac:dyDescent="0.35">
      <c r="A361">
        <v>20260701</v>
      </c>
      <c r="B361" t="s">
        <v>1249</v>
      </c>
      <c r="C361">
        <v>3400</v>
      </c>
      <c r="D361" t="s">
        <v>485</v>
      </c>
      <c r="E361">
        <v>-90000</v>
      </c>
      <c r="F361" t="s">
        <v>1450</v>
      </c>
    </row>
    <row r="362" spans="1:6" x14ac:dyDescent="0.35">
      <c r="A362">
        <v>20260701</v>
      </c>
      <c r="B362" t="s">
        <v>1169</v>
      </c>
      <c r="C362">
        <v>5000</v>
      </c>
      <c r="D362" t="s">
        <v>1131</v>
      </c>
      <c r="E362">
        <v>460000</v>
      </c>
      <c r="F362" t="s">
        <v>1450</v>
      </c>
    </row>
    <row r="363" spans="1:6" x14ac:dyDescent="0.35">
      <c r="A363">
        <v>20260701</v>
      </c>
      <c r="B363" t="s">
        <v>1169</v>
      </c>
      <c r="C363">
        <v>5400</v>
      </c>
      <c r="D363" t="s">
        <v>1131</v>
      </c>
      <c r="E363">
        <v>64860</v>
      </c>
      <c r="F363" t="s">
        <v>1450</v>
      </c>
    </row>
    <row r="364" spans="1:6" x14ac:dyDescent="0.35">
      <c r="A364">
        <v>20260701</v>
      </c>
      <c r="B364" t="s">
        <v>1169</v>
      </c>
      <c r="C364">
        <v>6300</v>
      </c>
      <c r="D364" t="s">
        <v>1131</v>
      </c>
      <c r="E364">
        <v>85000</v>
      </c>
      <c r="F364" t="s">
        <v>1450</v>
      </c>
    </row>
    <row r="365" spans="1:6" x14ac:dyDescent="0.35">
      <c r="A365">
        <v>20260701</v>
      </c>
      <c r="B365" t="s">
        <v>1169</v>
      </c>
      <c r="C365">
        <v>3900</v>
      </c>
      <c r="D365" t="s">
        <v>1131</v>
      </c>
      <c r="E365">
        <v>-650000</v>
      </c>
      <c r="F365" t="s">
        <v>1450</v>
      </c>
    </row>
    <row r="366" spans="1:6" x14ac:dyDescent="0.35">
      <c r="A366">
        <v>20260701</v>
      </c>
      <c r="B366" t="s">
        <v>1260</v>
      </c>
      <c r="C366">
        <v>5100</v>
      </c>
      <c r="D366" t="s">
        <v>485</v>
      </c>
      <c r="E366">
        <v>90000</v>
      </c>
      <c r="F366" t="s">
        <v>1450</v>
      </c>
    </row>
    <row r="367" spans="1:6" x14ac:dyDescent="0.35">
      <c r="A367">
        <v>20260701</v>
      </c>
      <c r="B367" t="s">
        <v>1260</v>
      </c>
      <c r="C367">
        <v>3400</v>
      </c>
      <c r="D367" t="s">
        <v>485</v>
      </c>
      <c r="E367">
        <v>-90000</v>
      </c>
      <c r="F367" t="s">
        <v>1450</v>
      </c>
    </row>
    <row r="368" spans="1:6" x14ac:dyDescent="0.35">
      <c r="A368">
        <v>20260701</v>
      </c>
      <c r="B368" t="s">
        <v>1175</v>
      </c>
      <c r="C368">
        <v>5000</v>
      </c>
      <c r="D368" t="s">
        <v>1131</v>
      </c>
      <c r="E368">
        <v>460000</v>
      </c>
      <c r="F368" t="s">
        <v>1450</v>
      </c>
    </row>
    <row r="369" spans="1:6" x14ac:dyDescent="0.35">
      <c r="A369">
        <v>20260701</v>
      </c>
      <c r="B369" t="s">
        <v>1175</v>
      </c>
      <c r="C369">
        <v>5400</v>
      </c>
      <c r="D369" t="s">
        <v>1131</v>
      </c>
      <c r="E369">
        <v>64860</v>
      </c>
      <c r="F369" t="s">
        <v>1450</v>
      </c>
    </row>
    <row r="370" spans="1:6" x14ac:dyDescent="0.35">
      <c r="A370">
        <v>20260701</v>
      </c>
      <c r="B370" t="s">
        <v>1175</v>
      </c>
      <c r="C370">
        <v>6300</v>
      </c>
      <c r="D370" t="s">
        <v>1131</v>
      </c>
      <c r="E370">
        <v>85000</v>
      </c>
      <c r="F370" t="s">
        <v>1450</v>
      </c>
    </row>
    <row r="371" spans="1:6" x14ac:dyDescent="0.35">
      <c r="A371">
        <v>20260701</v>
      </c>
      <c r="B371" t="s">
        <v>1175</v>
      </c>
      <c r="C371">
        <v>3900</v>
      </c>
      <c r="D371" t="s">
        <v>1131</v>
      </c>
      <c r="E371">
        <v>-650000</v>
      </c>
      <c r="F371" t="s">
        <v>1450</v>
      </c>
    </row>
    <row r="372" spans="1:6" x14ac:dyDescent="0.35">
      <c r="A372">
        <v>20260701</v>
      </c>
      <c r="B372" t="s">
        <v>1247</v>
      </c>
      <c r="C372">
        <v>5100</v>
      </c>
      <c r="D372" t="s">
        <v>485</v>
      </c>
      <c r="E372">
        <v>90000</v>
      </c>
      <c r="F372" t="s">
        <v>1450</v>
      </c>
    </row>
    <row r="373" spans="1:6" x14ac:dyDescent="0.35">
      <c r="A373">
        <v>20260701</v>
      </c>
      <c r="B373" t="s">
        <v>1247</v>
      </c>
      <c r="C373">
        <v>3400</v>
      </c>
      <c r="D373" t="s">
        <v>485</v>
      </c>
      <c r="E373">
        <v>-90000</v>
      </c>
      <c r="F373" t="s">
        <v>1450</v>
      </c>
    </row>
    <row r="374" spans="1:6" x14ac:dyDescent="0.35">
      <c r="A374">
        <v>20260701</v>
      </c>
      <c r="B374" t="s">
        <v>1130</v>
      </c>
      <c r="C374">
        <v>5000</v>
      </c>
      <c r="D374" t="s">
        <v>1131</v>
      </c>
      <c r="E374">
        <v>460000</v>
      </c>
      <c r="F374" t="s">
        <v>1450</v>
      </c>
    </row>
    <row r="375" spans="1:6" x14ac:dyDescent="0.35">
      <c r="A375">
        <v>20260701</v>
      </c>
      <c r="B375" t="s">
        <v>1130</v>
      </c>
      <c r="C375">
        <v>5400</v>
      </c>
      <c r="D375" t="s">
        <v>1131</v>
      </c>
      <c r="E375">
        <v>64860</v>
      </c>
      <c r="F375" t="s">
        <v>1450</v>
      </c>
    </row>
    <row r="376" spans="1:6" x14ac:dyDescent="0.35">
      <c r="A376">
        <v>20260701</v>
      </c>
      <c r="B376" t="s">
        <v>1130</v>
      </c>
      <c r="C376">
        <v>6300</v>
      </c>
      <c r="D376" t="s">
        <v>1131</v>
      </c>
      <c r="E376">
        <v>85000</v>
      </c>
      <c r="F376" t="s">
        <v>1450</v>
      </c>
    </row>
    <row r="377" spans="1:6" x14ac:dyDescent="0.35">
      <c r="A377">
        <v>20260701</v>
      </c>
      <c r="B377" t="s">
        <v>1130</v>
      </c>
      <c r="C377">
        <v>3900</v>
      </c>
      <c r="D377" t="s">
        <v>1131</v>
      </c>
      <c r="E377">
        <v>-650000</v>
      </c>
      <c r="F377" t="s">
        <v>1450</v>
      </c>
    </row>
    <row r="378" spans="1:6" x14ac:dyDescent="0.35">
      <c r="A378">
        <v>20260701</v>
      </c>
      <c r="B378" t="s">
        <v>1265</v>
      </c>
      <c r="C378">
        <v>5100</v>
      </c>
      <c r="D378" t="s">
        <v>485</v>
      </c>
      <c r="E378">
        <v>90000</v>
      </c>
      <c r="F378" t="s">
        <v>1450</v>
      </c>
    </row>
    <row r="379" spans="1:6" x14ac:dyDescent="0.35">
      <c r="A379">
        <v>20260701</v>
      </c>
      <c r="B379" t="s">
        <v>1265</v>
      </c>
      <c r="C379">
        <v>3400</v>
      </c>
      <c r="D379" t="s">
        <v>485</v>
      </c>
      <c r="E379">
        <v>-90000</v>
      </c>
      <c r="F379" t="s">
        <v>1450</v>
      </c>
    </row>
    <row r="380" spans="1:6" x14ac:dyDescent="0.35">
      <c r="A380">
        <v>20260701</v>
      </c>
      <c r="B380" t="s">
        <v>1173</v>
      </c>
      <c r="C380">
        <v>5000</v>
      </c>
      <c r="D380" t="s">
        <v>1131</v>
      </c>
      <c r="E380">
        <v>460000</v>
      </c>
      <c r="F380" t="s">
        <v>1450</v>
      </c>
    </row>
    <row r="381" spans="1:6" x14ac:dyDescent="0.35">
      <c r="A381">
        <v>20260701</v>
      </c>
      <c r="B381" t="s">
        <v>1173</v>
      </c>
      <c r="C381">
        <v>5400</v>
      </c>
      <c r="D381" t="s">
        <v>1131</v>
      </c>
      <c r="E381">
        <v>64860</v>
      </c>
      <c r="F381" t="s">
        <v>1450</v>
      </c>
    </row>
    <row r="382" spans="1:6" x14ac:dyDescent="0.35">
      <c r="A382">
        <v>20260701</v>
      </c>
      <c r="B382" t="s">
        <v>1173</v>
      </c>
      <c r="C382">
        <v>6300</v>
      </c>
      <c r="D382" t="s">
        <v>1131</v>
      </c>
      <c r="E382">
        <v>85000</v>
      </c>
      <c r="F382" t="s">
        <v>1450</v>
      </c>
    </row>
    <row r="383" spans="1:6" x14ac:dyDescent="0.35">
      <c r="A383">
        <v>20260701</v>
      </c>
      <c r="B383" t="s">
        <v>1173</v>
      </c>
      <c r="C383">
        <v>3900</v>
      </c>
      <c r="D383" t="s">
        <v>1131</v>
      </c>
      <c r="E383">
        <v>-650000</v>
      </c>
      <c r="F383" t="s">
        <v>1450</v>
      </c>
    </row>
    <row r="384" spans="1:6" x14ac:dyDescent="0.35">
      <c r="A384">
        <v>20260701</v>
      </c>
      <c r="B384" t="s">
        <v>1255</v>
      </c>
      <c r="C384">
        <v>5100</v>
      </c>
      <c r="D384" t="s">
        <v>485</v>
      </c>
      <c r="E384">
        <v>90000</v>
      </c>
      <c r="F384" t="s">
        <v>1450</v>
      </c>
    </row>
    <row r="385" spans="1:6" x14ac:dyDescent="0.35">
      <c r="A385">
        <v>20260701</v>
      </c>
      <c r="B385" t="s">
        <v>1255</v>
      </c>
      <c r="C385">
        <v>3400</v>
      </c>
      <c r="D385" t="s">
        <v>485</v>
      </c>
      <c r="E385">
        <v>-90000</v>
      </c>
      <c r="F385" t="s">
        <v>1450</v>
      </c>
    </row>
    <row r="386" spans="1:6" x14ac:dyDescent="0.35">
      <c r="A386">
        <v>20260701</v>
      </c>
      <c r="B386" t="s">
        <v>1155</v>
      </c>
      <c r="C386">
        <v>5000</v>
      </c>
      <c r="D386" t="s">
        <v>1131</v>
      </c>
      <c r="E386">
        <v>460000</v>
      </c>
      <c r="F386" t="s">
        <v>1450</v>
      </c>
    </row>
    <row r="387" spans="1:6" x14ac:dyDescent="0.35">
      <c r="A387">
        <v>20260701</v>
      </c>
      <c r="B387" t="s">
        <v>1155</v>
      </c>
      <c r="C387">
        <v>5400</v>
      </c>
      <c r="D387" t="s">
        <v>1131</v>
      </c>
      <c r="E387">
        <v>64860</v>
      </c>
      <c r="F387" t="s">
        <v>1450</v>
      </c>
    </row>
    <row r="388" spans="1:6" x14ac:dyDescent="0.35">
      <c r="A388">
        <v>20260701</v>
      </c>
      <c r="B388" t="s">
        <v>1155</v>
      </c>
      <c r="C388">
        <v>6300</v>
      </c>
      <c r="D388" t="s">
        <v>1131</v>
      </c>
      <c r="E388">
        <v>85000</v>
      </c>
      <c r="F388" t="s">
        <v>1450</v>
      </c>
    </row>
    <row r="389" spans="1:6" x14ac:dyDescent="0.35">
      <c r="A389">
        <v>20260701</v>
      </c>
      <c r="B389" t="s">
        <v>1155</v>
      </c>
      <c r="C389">
        <v>3900</v>
      </c>
      <c r="D389" t="s">
        <v>1131</v>
      </c>
      <c r="E389">
        <v>-650000</v>
      </c>
      <c r="F389" t="s">
        <v>1450</v>
      </c>
    </row>
    <row r="390" spans="1:6" x14ac:dyDescent="0.35">
      <c r="A390">
        <v>20260701</v>
      </c>
      <c r="B390" t="s">
        <v>1138</v>
      </c>
      <c r="C390">
        <v>5000</v>
      </c>
      <c r="D390" t="s">
        <v>1131</v>
      </c>
      <c r="E390">
        <v>460000</v>
      </c>
      <c r="F390" t="s">
        <v>1450</v>
      </c>
    </row>
    <row r="391" spans="1:6" x14ac:dyDescent="0.35">
      <c r="A391">
        <v>20260701</v>
      </c>
      <c r="B391" t="s">
        <v>1138</v>
      </c>
      <c r="C391">
        <v>5400</v>
      </c>
      <c r="D391" t="s">
        <v>1131</v>
      </c>
      <c r="E391">
        <v>64860</v>
      </c>
      <c r="F391" t="s">
        <v>1450</v>
      </c>
    </row>
    <row r="392" spans="1:6" x14ac:dyDescent="0.35">
      <c r="A392">
        <v>20260701</v>
      </c>
      <c r="B392" t="s">
        <v>1138</v>
      </c>
      <c r="C392">
        <v>6300</v>
      </c>
      <c r="D392" t="s">
        <v>1131</v>
      </c>
      <c r="E392">
        <v>85000</v>
      </c>
      <c r="F392" t="s">
        <v>1450</v>
      </c>
    </row>
    <row r="393" spans="1:6" x14ac:dyDescent="0.35">
      <c r="A393">
        <v>20260701</v>
      </c>
      <c r="B393" t="s">
        <v>1138</v>
      </c>
      <c r="C393">
        <v>3900</v>
      </c>
      <c r="D393" t="s">
        <v>1131</v>
      </c>
      <c r="E393">
        <v>-650000</v>
      </c>
      <c r="F393" t="s">
        <v>1450</v>
      </c>
    </row>
    <row r="394" spans="1:6" x14ac:dyDescent="0.35">
      <c r="A394">
        <v>20260801</v>
      </c>
      <c r="B394" t="s">
        <v>1150</v>
      </c>
      <c r="C394">
        <v>5000</v>
      </c>
      <c r="D394" t="s">
        <v>1131</v>
      </c>
      <c r="E394">
        <v>460000</v>
      </c>
      <c r="F394" t="s">
        <v>1450</v>
      </c>
    </row>
    <row r="395" spans="1:6" x14ac:dyDescent="0.35">
      <c r="A395">
        <v>20260801</v>
      </c>
      <c r="B395" t="s">
        <v>1150</v>
      </c>
      <c r="C395">
        <v>5400</v>
      </c>
      <c r="D395" t="s">
        <v>1131</v>
      </c>
      <c r="E395">
        <v>64860</v>
      </c>
      <c r="F395" t="s">
        <v>1450</v>
      </c>
    </row>
    <row r="396" spans="1:6" x14ac:dyDescent="0.35">
      <c r="A396">
        <v>20260801</v>
      </c>
      <c r="B396" t="s">
        <v>1150</v>
      </c>
      <c r="C396">
        <v>6300</v>
      </c>
      <c r="D396" t="s">
        <v>1131</v>
      </c>
      <c r="E396">
        <v>85000</v>
      </c>
      <c r="F396" t="s">
        <v>1450</v>
      </c>
    </row>
    <row r="397" spans="1:6" x14ac:dyDescent="0.35">
      <c r="A397">
        <v>20260801</v>
      </c>
      <c r="B397" t="s">
        <v>1150</v>
      </c>
      <c r="C397">
        <v>3900</v>
      </c>
      <c r="D397" t="s">
        <v>1131</v>
      </c>
      <c r="E397">
        <v>-650000</v>
      </c>
      <c r="F397" t="s">
        <v>1450</v>
      </c>
    </row>
    <row r="398" spans="1:6" x14ac:dyDescent="0.35">
      <c r="A398">
        <v>20260801</v>
      </c>
      <c r="B398" t="s">
        <v>1272</v>
      </c>
      <c r="C398">
        <v>5100</v>
      </c>
      <c r="D398" t="s">
        <v>485</v>
      </c>
      <c r="E398">
        <v>90000</v>
      </c>
      <c r="F398" t="s">
        <v>1450</v>
      </c>
    </row>
    <row r="399" spans="1:6" x14ac:dyDescent="0.35">
      <c r="A399">
        <v>20260801</v>
      </c>
      <c r="B399" t="s">
        <v>1272</v>
      </c>
      <c r="C399">
        <v>3400</v>
      </c>
      <c r="D399" t="s">
        <v>485</v>
      </c>
      <c r="E399">
        <v>-90000</v>
      </c>
      <c r="F399" t="s">
        <v>1450</v>
      </c>
    </row>
    <row r="400" spans="1:6" x14ac:dyDescent="0.35">
      <c r="A400">
        <v>20260801</v>
      </c>
      <c r="B400" t="s">
        <v>1158</v>
      </c>
      <c r="C400">
        <v>5000</v>
      </c>
      <c r="D400" t="s">
        <v>1131</v>
      </c>
      <c r="E400">
        <v>460000</v>
      </c>
      <c r="F400" t="s">
        <v>1450</v>
      </c>
    </row>
    <row r="401" spans="1:6" x14ac:dyDescent="0.35">
      <c r="A401">
        <v>20260801</v>
      </c>
      <c r="B401" t="s">
        <v>1158</v>
      </c>
      <c r="C401">
        <v>5400</v>
      </c>
      <c r="D401" t="s">
        <v>1131</v>
      </c>
      <c r="E401">
        <v>64860</v>
      </c>
      <c r="F401" t="s">
        <v>1450</v>
      </c>
    </row>
    <row r="402" spans="1:6" x14ac:dyDescent="0.35">
      <c r="A402">
        <v>20260801</v>
      </c>
      <c r="B402" t="s">
        <v>1158</v>
      </c>
      <c r="C402">
        <v>6300</v>
      </c>
      <c r="D402" t="s">
        <v>1131</v>
      </c>
      <c r="E402">
        <v>85000</v>
      </c>
      <c r="F402" t="s">
        <v>1450</v>
      </c>
    </row>
    <row r="403" spans="1:6" x14ac:dyDescent="0.35">
      <c r="A403">
        <v>20260801</v>
      </c>
      <c r="B403" t="s">
        <v>1158</v>
      </c>
      <c r="C403">
        <v>3900</v>
      </c>
      <c r="D403" t="s">
        <v>1131</v>
      </c>
      <c r="E403">
        <v>-650000</v>
      </c>
      <c r="F403" t="s">
        <v>1450</v>
      </c>
    </row>
    <row r="404" spans="1:6" x14ac:dyDescent="0.35">
      <c r="A404">
        <v>20260801</v>
      </c>
      <c r="B404" t="s">
        <v>1243</v>
      </c>
      <c r="C404">
        <v>5100</v>
      </c>
      <c r="D404" t="s">
        <v>485</v>
      </c>
      <c r="E404">
        <v>90000</v>
      </c>
      <c r="F404" t="s">
        <v>1450</v>
      </c>
    </row>
    <row r="405" spans="1:6" x14ac:dyDescent="0.35">
      <c r="A405">
        <v>20260801</v>
      </c>
      <c r="B405" t="s">
        <v>1243</v>
      </c>
      <c r="C405">
        <v>3400</v>
      </c>
      <c r="D405" t="s">
        <v>485</v>
      </c>
      <c r="E405">
        <v>-90000</v>
      </c>
      <c r="F405" t="s">
        <v>1450</v>
      </c>
    </row>
    <row r="406" spans="1:6" x14ac:dyDescent="0.35">
      <c r="A406">
        <v>20260801</v>
      </c>
      <c r="B406" t="s">
        <v>1205</v>
      </c>
      <c r="C406">
        <v>5000</v>
      </c>
      <c r="D406" t="s">
        <v>1131</v>
      </c>
      <c r="E406">
        <v>460000</v>
      </c>
      <c r="F406" t="s">
        <v>1450</v>
      </c>
    </row>
    <row r="407" spans="1:6" x14ac:dyDescent="0.35">
      <c r="A407">
        <v>20260801</v>
      </c>
      <c r="B407" t="s">
        <v>1205</v>
      </c>
      <c r="C407">
        <v>5400</v>
      </c>
      <c r="D407" t="s">
        <v>1131</v>
      </c>
      <c r="E407">
        <v>64860</v>
      </c>
      <c r="F407" t="s">
        <v>1450</v>
      </c>
    </row>
    <row r="408" spans="1:6" x14ac:dyDescent="0.35">
      <c r="A408">
        <v>20260801</v>
      </c>
      <c r="B408" t="s">
        <v>1205</v>
      </c>
      <c r="C408">
        <v>6300</v>
      </c>
      <c r="D408" t="s">
        <v>1131</v>
      </c>
      <c r="E408">
        <v>85000</v>
      </c>
      <c r="F408" t="s">
        <v>1450</v>
      </c>
    </row>
    <row r="409" spans="1:6" x14ac:dyDescent="0.35">
      <c r="A409">
        <v>20260801</v>
      </c>
      <c r="B409" t="s">
        <v>1205</v>
      </c>
      <c r="C409">
        <v>3900</v>
      </c>
      <c r="D409" t="s">
        <v>1131</v>
      </c>
      <c r="E409">
        <v>-650000</v>
      </c>
      <c r="F409" t="s">
        <v>1450</v>
      </c>
    </row>
    <row r="410" spans="1:6" x14ac:dyDescent="0.35">
      <c r="A410">
        <v>20260801</v>
      </c>
      <c r="B410" t="s">
        <v>1257</v>
      </c>
      <c r="C410">
        <v>5100</v>
      </c>
      <c r="D410" t="s">
        <v>485</v>
      </c>
      <c r="E410">
        <v>90000</v>
      </c>
      <c r="F410" t="s">
        <v>1450</v>
      </c>
    </row>
    <row r="411" spans="1:6" x14ac:dyDescent="0.35">
      <c r="A411">
        <v>20260801</v>
      </c>
      <c r="B411" t="s">
        <v>1257</v>
      </c>
      <c r="C411">
        <v>3400</v>
      </c>
      <c r="D411" t="s">
        <v>485</v>
      </c>
      <c r="E411">
        <v>-90000</v>
      </c>
      <c r="F411" t="s">
        <v>1450</v>
      </c>
    </row>
    <row r="412" spans="1:6" x14ac:dyDescent="0.35">
      <c r="A412">
        <v>20260801</v>
      </c>
      <c r="B412" t="s">
        <v>1164</v>
      </c>
      <c r="C412">
        <v>5000</v>
      </c>
      <c r="D412" t="s">
        <v>1131</v>
      </c>
      <c r="E412">
        <v>460000</v>
      </c>
      <c r="F412" t="s">
        <v>1450</v>
      </c>
    </row>
    <row r="413" spans="1:6" x14ac:dyDescent="0.35">
      <c r="A413">
        <v>20260801</v>
      </c>
      <c r="B413" t="s">
        <v>1164</v>
      </c>
      <c r="C413">
        <v>5400</v>
      </c>
      <c r="D413" t="s">
        <v>1131</v>
      </c>
      <c r="E413">
        <v>64860</v>
      </c>
      <c r="F413" t="s">
        <v>1450</v>
      </c>
    </row>
    <row r="414" spans="1:6" x14ac:dyDescent="0.35">
      <c r="A414">
        <v>20260801</v>
      </c>
      <c r="B414" t="s">
        <v>1164</v>
      </c>
      <c r="C414">
        <v>6300</v>
      </c>
      <c r="D414" t="s">
        <v>1131</v>
      </c>
      <c r="E414">
        <v>85000</v>
      </c>
      <c r="F414" t="s">
        <v>1450</v>
      </c>
    </row>
    <row r="415" spans="1:6" x14ac:dyDescent="0.35">
      <c r="A415">
        <v>20260801</v>
      </c>
      <c r="B415" t="s">
        <v>1164</v>
      </c>
      <c r="C415">
        <v>3900</v>
      </c>
      <c r="D415" t="s">
        <v>1131</v>
      </c>
      <c r="E415">
        <v>-650000</v>
      </c>
      <c r="F415" t="s">
        <v>1450</v>
      </c>
    </row>
    <row r="416" spans="1:6" x14ac:dyDescent="0.35">
      <c r="A416">
        <v>20260801</v>
      </c>
      <c r="B416" t="s">
        <v>1249</v>
      </c>
      <c r="C416">
        <v>5100</v>
      </c>
      <c r="D416" t="s">
        <v>485</v>
      </c>
      <c r="E416">
        <v>90000</v>
      </c>
      <c r="F416" t="s">
        <v>1450</v>
      </c>
    </row>
    <row r="417" spans="1:6" x14ac:dyDescent="0.35">
      <c r="A417">
        <v>20260801</v>
      </c>
      <c r="B417" t="s">
        <v>1249</v>
      </c>
      <c r="C417">
        <v>3400</v>
      </c>
      <c r="D417" t="s">
        <v>485</v>
      </c>
      <c r="E417">
        <v>-90000</v>
      </c>
      <c r="F417" t="s">
        <v>1450</v>
      </c>
    </row>
    <row r="418" spans="1:6" x14ac:dyDescent="0.35">
      <c r="A418">
        <v>20260801</v>
      </c>
      <c r="B418" t="s">
        <v>1169</v>
      </c>
      <c r="C418">
        <v>5000</v>
      </c>
      <c r="D418" t="s">
        <v>1131</v>
      </c>
      <c r="E418">
        <v>460000</v>
      </c>
      <c r="F418" t="s">
        <v>1450</v>
      </c>
    </row>
    <row r="419" spans="1:6" x14ac:dyDescent="0.35">
      <c r="A419">
        <v>20260801</v>
      </c>
      <c r="B419" t="s">
        <v>1169</v>
      </c>
      <c r="C419">
        <v>5400</v>
      </c>
      <c r="D419" t="s">
        <v>1131</v>
      </c>
      <c r="E419">
        <v>64860</v>
      </c>
      <c r="F419" t="s">
        <v>1450</v>
      </c>
    </row>
    <row r="420" spans="1:6" x14ac:dyDescent="0.35">
      <c r="A420">
        <v>20260801</v>
      </c>
      <c r="B420" t="s">
        <v>1169</v>
      </c>
      <c r="C420">
        <v>6300</v>
      </c>
      <c r="D420" t="s">
        <v>1131</v>
      </c>
      <c r="E420">
        <v>85000</v>
      </c>
      <c r="F420" t="s">
        <v>1450</v>
      </c>
    </row>
    <row r="421" spans="1:6" x14ac:dyDescent="0.35">
      <c r="A421">
        <v>20260801</v>
      </c>
      <c r="B421" t="s">
        <v>1169</v>
      </c>
      <c r="C421">
        <v>3900</v>
      </c>
      <c r="D421" t="s">
        <v>1131</v>
      </c>
      <c r="E421">
        <v>-650000</v>
      </c>
      <c r="F421" t="s">
        <v>1450</v>
      </c>
    </row>
    <row r="422" spans="1:6" x14ac:dyDescent="0.35">
      <c r="A422">
        <v>20260801</v>
      </c>
      <c r="B422" t="s">
        <v>1260</v>
      </c>
      <c r="C422">
        <v>5100</v>
      </c>
      <c r="D422" t="s">
        <v>485</v>
      </c>
      <c r="E422">
        <v>90000</v>
      </c>
      <c r="F422" t="s">
        <v>1450</v>
      </c>
    </row>
    <row r="423" spans="1:6" x14ac:dyDescent="0.35">
      <c r="A423">
        <v>20260801</v>
      </c>
      <c r="B423" t="s">
        <v>1260</v>
      </c>
      <c r="C423">
        <v>3400</v>
      </c>
      <c r="D423" t="s">
        <v>485</v>
      </c>
      <c r="E423">
        <v>-90000</v>
      </c>
      <c r="F423" t="s">
        <v>1450</v>
      </c>
    </row>
    <row r="424" spans="1:6" x14ac:dyDescent="0.35">
      <c r="A424">
        <v>20260801</v>
      </c>
      <c r="B424" t="s">
        <v>1175</v>
      </c>
      <c r="C424">
        <v>5000</v>
      </c>
      <c r="D424" t="s">
        <v>1131</v>
      </c>
      <c r="E424">
        <v>460000</v>
      </c>
      <c r="F424" t="s">
        <v>1450</v>
      </c>
    </row>
    <row r="425" spans="1:6" x14ac:dyDescent="0.35">
      <c r="A425">
        <v>20260801</v>
      </c>
      <c r="B425" t="s">
        <v>1175</v>
      </c>
      <c r="C425">
        <v>5400</v>
      </c>
      <c r="D425" t="s">
        <v>1131</v>
      </c>
      <c r="E425">
        <v>64860</v>
      </c>
      <c r="F425" t="s">
        <v>1450</v>
      </c>
    </row>
    <row r="426" spans="1:6" x14ac:dyDescent="0.35">
      <c r="A426">
        <v>20260801</v>
      </c>
      <c r="B426" t="s">
        <v>1175</v>
      </c>
      <c r="C426">
        <v>6300</v>
      </c>
      <c r="D426" t="s">
        <v>1131</v>
      </c>
      <c r="E426">
        <v>85000</v>
      </c>
      <c r="F426" t="s">
        <v>1450</v>
      </c>
    </row>
    <row r="427" spans="1:6" x14ac:dyDescent="0.35">
      <c r="A427">
        <v>20260801</v>
      </c>
      <c r="B427" t="s">
        <v>1175</v>
      </c>
      <c r="C427">
        <v>3900</v>
      </c>
      <c r="D427" t="s">
        <v>1131</v>
      </c>
      <c r="E427">
        <v>-650000</v>
      </c>
      <c r="F427" t="s">
        <v>1450</v>
      </c>
    </row>
    <row r="428" spans="1:6" x14ac:dyDescent="0.35">
      <c r="A428">
        <v>20260801</v>
      </c>
      <c r="B428" t="s">
        <v>1247</v>
      </c>
      <c r="C428">
        <v>5100</v>
      </c>
      <c r="D428" t="s">
        <v>485</v>
      </c>
      <c r="E428">
        <v>90000</v>
      </c>
      <c r="F428" t="s">
        <v>1450</v>
      </c>
    </row>
    <row r="429" spans="1:6" x14ac:dyDescent="0.35">
      <c r="A429">
        <v>20260801</v>
      </c>
      <c r="B429" t="s">
        <v>1247</v>
      </c>
      <c r="C429">
        <v>3400</v>
      </c>
      <c r="D429" t="s">
        <v>485</v>
      </c>
      <c r="E429">
        <v>-90000</v>
      </c>
      <c r="F429" t="s">
        <v>1450</v>
      </c>
    </row>
    <row r="430" spans="1:6" x14ac:dyDescent="0.35">
      <c r="A430">
        <v>20260801</v>
      </c>
      <c r="B430" t="s">
        <v>1130</v>
      </c>
      <c r="C430">
        <v>5000</v>
      </c>
      <c r="D430" t="s">
        <v>1131</v>
      </c>
      <c r="E430">
        <v>460000</v>
      </c>
      <c r="F430" t="s">
        <v>1450</v>
      </c>
    </row>
    <row r="431" spans="1:6" x14ac:dyDescent="0.35">
      <c r="A431">
        <v>20260801</v>
      </c>
      <c r="B431" t="s">
        <v>1130</v>
      </c>
      <c r="C431">
        <v>5400</v>
      </c>
      <c r="D431" t="s">
        <v>1131</v>
      </c>
      <c r="E431">
        <v>64860</v>
      </c>
      <c r="F431" t="s">
        <v>1450</v>
      </c>
    </row>
    <row r="432" spans="1:6" x14ac:dyDescent="0.35">
      <c r="A432">
        <v>20260801</v>
      </c>
      <c r="B432" t="s">
        <v>1130</v>
      </c>
      <c r="C432">
        <v>6300</v>
      </c>
      <c r="D432" t="s">
        <v>1131</v>
      </c>
      <c r="E432">
        <v>85000</v>
      </c>
      <c r="F432" t="s">
        <v>1450</v>
      </c>
    </row>
    <row r="433" spans="1:6" x14ac:dyDescent="0.35">
      <c r="A433">
        <v>20260801</v>
      </c>
      <c r="B433" t="s">
        <v>1130</v>
      </c>
      <c r="C433">
        <v>3900</v>
      </c>
      <c r="D433" t="s">
        <v>1131</v>
      </c>
      <c r="E433">
        <v>-650000</v>
      </c>
      <c r="F433" t="s">
        <v>1450</v>
      </c>
    </row>
    <row r="434" spans="1:6" x14ac:dyDescent="0.35">
      <c r="A434">
        <v>20260801</v>
      </c>
      <c r="B434" t="s">
        <v>1265</v>
      </c>
      <c r="C434">
        <v>5100</v>
      </c>
      <c r="D434" t="s">
        <v>485</v>
      </c>
      <c r="E434">
        <v>90000</v>
      </c>
      <c r="F434" t="s">
        <v>1450</v>
      </c>
    </row>
    <row r="435" spans="1:6" x14ac:dyDescent="0.35">
      <c r="A435">
        <v>20260801</v>
      </c>
      <c r="B435" t="s">
        <v>1265</v>
      </c>
      <c r="C435">
        <v>3400</v>
      </c>
      <c r="D435" t="s">
        <v>485</v>
      </c>
      <c r="E435">
        <v>-90000</v>
      </c>
      <c r="F435" t="s">
        <v>1450</v>
      </c>
    </row>
    <row r="436" spans="1:6" x14ac:dyDescent="0.35">
      <c r="A436">
        <v>20260801</v>
      </c>
      <c r="B436" t="s">
        <v>1173</v>
      </c>
      <c r="C436">
        <v>5000</v>
      </c>
      <c r="D436" t="s">
        <v>1131</v>
      </c>
      <c r="E436">
        <v>460000</v>
      </c>
      <c r="F436" t="s">
        <v>1450</v>
      </c>
    </row>
    <row r="437" spans="1:6" x14ac:dyDescent="0.35">
      <c r="A437">
        <v>20260801</v>
      </c>
      <c r="B437" t="s">
        <v>1173</v>
      </c>
      <c r="C437">
        <v>5400</v>
      </c>
      <c r="D437" t="s">
        <v>1131</v>
      </c>
      <c r="E437">
        <v>64860</v>
      </c>
      <c r="F437" t="s">
        <v>1450</v>
      </c>
    </row>
    <row r="438" spans="1:6" x14ac:dyDescent="0.35">
      <c r="A438">
        <v>20260801</v>
      </c>
      <c r="B438" t="s">
        <v>1173</v>
      </c>
      <c r="C438">
        <v>6300</v>
      </c>
      <c r="D438" t="s">
        <v>1131</v>
      </c>
      <c r="E438">
        <v>85000</v>
      </c>
      <c r="F438" t="s">
        <v>1450</v>
      </c>
    </row>
    <row r="439" spans="1:6" x14ac:dyDescent="0.35">
      <c r="A439">
        <v>20260801</v>
      </c>
      <c r="B439" t="s">
        <v>1173</v>
      </c>
      <c r="C439">
        <v>3900</v>
      </c>
      <c r="D439" t="s">
        <v>1131</v>
      </c>
      <c r="E439">
        <v>-650000</v>
      </c>
      <c r="F439" t="s">
        <v>1450</v>
      </c>
    </row>
    <row r="440" spans="1:6" x14ac:dyDescent="0.35">
      <c r="A440">
        <v>20260801</v>
      </c>
      <c r="B440" t="s">
        <v>1255</v>
      </c>
      <c r="C440">
        <v>5100</v>
      </c>
      <c r="D440" t="s">
        <v>485</v>
      </c>
      <c r="E440">
        <v>90000</v>
      </c>
      <c r="F440" t="s">
        <v>1450</v>
      </c>
    </row>
    <row r="441" spans="1:6" x14ac:dyDescent="0.35">
      <c r="A441">
        <v>20260801</v>
      </c>
      <c r="B441" t="s">
        <v>1255</v>
      </c>
      <c r="C441">
        <v>3400</v>
      </c>
      <c r="D441" t="s">
        <v>485</v>
      </c>
      <c r="E441">
        <v>-90000</v>
      </c>
      <c r="F441" t="s">
        <v>1450</v>
      </c>
    </row>
    <row r="442" spans="1:6" x14ac:dyDescent="0.35">
      <c r="A442">
        <v>20260801</v>
      </c>
      <c r="B442" t="s">
        <v>1155</v>
      </c>
      <c r="C442">
        <v>5000</v>
      </c>
      <c r="D442" t="s">
        <v>1131</v>
      </c>
      <c r="E442">
        <v>460000</v>
      </c>
      <c r="F442" t="s">
        <v>1450</v>
      </c>
    </row>
    <row r="443" spans="1:6" x14ac:dyDescent="0.35">
      <c r="A443">
        <v>20260801</v>
      </c>
      <c r="B443" t="s">
        <v>1155</v>
      </c>
      <c r="C443">
        <v>5400</v>
      </c>
      <c r="D443" t="s">
        <v>1131</v>
      </c>
      <c r="E443">
        <v>64860</v>
      </c>
      <c r="F443" t="s">
        <v>1450</v>
      </c>
    </row>
    <row r="444" spans="1:6" x14ac:dyDescent="0.35">
      <c r="A444">
        <v>20260801</v>
      </c>
      <c r="B444" t="s">
        <v>1155</v>
      </c>
      <c r="C444">
        <v>6300</v>
      </c>
      <c r="D444" t="s">
        <v>1131</v>
      </c>
      <c r="E444">
        <v>85000</v>
      </c>
      <c r="F444" t="s">
        <v>1450</v>
      </c>
    </row>
    <row r="445" spans="1:6" x14ac:dyDescent="0.35">
      <c r="A445">
        <v>20260801</v>
      </c>
      <c r="B445" t="s">
        <v>1155</v>
      </c>
      <c r="C445">
        <v>3900</v>
      </c>
      <c r="D445" t="s">
        <v>1131</v>
      </c>
      <c r="E445">
        <v>-650000</v>
      </c>
      <c r="F445" t="s">
        <v>1450</v>
      </c>
    </row>
    <row r="446" spans="1:6" x14ac:dyDescent="0.35">
      <c r="A446">
        <v>20260801</v>
      </c>
      <c r="B446" t="s">
        <v>1138</v>
      </c>
      <c r="C446">
        <v>5000</v>
      </c>
      <c r="D446" t="s">
        <v>1131</v>
      </c>
      <c r="E446">
        <v>460000</v>
      </c>
      <c r="F446" t="s">
        <v>1450</v>
      </c>
    </row>
    <row r="447" spans="1:6" x14ac:dyDescent="0.35">
      <c r="A447">
        <v>20260801</v>
      </c>
      <c r="B447" t="s">
        <v>1138</v>
      </c>
      <c r="C447">
        <v>5400</v>
      </c>
      <c r="D447" t="s">
        <v>1131</v>
      </c>
      <c r="E447">
        <v>64860</v>
      </c>
      <c r="F447" t="s">
        <v>1450</v>
      </c>
    </row>
    <row r="448" spans="1:6" x14ac:dyDescent="0.35">
      <c r="A448">
        <v>20260801</v>
      </c>
      <c r="B448" t="s">
        <v>1138</v>
      </c>
      <c r="C448">
        <v>6300</v>
      </c>
      <c r="D448" t="s">
        <v>1131</v>
      </c>
      <c r="E448">
        <v>85000</v>
      </c>
      <c r="F448" t="s">
        <v>1450</v>
      </c>
    </row>
    <row r="449" spans="1:6" x14ac:dyDescent="0.35">
      <c r="A449">
        <v>20260801</v>
      </c>
      <c r="B449" t="s">
        <v>1138</v>
      </c>
      <c r="C449">
        <v>3900</v>
      </c>
      <c r="D449" t="s">
        <v>1131</v>
      </c>
      <c r="E449">
        <v>-650000</v>
      </c>
      <c r="F449" t="s">
        <v>1450</v>
      </c>
    </row>
    <row r="450" spans="1:6" x14ac:dyDescent="0.35">
      <c r="A450">
        <v>20260101</v>
      </c>
      <c r="B450" t="s">
        <v>1150</v>
      </c>
      <c r="C450">
        <v>5000</v>
      </c>
      <c r="D450" t="s">
        <v>1131</v>
      </c>
      <c r="E450">
        <v>469200</v>
      </c>
      <c r="F450" t="s">
        <v>1451</v>
      </c>
    </row>
    <row r="451" spans="1:6" x14ac:dyDescent="0.35">
      <c r="A451">
        <v>20260101</v>
      </c>
      <c r="B451" t="s">
        <v>1150</v>
      </c>
      <c r="C451">
        <v>5400</v>
      </c>
      <c r="D451" t="s">
        <v>1131</v>
      </c>
      <c r="E451">
        <v>66157.2</v>
      </c>
      <c r="F451" t="s">
        <v>1451</v>
      </c>
    </row>
    <row r="452" spans="1:6" x14ac:dyDescent="0.35">
      <c r="A452">
        <v>20260101</v>
      </c>
      <c r="B452" t="s">
        <v>1150</v>
      </c>
      <c r="C452">
        <v>6300</v>
      </c>
      <c r="D452" t="s">
        <v>1131</v>
      </c>
      <c r="E452">
        <v>86700</v>
      </c>
      <c r="F452" t="s">
        <v>1451</v>
      </c>
    </row>
    <row r="453" spans="1:6" x14ac:dyDescent="0.35">
      <c r="A453">
        <v>20260101</v>
      </c>
      <c r="B453" t="s">
        <v>1150</v>
      </c>
      <c r="C453">
        <v>3900</v>
      </c>
      <c r="D453" t="s">
        <v>1131</v>
      </c>
      <c r="E453">
        <v>-663000</v>
      </c>
      <c r="F453" t="s">
        <v>1451</v>
      </c>
    </row>
    <row r="454" spans="1:6" x14ac:dyDescent="0.35">
      <c r="A454">
        <v>20260101</v>
      </c>
      <c r="B454" t="s">
        <v>1272</v>
      </c>
      <c r="C454">
        <v>5100</v>
      </c>
      <c r="D454" t="s">
        <v>485</v>
      </c>
      <c r="E454">
        <v>91800</v>
      </c>
      <c r="F454" t="s">
        <v>1451</v>
      </c>
    </row>
    <row r="455" spans="1:6" x14ac:dyDescent="0.35">
      <c r="A455">
        <v>20260101</v>
      </c>
      <c r="B455" t="s">
        <v>1272</v>
      </c>
      <c r="C455">
        <v>3400</v>
      </c>
      <c r="D455" t="s">
        <v>485</v>
      </c>
      <c r="E455">
        <v>-91800</v>
      </c>
      <c r="F455" t="s">
        <v>1451</v>
      </c>
    </row>
    <row r="456" spans="1:6" x14ac:dyDescent="0.35">
      <c r="A456">
        <v>20260101</v>
      </c>
      <c r="B456" t="s">
        <v>1158</v>
      </c>
      <c r="C456">
        <v>5000</v>
      </c>
      <c r="D456" t="s">
        <v>1131</v>
      </c>
      <c r="E456">
        <v>469200</v>
      </c>
      <c r="F456" t="s">
        <v>1451</v>
      </c>
    </row>
    <row r="457" spans="1:6" x14ac:dyDescent="0.35">
      <c r="A457">
        <v>20260101</v>
      </c>
      <c r="B457" t="s">
        <v>1158</v>
      </c>
      <c r="C457">
        <v>5400</v>
      </c>
      <c r="D457" t="s">
        <v>1131</v>
      </c>
      <c r="E457">
        <v>66157.2</v>
      </c>
      <c r="F457" t="s">
        <v>1451</v>
      </c>
    </row>
    <row r="458" spans="1:6" x14ac:dyDescent="0.35">
      <c r="A458">
        <v>20260101</v>
      </c>
      <c r="B458" t="s">
        <v>1158</v>
      </c>
      <c r="C458">
        <v>6300</v>
      </c>
      <c r="D458" t="s">
        <v>1131</v>
      </c>
      <c r="E458">
        <v>86700</v>
      </c>
      <c r="F458" t="s">
        <v>1451</v>
      </c>
    </row>
    <row r="459" spans="1:6" x14ac:dyDescent="0.35">
      <c r="A459">
        <v>20260101</v>
      </c>
      <c r="B459" t="s">
        <v>1158</v>
      </c>
      <c r="C459">
        <v>3900</v>
      </c>
      <c r="D459" t="s">
        <v>1131</v>
      </c>
      <c r="E459">
        <v>-663000</v>
      </c>
      <c r="F459" t="s">
        <v>1451</v>
      </c>
    </row>
    <row r="460" spans="1:6" x14ac:dyDescent="0.35">
      <c r="A460">
        <v>20260101</v>
      </c>
      <c r="B460" t="s">
        <v>1243</v>
      </c>
      <c r="C460">
        <v>5100</v>
      </c>
      <c r="D460" t="s">
        <v>485</v>
      </c>
      <c r="E460">
        <v>91800</v>
      </c>
      <c r="F460" t="s">
        <v>1451</v>
      </c>
    </row>
    <row r="461" spans="1:6" x14ac:dyDescent="0.35">
      <c r="A461">
        <v>20260101</v>
      </c>
      <c r="B461" t="s">
        <v>1243</v>
      </c>
      <c r="C461">
        <v>3400</v>
      </c>
      <c r="D461" t="s">
        <v>485</v>
      </c>
      <c r="E461">
        <v>-91800</v>
      </c>
      <c r="F461" t="s">
        <v>1451</v>
      </c>
    </row>
    <row r="462" spans="1:6" x14ac:dyDescent="0.35">
      <c r="A462">
        <v>20260101</v>
      </c>
      <c r="B462" t="s">
        <v>1205</v>
      </c>
      <c r="C462">
        <v>5000</v>
      </c>
      <c r="D462" t="s">
        <v>1131</v>
      </c>
      <c r="E462">
        <v>469200</v>
      </c>
      <c r="F462" t="s">
        <v>1451</v>
      </c>
    </row>
    <row r="463" spans="1:6" x14ac:dyDescent="0.35">
      <c r="A463">
        <v>20260101</v>
      </c>
      <c r="B463" t="s">
        <v>1205</v>
      </c>
      <c r="C463">
        <v>5400</v>
      </c>
      <c r="D463" t="s">
        <v>1131</v>
      </c>
      <c r="E463">
        <v>66157.2</v>
      </c>
      <c r="F463" t="s">
        <v>1451</v>
      </c>
    </row>
    <row r="464" spans="1:6" x14ac:dyDescent="0.35">
      <c r="A464">
        <v>20260101</v>
      </c>
      <c r="B464" t="s">
        <v>1205</v>
      </c>
      <c r="C464">
        <v>6300</v>
      </c>
      <c r="D464" t="s">
        <v>1131</v>
      </c>
      <c r="E464">
        <v>86700</v>
      </c>
      <c r="F464" t="s">
        <v>1451</v>
      </c>
    </row>
    <row r="465" spans="1:6" x14ac:dyDescent="0.35">
      <c r="A465">
        <v>20260101</v>
      </c>
      <c r="B465" t="s">
        <v>1205</v>
      </c>
      <c r="C465">
        <v>3900</v>
      </c>
      <c r="D465" t="s">
        <v>1131</v>
      </c>
      <c r="E465">
        <v>-663000</v>
      </c>
      <c r="F465" t="s">
        <v>1451</v>
      </c>
    </row>
    <row r="466" spans="1:6" x14ac:dyDescent="0.35">
      <c r="A466">
        <v>20260101</v>
      </c>
      <c r="B466" t="s">
        <v>1257</v>
      </c>
      <c r="C466">
        <v>5100</v>
      </c>
      <c r="D466" t="s">
        <v>485</v>
      </c>
      <c r="E466">
        <v>91800</v>
      </c>
      <c r="F466" t="s">
        <v>1451</v>
      </c>
    </row>
    <row r="467" spans="1:6" x14ac:dyDescent="0.35">
      <c r="A467">
        <v>20260101</v>
      </c>
      <c r="B467" t="s">
        <v>1257</v>
      </c>
      <c r="C467">
        <v>3400</v>
      </c>
      <c r="D467" t="s">
        <v>485</v>
      </c>
      <c r="E467">
        <v>-91800</v>
      </c>
      <c r="F467" t="s">
        <v>1451</v>
      </c>
    </row>
    <row r="468" spans="1:6" x14ac:dyDescent="0.35">
      <c r="A468">
        <v>20260101</v>
      </c>
      <c r="B468" t="s">
        <v>1164</v>
      </c>
      <c r="C468">
        <v>5000</v>
      </c>
      <c r="D468" t="s">
        <v>1131</v>
      </c>
      <c r="E468">
        <v>469200</v>
      </c>
      <c r="F468" t="s">
        <v>1451</v>
      </c>
    </row>
    <row r="469" spans="1:6" x14ac:dyDescent="0.35">
      <c r="A469">
        <v>20260101</v>
      </c>
      <c r="B469" t="s">
        <v>1164</v>
      </c>
      <c r="C469">
        <v>5400</v>
      </c>
      <c r="D469" t="s">
        <v>1131</v>
      </c>
      <c r="E469">
        <v>66157.2</v>
      </c>
      <c r="F469" t="s">
        <v>1451</v>
      </c>
    </row>
    <row r="470" spans="1:6" x14ac:dyDescent="0.35">
      <c r="A470">
        <v>20260101</v>
      </c>
      <c r="B470" t="s">
        <v>1164</v>
      </c>
      <c r="C470">
        <v>6300</v>
      </c>
      <c r="D470" t="s">
        <v>1131</v>
      </c>
      <c r="E470">
        <v>86700</v>
      </c>
      <c r="F470" t="s">
        <v>1451</v>
      </c>
    </row>
    <row r="471" spans="1:6" x14ac:dyDescent="0.35">
      <c r="A471">
        <v>20260101</v>
      </c>
      <c r="B471" t="s">
        <v>1164</v>
      </c>
      <c r="C471">
        <v>3900</v>
      </c>
      <c r="D471" t="s">
        <v>1131</v>
      </c>
      <c r="E471">
        <v>-663000</v>
      </c>
      <c r="F471" t="s">
        <v>1451</v>
      </c>
    </row>
    <row r="472" spans="1:6" x14ac:dyDescent="0.35">
      <c r="A472">
        <v>20260101</v>
      </c>
      <c r="B472" t="s">
        <v>1249</v>
      </c>
      <c r="C472">
        <v>5100</v>
      </c>
      <c r="D472" t="s">
        <v>485</v>
      </c>
      <c r="E472">
        <v>91800</v>
      </c>
      <c r="F472" t="s">
        <v>1451</v>
      </c>
    </row>
    <row r="473" spans="1:6" x14ac:dyDescent="0.35">
      <c r="A473">
        <v>20260101</v>
      </c>
      <c r="B473" t="s">
        <v>1249</v>
      </c>
      <c r="C473">
        <v>3400</v>
      </c>
      <c r="D473" t="s">
        <v>485</v>
      </c>
      <c r="E473">
        <v>-91800</v>
      </c>
      <c r="F473" t="s">
        <v>1451</v>
      </c>
    </row>
    <row r="474" spans="1:6" x14ac:dyDescent="0.35">
      <c r="A474">
        <v>20260101</v>
      </c>
      <c r="B474" t="s">
        <v>1169</v>
      </c>
      <c r="C474">
        <v>5000</v>
      </c>
      <c r="D474" t="s">
        <v>1131</v>
      </c>
      <c r="E474">
        <v>469200</v>
      </c>
      <c r="F474" t="s">
        <v>1451</v>
      </c>
    </row>
    <row r="475" spans="1:6" x14ac:dyDescent="0.35">
      <c r="A475">
        <v>20260101</v>
      </c>
      <c r="B475" t="s">
        <v>1169</v>
      </c>
      <c r="C475">
        <v>5400</v>
      </c>
      <c r="D475" t="s">
        <v>1131</v>
      </c>
      <c r="E475">
        <v>66157.2</v>
      </c>
      <c r="F475" t="s">
        <v>1451</v>
      </c>
    </row>
    <row r="476" spans="1:6" x14ac:dyDescent="0.35">
      <c r="A476">
        <v>20260101</v>
      </c>
      <c r="B476" t="s">
        <v>1169</v>
      </c>
      <c r="C476">
        <v>6300</v>
      </c>
      <c r="D476" t="s">
        <v>1131</v>
      </c>
      <c r="E476">
        <v>86700</v>
      </c>
      <c r="F476" t="s">
        <v>1451</v>
      </c>
    </row>
    <row r="477" spans="1:6" x14ac:dyDescent="0.35">
      <c r="A477">
        <v>20260101</v>
      </c>
      <c r="B477" t="s">
        <v>1169</v>
      </c>
      <c r="C477">
        <v>3900</v>
      </c>
      <c r="D477" t="s">
        <v>1131</v>
      </c>
      <c r="E477">
        <v>-663000</v>
      </c>
      <c r="F477" t="s">
        <v>1451</v>
      </c>
    </row>
    <row r="478" spans="1:6" x14ac:dyDescent="0.35">
      <c r="A478">
        <v>20260101</v>
      </c>
      <c r="B478" t="s">
        <v>1260</v>
      </c>
      <c r="C478">
        <v>5100</v>
      </c>
      <c r="D478" t="s">
        <v>485</v>
      </c>
      <c r="E478">
        <v>91800</v>
      </c>
      <c r="F478" t="s">
        <v>1451</v>
      </c>
    </row>
    <row r="479" spans="1:6" x14ac:dyDescent="0.35">
      <c r="A479">
        <v>20260101</v>
      </c>
      <c r="B479" t="s">
        <v>1260</v>
      </c>
      <c r="C479">
        <v>3400</v>
      </c>
      <c r="D479" t="s">
        <v>485</v>
      </c>
      <c r="E479">
        <v>-91800</v>
      </c>
      <c r="F479" t="s">
        <v>1451</v>
      </c>
    </row>
    <row r="480" spans="1:6" x14ac:dyDescent="0.35">
      <c r="A480">
        <v>20260101</v>
      </c>
      <c r="B480" t="s">
        <v>1175</v>
      </c>
      <c r="C480">
        <v>5000</v>
      </c>
      <c r="D480" t="s">
        <v>1131</v>
      </c>
      <c r="E480">
        <v>469200</v>
      </c>
      <c r="F480" t="s">
        <v>1451</v>
      </c>
    </row>
    <row r="481" spans="1:6" x14ac:dyDescent="0.35">
      <c r="A481">
        <v>20260101</v>
      </c>
      <c r="B481" t="s">
        <v>1175</v>
      </c>
      <c r="C481">
        <v>5400</v>
      </c>
      <c r="D481" t="s">
        <v>1131</v>
      </c>
      <c r="E481">
        <v>66157.2</v>
      </c>
      <c r="F481" t="s">
        <v>1451</v>
      </c>
    </row>
    <row r="482" spans="1:6" x14ac:dyDescent="0.35">
      <c r="A482">
        <v>20260101</v>
      </c>
      <c r="B482" t="s">
        <v>1175</v>
      </c>
      <c r="C482">
        <v>6300</v>
      </c>
      <c r="D482" t="s">
        <v>1131</v>
      </c>
      <c r="E482">
        <v>86700</v>
      </c>
      <c r="F482" t="s">
        <v>1451</v>
      </c>
    </row>
    <row r="483" spans="1:6" x14ac:dyDescent="0.35">
      <c r="A483">
        <v>20260101</v>
      </c>
      <c r="B483" t="s">
        <v>1175</v>
      </c>
      <c r="C483">
        <v>3900</v>
      </c>
      <c r="D483" t="s">
        <v>1131</v>
      </c>
      <c r="E483">
        <v>-663000</v>
      </c>
      <c r="F483" t="s">
        <v>1451</v>
      </c>
    </row>
    <row r="484" spans="1:6" x14ac:dyDescent="0.35">
      <c r="A484">
        <v>20260101</v>
      </c>
      <c r="B484" t="s">
        <v>1247</v>
      </c>
      <c r="C484">
        <v>5100</v>
      </c>
      <c r="D484" t="s">
        <v>485</v>
      </c>
      <c r="E484">
        <v>91800</v>
      </c>
      <c r="F484" t="s">
        <v>1451</v>
      </c>
    </row>
    <row r="485" spans="1:6" x14ac:dyDescent="0.35">
      <c r="A485">
        <v>20260101</v>
      </c>
      <c r="B485" t="s">
        <v>1247</v>
      </c>
      <c r="C485">
        <v>3400</v>
      </c>
      <c r="D485" t="s">
        <v>485</v>
      </c>
      <c r="E485">
        <v>-91800</v>
      </c>
      <c r="F485" t="s">
        <v>1451</v>
      </c>
    </row>
    <row r="486" spans="1:6" x14ac:dyDescent="0.35">
      <c r="A486">
        <v>20260101</v>
      </c>
      <c r="B486" t="s">
        <v>1130</v>
      </c>
      <c r="C486">
        <v>5000</v>
      </c>
      <c r="D486" t="s">
        <v>1131</v>
      </c>
      <c r="E486">
        <v>469200</v>
      </c>
      <c r="F486" t="s">
        <v>1451</v>
      </c>
    </row>
    <row r="487" spans="1:6" x14ac:dyDescent="0.35">
      <c r="A487">
        <v>20260101</v>
      </c>
      <c r="B487" t="s">
        <v>1130</v>
      </c>
      <c r="C487">
        <v>5400</v>
      </c>
      <c r="D487" t="s">
        <v>1131</v>
      </c>
      <c r="E487">
        <v>66157.2</v>
      </c>
      <c r="F487" t="s">
        <v>1451</v>
      </c>
    </row>
    <row r="488" spans="1:6" x14ac:dyDescent="0.35">
      <c r="A488">
        <v>20260101</v>
      </c>
      <c r="B488" t="s">
        <v>1130</v>
      </c>
      <c r="C488">
        <v>6300</v>
      </c>
      <c r="D488" t="s">
        <v>1131</v>
      </c>
      <c r="E488">
        <v>86700</v>
      </c>
      <c r="F488" t="s">
        <v>1451</v>
      </c>
    </row>
    <row r="489" spans="1:6" x14ac:dyDescent="0.35">
      <c r="A489">
        <v>20260101</v>
      </c>
      <c r="B489" t="s">
        <v>1130</v>
      </c>
      <c r="C489">
        <v>3900</v>
      </c>
      <c r="D489" t="s">
        <v>1131</v>
      </c>
      <c r="E489">
        <v>-663000</v>
      </c>
      <c r="F489" t="s">
        <v>1451</v>
      </c>
    </row>
    <row r="490" spans="1:6" x14ac:dyDescent="0.35">
      <c r="A490">
        <v>20260101</v>
      </c>
      <c r="B490" t="s">
        <v>1265</v>
      </c>
      <c r="C490">
        <v>5100</v>
      </c>
      <c r="D490" t="s">
        <v>485</v>
      </c>
      <c r="E490">
        <v>91800</v>
      </c>
      <c r="F490" t="s">
        <v>1451</v>
      </c>
    </row>
    <row r="491" spans="1:6" x14ac:dyDescent="0.35">
      <c r="A491">
        <v>20260101</v>
      </c>
      <c r="B491" t="s">
        <v>1265</v>
      </c>
      <c r="C491">
        <v>3400</v>
      </c>
      <c r="D491" t="s">
        <v>485</v>
      </c>
      <c r="E491">
        <v>-91800</v>
      </c>
      <c r="F491" t="s">
        <v>1451</v>
      </c>
    </row>
    <row r="492" spans="1:6" x14ac:dyDescent="0.35">
      <c r="A492">
        <v>20260101</v>
      </c>
      <c r="B492" t="s">
        <v>1173</v>
      </c>
      <c r="C492">
        <v>5000</v>
      </c>
      <c r="D492" t="s">
        <v>1131</v>
      </c>
      <c r="E492">
        <v>469200</v>
      </c>
      <c r="F492" t="s">
        <v>1451</v>
      </c>
    </row>
    <row r="493" spans="1:6" x14ac:dyDescent="0.35">
      <c r="A493">
        <v>20260101</v>
      </c>
      <c r="B493" t="s">
        <v>1173</v>
      </c>
      <c r="C493">
        <v>5400</v>
      </c>
      <c r="D493" t="s">
        <v>1131</v>
      </c>
      <c r="E493">
        <v>66157.2</v>
      </c>
      <c r="F493" t="s">
        <v>1451</v>
      </c>
    </row>
    <row r="494" spans="1:6" x14ac:dyDescent="0.35">
      <c r="A494">
        <v>20260101</v>
      </c>
      <c r="B494" t="s">
        <v>1173</v>
      </c>
      <c r="C494">
        <v>6300</v>
      </c>
      <c r="D494" t="s">
        <v>1131</v>
      </c>
      <c r="E494">
        <v>86700</v>
      </c>
      <c r="F494" t="s">
        <v>1451</v>
      </c>
    </row>
    <row r="495" spans="1:6" x14ac:dyDescent="0.35">
      <c r="A495">
        <v>20260101</v>
      </c>
      <c r="B495" t="s">
        <v>1173</v>
      </c>
      <c r="C495">
        <v>3900</v>
      </c>
      <c r="D495" t="s">
        <v>1131</v>
      </c>
      <c r="E495">
        <v>-663000</v>
      </c>
      <c r="F495" t="s">
        <v>1451</v>
      </c>
    </row>
    <row r="496" spans="1:6" x14ac:dyDescent="0.35">
      <c r="A496">
        <v>20260101</v>
      </c>
      <c r="B496" t="s">
        <v>1255</v>
      </c>
      <c r="C496">
        <v>5100</v>
      </c>
      <c r="D496" t="s">
        <v>485</v>
      </c>
      <c r="E496">
        <v>91800</v>
      </c>
      <c r="F496" t="s">
        <v>1451</v>
      </c>
    </row>
    <row r="497" spans="1:6" x14ac:dyDescent="0.35">
      <c r="A497">
        <v>20260101</v>
      </c>
      <c r="B497" t="s">
        <v>1255</v>
      </c>
      <c r="C497">
        <v>3400</v>
      </c>
      <c r="D497" t="s">
        <v>485</v>
      </c>
      <c r="E497">
        <v>-91800</v>
      </c>
      <c r="F497" t="s">
        <v>1451</v>
      </c>
    </row>
    <row r="498" spans="1:6" x14ac:dyDescent="0.35">
      <c r="A498">
        <v>20260101</v>
      </c>
      <c r="B498" t="s">
        <v>1155</v>
      </c>
      <c r="C498">
        <v>5000</v>
      </c>
      <c r="D498" t="s">
        <v>1131</v>
      </c>
      <c r="E498">
        <v>469200</v>
      </c>
      <c r="F498" t="s">
        <v>1451</v>
      </c>
    </row>
    <row r="499" spans="1:6" x14ac:dyDescent="0.35">
      <c r="A499">
        <v>20260101</v>
      </c>
      <c r="B499" t="s">
        <v>1155</v>
      </c>
      <c r="C499">
        <v>5400</v>
      </c>
      <c r="D499" t="s">
        <v>1131</v>
      </c>
      <c r="E499">
        <v>66157.2</v>
      </c>
      <c r="F499" t="s">
        <v>1451</v>
      </c>
    </row>
    <row r="500" spans="1:6" x14ac:dyDescent="0.35">
      <c r="A500">
        <v>20260101</v>
      </c>
      <c r="B500" t="s">
        <v>1155</v>
      </c>
      <c r="C500">
        <v>6300</v>
      </c>
      <c r="D500" t="s">
        <v>1131</v>
      </c>
      <c r="E500">
        <v>86700</v>
      </c>
      <c r="F500" t="s">
        <v>1451</v>
      </c>
    </row>
    <row r="501" spans="1:6" x14ac:dyDescent="0.35">
      <c r="A501">
        <v>20260101</v>
      </c>
      <c r="B501" t="s">
        <v>1155</v>
      </c>
      <c r="C501">
        <v>3900</v>
      </c>
      <c r="D501" t="s">
        <v>1131</v>
      </c>
      <c r="E501">
        <v>-663000</v>
      </c>
      <c r="F501" t="s">
        <v>1451</v>
      </c>
    </row>
    <row r="502" spans="1:6" x14ac:dyDescent="0.35">
      <c r="A502">
        <v>20260101</v>
      </c>
      <c r="B502" t="s">
        <v>1138</v>
      </c>
      <c r="C502">
        <v>5000</v>
      </c>
      <c r="D502" t="s">
        <v>1131</v>
      </c>
      <c r="E502">
        <v>469200</v>
      </c>
      <c r="F502" t="s">
        <v>1451</v>
      </c>
    </row>
    <row r="503" spans="1:6" x14ac:dyDescent="0.35">
      <c r="A503">
        <v>20260101</v>
      </c>
      <c r="B503" t="s">
        <v>1138</v>
      </c>
      <c r="C503">
        <v>5400</v>
      </c>
      <c r="D503" t="s">
        <v>1131</v>
      </c>
      <c r="E503">
        <v>66157.2</v>
      </c>
      <c r="F503" t="s">
        <v>1451</v>
      </c>
    </row>
    <row r="504" spans="1:6" x14ac:dyDescent="0.35">
      <c r="A504">
        <v>20260101</v>
      </c>
      <c r="B504" t="s">
        <v>1138</v>
      </c>
      <c r="C504">
        <v>6300</v>
      </c>
      <c r="D504" t="s">
        <v>1131</v>
      </c>
      <c r="E504">
        <v>86700</v>
      </c>
      <c r="F504" t="s">
        <v>1451</v>
      </c>
    </row>
    <row r="505" spans="1:6" x14ac:dyDescent="0.35">
      <c r="A505">
        <v>20260101</v>
      </c>
      <c r="B505" t="s">
        <v>1138</v>
      </c>
      <c r="C505">
        <v>3900</v>
      </c>
      <c r="D505" t="s">
        <v>1131</v>
      </c>
      <c r="E505">
        <v>-663000</v>
      </c>
      <c r="F505" t="s">
        <v>1451</v>
      </c>
    </row>
    <row r="506" spans="1:6" x14ac:dyDescent="0.35">
      <c r="A506">
        <v>20260201</v>
      </c>
      <c r="B506" t="s">
        <v>1150</v>
      </c>
      <c r="C506">
        <v>5000</v>
      </c>
      <c r="D506" t="s">
        <v>1131</v>
      </c>
      <c r="E506">
        <v>469200</v>
      </c>
      <c r="F506" t="s">
        <v>1451</v>
      </c>
    </row>
    <row r="507" spans="1:6" x14ac:dyDescent="0.35">
      <c r="A507">
        <v>20260201</v>
      </c>
      <c r="B507" t="s">
        <v>1150</v>
      </c>
      <c r="C507">
        <v>5400</v>
      </c>
      <c r="D507" t="s">
        <v>1131</v>
      </c>
      <c r="E507">
        <v>66157.2</v>
      </c>
      <c r="F507" t="s">
        <v>1451</v>
      </c>
    </row>
    <row r="508" spans="1:6" x14ac:dyDescent="0.35">
      <c r="A508">
        <v>20260201</v>
      </c>
      <c r="B508" t="s">
        <v>1150</v>
      </c>
      <c r="C508">
        <v>6300</v>
      </c>
      <c r="D508" t="s">
        <v>1131</v>
      </c>
      <c r="E508">
        <v>86700</v>
      </c>
      <c r="F508" t="s">
        <v>1451</v>
      </c>
    </row>
    <row r="509" spans="1:6" x14ac:dyDescent="0.35">
      <c r="A509">
        <v>20260201</v>
      </c>
      <c r="B509" t="s">
        <v>1150</v>
      </c>
      <c r="C509">
        <v>3900</v>
      </c>
      <c r="D509" t="s">
        <v>1131</v>
      </c>
      <c r="E509">
        <v>-663000</v>
      </c>
      <c r="F509" t="s">
        <v>1451</v>
      </c>
    </row>
    <row r="510" spans="1:6" x14ac:dyDescent="0.35">
      <c r="A510">
        <v>20260201</v>
      </c>
      <c r="B510" t="s">
        <v>1272</v>
      </c>
      <c r="C510">
        <v>5100</v>
      </c>
      <c r="D510" t="s">
        <v>485</v>
      </c>
      <c r="E510">
        <v>91800</v>
      </c>
      <c r="F510" t="s">
        <v>1451</v>
      </c>
    </row>
    <row r="511" spans="1:6" x14ac:dyDescent="0.35">
      <c r="A511">
        <v>20260201</v>
      </c>
      <c r="B511" t="s">
        <v>1272</v>
      </c>
      <c r="C511">
        <v>3400</v>
      </c>
      <c r="D511" t="s">
        <v>485</v>
      </c>
      <c r="E511">
        <v>-91800</v>
      </c>
      <c r="F511" t="s">
        <v>1451</v>
      </c>
    </row>
    <row r="512" spans="1:6" x14ac:dyDescent="0.35">
      <c r="A512">
        <v>20260201</v>
      </c>
      <c r="B512" t="s">
        <v>1158</v>
      </c>
      <c r="C512">
        <v>5000</v>
      </c>
      <c r="D512" t="s">
        <v>1131</v>
      </c>
      <c r="E512">
        <v>469200</v>
      </c>
      <c r="F512" t="s">
        <v>1451</v>
      </c>
    </row>
    <row r="513" spans="1:6" x14ac:dyDescent="0.35">
      <c r="A513">
        <v>20260201</v>
      </c>
      <c r="B513" t="s">
        <v>1158</v>
      </c>
      <c r="C513">
        <v>5400</v>
      </c>
      <c r="D513" t="s">
        <v>1131</v>
      </c>
      <c r="E513">
        <v>66157.2</v>
      </c>
      <c r="F513" t="s">
        <v>1451</v>
      </c>
    </row>
    <row r="514" spans="1:6" x14ac:dyDescent="0.35">
      <c r="A514">
        <v>20260201</v>
      </c>
      <c r="B514" t="s">
        <v>1158</v>
      </c>
      <c r="C514">
        <v>6300</v>
      </c>
      <c r="D514" t="s">
        <v>1131</v>
      </c>
      <c r="E514">
        <v>86700</v>
      </c>
      <c r="F514" t="s">
        <v>1451</v>
      </c>
    </row>
    <row r="515" spans="1:6" x14ac:dyDescent="0.35">
      <c r="A515">
        <v>20260201</v>
      </c>
      <c r="B515" t="s">
        <v>1158</v>
      </c>
      <c r="C515">
        <v>3900</v>
      </c>
      <c r="D515" t="s">
        <v>1131</v>
      </c>
      <c r="E515">
        <v>-663000</v>
      </c>
      <c r="F515" t="s">
        <v>1451</v>
      </c>
    </row>
    <row r="516" spans="1:6" x14ac:dyDescent="0.35">
      <c r="A516">
        <v>20260201</v>
      </c>
      <c r="B516" t="s">
        <v>1243</v>
      </c>
      <c r="C516">
        <v>5100</v>
      </c>
      <c r="D516" t="s">
        <v>485</v>
      </c>
      <c r="E516">
        <v>91800</v>
      </c>
      <c r="F516" t="s">
        <v>1451</v>
      </c>
    </row>
    <row r="517" spans="1:6" x14ac:dyDescent="0.35">
      <c r="A517">
        <v>20260201</v>
      </c>
      <c r="B517" t="s">
        <v>1243</v>
      </c>
      <c r="C517">
        <v>3400</v>
      </c>
      <c r="D517" t="s">
        <v>485</v>
      </c>
      <c r="E517">
        <v>-91800</v>
      </c>
      <c r="F517" t="s">
        <v>1451</v>
      </c>
    </row>
    <row r="518" spans="1:6" x14ac:dyDescent="0.35">
      <c r="A518">
        <v>20260201</v>
      </c>
      <c r="B518" t="s">
        <v>1205</v>
      </c>
      <c r="C518">
        <v>5000</v>
      </c>
      <c r="D518" t="s">
        <v>1131</v>
      </c>
      <c r="E518">
        <v>469200</v>
      </c>
      <c r="F518" t="s">
        <v>1451</v>
      </c>
    </row>
    <row r="519" spans="1:6" x14ac:dyDescent="0.35">
      <c r="A519">
        <v>20260201</v>
      </c>
      <c r="B519" t="s">
        <v>1205</v>
      </c>
      <c r="C519">
        <v>5400</v>
      </c>
      <c r="D519" t="s">
        <v>1131</v>
      </c>
      <c r="E519">
        <v>66157.2</v>
      </c>
      <c r="F519" t="s">
        <v>1451</v>
      </c>
    </row>
    <row r="520" spans="1:6" x14ac:dyDescent="0.35">
      <c r="A520">
        <v>20260201</v>
      </c>
      <c r="B520" t="s">
        <v>1205</v>
      </c>
      <c r="C520">
        <v>6300</v>
      </c>
      <c r="D520" t="s">
        <v>1131</v>
      </c>
      <c r="E520">
        <v>86700</v>
      </c>
      <c r="F520" t="s">
        <v>1451</v>
      </c>
    </row>
    <row r="521" spans="1:6" x14ac:dyDescent="0.35">
      <c r="A521">
        <v>20260201</v>
      </c>
      <c r="B521" t="s">
        <v>1205</v>
      </c>
      <c r="C521">
        <v>3900</v>
      </c>
      <c r="D521" t="s">
        <v>1131</v>
      </c>
      <c r="E521">
        <v>-663000</v>
      </c>
      <c r="F521" t="s">
        <v>1451</v>
      </c>
    </row>
    <row r="522" spans="1:6" x14ac:dyDescent="0.35">
      <c r="A522">
        <v>20260201</v>
      </c>
      <c r="B522" t="s">
        <v>1257</v>
      </c>
      <c r="C522">
        <v>5100</v>
      </c>
      <c r="D522" t="s">
        <v>485</v>
      </c>
      <c r="E522">
        <v>91800</v>
      </c>
      <c r="F522" t="s">
        <v>1451</v>
      </c>
    </row>
    <row r="523" spans="1:6" x14ac:dyDescent="0.35">
      <c r="A523">
        <v>20260201</v>
      </c>
      <c r="B523" t="s">
        <v>1257</v>
      </c>
      <c r="C523">
        <v>3400</v>
      </c>
      <c r="D523" t="s">
        <v>485</v>
      </c>
      <c r="E523">
        <v>-91800</v>
      </c>
      <c r="F523" t="s">
        <v>1451</v>
      </c>
    </row>
    <row r="524" spans="1:6" x14ac:dyDescent="0.35">
      <c r="A524">
        <v>20260201</v>
      </c>
      <c r="B524" t="s">
        <v>1164</v>
      </c>
      <c r="C524">
        <v>5000</v>
      </c>
      <c r="D524" t="s">
        <v>1131</v>
      </c>
      <c r="E524">
        <v>469200</v>
      </c>
      <c r="F524" t="s">
        <v>1451</v>
      </c>
    </row>
    <row r="525" spans="1:6" x14ac:dyDescent="0.35">
      <c r="A525">
        <v>20260201</v>
      </c>
      <c r="B525" t="s">
        <v>1164</v>
      </c>
      <c r="C525">
        <v>5400</v>
      </c>
      <c r="D525" t="s">
        <v>1131</v>
      </c>
      <c r="E525">
        <v>66157.2</v>
      </c>
      <c r="F525" t="s">
        <v>1451</v>
      </c>
    </row>
    <row r="526" spans="1:6" x14ac:dyDescent="0.35">
      <c r="A526">
        <v>20260201</v>
      </c>
      <c r="B526" t="s">
        <v>1164</v>
      </c>
      <c r="C526">
        <v>6300</v>
      </c>
      <c r="D526" t="s">
        <v>1131</v>
      </c>
      <c r="E526">
        <v>86700</v>
      </c>
      <c r="F526" t="s">
        <v>1451</v>
      </c>
    </row>
    <row r="527" spans="1:6" x14ac:dyDescent="0.35">
      <c r="A527">
        <v>20260201</v>
      </c>
      <c r="B527" t="s">
        <v>1164</v>
      </c>
      <c r="C527">
        <v>3900</v>
      </c>
      <c r="D527" t="s">
        <v>1131</v>
      </c>
      <c r="E527">
        <v>-663000</v>
      </c>
      <c r="F527" t="s">
        <v>1451</v>
      </c>
    </row>
    <row r="528" spans="1:6" x14ac:dyDescent="0.35">
      <c r="A528">
        <v>20260201</v>
      </c>
      <c r="B528" t="s">
        <v>1249</v>
      </c>
      <c r="C528">
        <v>5100</v>
      </c>
      <c r="D528" t="s">
        <v>485</v>
      </c>
      <c r="E528">
        <v>91800</v>
      </c>
      <c r="F528" t="s">
        <v>1451</v>
      </c>
    </row>
    <row r="529" spans="1:6" x14ac:dyDescent="0.35">
      <c r="A529">
        <v>20260201</v>
      </c>
      <c r="B529" t="s">
        <v>1249</v>
      </c>
      <c r="C529">
        <v>3400</v>
      </c>
      <c r="D529" t="s">
        <v>485</v>
      </c>
      <c r="E529">
        <v>-91800</v>
      </c>
      <c r="F529" t="s">
        <v>1451</v>
      </c>
    </row>
    <row r="530" spans="1:6" x14ac:dyDescent="0.35">
      <c r="A530">
        <v>20260201</v>
      </c>
      <c r="B530" t="s">
        <v>1169</v>
      </c>
      <c r="C530">
        <v>5000</v>
      </c>
      <c r="D530" t="s">
        <v>1131</v>
      </c>
      <c r="E530">
        <v>469200</v>
      </c>
      <c r="F530" t="s">
        <v>1451</v>
      </c>
    </row>
    <row r="531" spans="1:6" x14ac:dyDescent="0.35">
      <c r="A531">
        <v>20260201</v>
      </c>
      <c r="B531" t="s">
        <v>1169</v>
      </c>
      <c r="C531">
        <v>5400</v>
      </c>
      <c r="D531" t="s">
        <v>1131</v>
      </c>
      <c r="E531">
        <v>66157.2</v>
      </c>
      <c r="F531" t="s">
        <v>1451</v>
      </c>
    </row>
    <row r="532" spans="1:6" x14ac:dyDescent="0.35">
      <c r="A532">
        <v>20260201</v>
      </c>
      <c r="B532" t="s">
        <v>1169</v>
      </c>
      <c r="C532">
        <v>6300</v>
      </c>
      <c r="D532" t="s">
        <v>1131</v>
      </c>
      <c r="E532">
        <v>86700</v>
      </c>
      <c r="F532" t="s">
        <v>1451</v>
      </c>
    </row>
    <row r="533" spans="1:6" x14ac:dyDescent="0.35">
      <c r="A533">
        <v>20260201</v>
      </c>
      <c r="B533" t="s">
        <v>1169</v>
      </c>
      <c r="C533">
        <v>3900</v>
      </c>
      <c r="D533" t="s">
        <v>1131</v>
      </c>
      <c r="E533">
        <v>-663000</v>
      </c>
      <c r="F533" t="s">
        <v>1451</v>
      </c>
    </row>
    <row r="534" spans="1:6" x14ac:dyDescent="0.35">
      <c r="A534">
        <v>20260201</v>
      </c>
      <c r="B534" t="s">
        <v>1260</v>
      </c>
      <c r="C534">
        <v>5100</v>
      </c>
      <c r="D534" t="s">
        <v>485</v>
      </c>
      <c r="E534">
        <v>91800</v>
      </c>
      <c r="F534" t="s">
        <v>1451</v>
      </c>
    </row>
    <row r="535" spans="1:6" x14ac:dyDescent="0.35">
      <c r="A535">
        <v>20260201</v>
      </c>
      <c r="B535" t="s">
        <v>1260</v>
      </c>
      <c r="C535">
        <v>3400</v>
      </c>
      <c r="D535" t="s">
        <v>485</v>
      </c>
      <c r="E535">
        <v>-91800</v>
      </c>
      <c r="F535" t="s">
        <v>1451</v>
      </c>
    </row>
    <row r="536" spans="1:6" x14ac:dyDescent="0.35">
      <c r="A536">
        <v>20260201</v>
      </c>
      <c r="B536" t="s">
        <v>1175</v>
      </c>
      <c r="C536">
        <v>5000</v>
      </c>
      <c r="D536" t="s">
        <v>1131</v>
      </c>
      <c r="E536">
        <v>469200</v>
      </c>
      <c r="F536" t="s">
        <v>1451</v>
      </c>
    </row>
    <row r="537" spans="1:6" x14ac:dyDescent="0.35">
      <c r="A537">
        <v>20260201</v>
      </c>
      <c r="B537" t="s">
        <v>1175</v>
      </c>
      <c r="C537">
        <v>5400</v>
      </c>
      <c r="D537" t="s">
        <v>1131</v>
      </c>
      <c r="E537">
        <v>66157.2</v>
      </c>
      <c r="F537" t="s">
        <v>1451</v>
      </c>
    </row>
    <row r="538" spans="1:6" x14ac:dyDescent="0.35">
      <c r="A538">
        <v>20260201</v>
      </c>
      <c r="B538" t="s">
        <v>1175</v>
      </c>
      <c r="C538">
        <v>6300</v>
      </c>
      <c r="D538" t="s">
        <v>1131</v>
      </c>
      <c r="E538">
        <v>86700</v>
      </c>
      <c r="F538" t="s">
        <v>1451</v>
      </c>
    </row>
    <row r="539" spans="1:6" x14ac:dyDescent="0.35">
      <c r="A539">
        <v>20260201</v>
      </c>
      <c r="B539" t="s">
        <v>1175</v>
      </c>
      <c r="C539">
        <v>3900</v>
      </c>
      <c r="D539" t="s">
        <v>1131</v>
      </c>
      <c r="E539">
        <v>-663000</v>
      </c>
      <c r="F539" t="s">
        <v>1451</v>
      </c>
    </row>
    <row r="540" spans="1:6" x14ac:dyDescent="0.35">
      <c r="A540">
        <v>20260201</v>
      </c>
      <c r="B540" t="s">
        <v>1247</v>
      </c>
      <c r="C540">
        <v>5100</v>
      </c>
      <c r="D540" t="s">
        <v>485</v>
      </c>
      <c r="E540">
        <v>91800</v>
      </c>
      <c r="F540" t="s">
        <v>1451</v>
      </c>
    </row>
    <row r="541" spans="1:6" x14ac:dyDescent="0.35">
      <c r="A541">
        <v>20260201</v>
      </c>
      <c r="B541" t="s">
        <v>1247</v>
      </c>
      <c r="C541">
        <v>3400</v>
      </c>
      <c r="D541" t="s">
        <v>485</v>
      </c>
      <c r="E541">
        <v>-91800</v>
      </c>
      <c r="F541" t="s">
        <v>1451</v>
      </c>
    </row>
    <row r="542" spans="1:6" x14ac:dyDescent="0.35">
      <c r="A542">
        <v>20260201</v>
      </c>
      <c r="B542" t="s">
        <v>1130</v>
      </c>
      <c r="C542">
        <v>5000</v>
      </c>
      <c r="D542" t="s">
        <v>1131</v>
      </c>
      <c r="E542">
        <v>469200</v>
      </c>
      <c r="F542" t="s">
        <v>1451</v>
      </c>
    </row>
    <row r="543" spans="1:6" x14ac:dyDescent="0.35">
      <c r="A543">
        <v>20260201</v>
      </c>
      <c r="B543" t="s">
        <v>1130</v>
      </c>
      <c r="C543">
        <v>5400</v>
      </c>
      <c r="D543" t="s">
        <v>1131</v>
      </c>
      <c r="E543">
        <v>66157.2</v>
      </c>
      <c r="F543" t="s">
        <v>1451</v>
      </c>
    </row>
    <row r="544" spans="1:6" x14ac:dyDescent="0.35">
      <c r="A544">
        <v>20260201</v>
      </c>
      <c r="B544" t="s">
        <v>1130</v>
      </c>
      <c r="C544">
        <v>6300</v>
      </c>
      <c r="D544" t="s">
        <v>1131</v>
      </c>
      <c r="E544">
        <v>86700</v>
      </c>
      <c r="F544" t="s">
        <v>1451</v>
      </c>
    </row>
    <row r="545" spans="1:6" x14ac:dyDescent="0.35">
      <c r="A545">
        <v>20260201</v>
      </c>
      <c r="B545" t="s">
        <v>1130</v>
      </c>
      <c r="C545">
        <v>3900</v>
      </c>
      <c r="D545" t="s">
        <v>1131</v>
      </c>
      <c r="E545">
        <v>-663000</v>
      </c>
      <c r="F545" t="s">
        <v>1451</v>
      </c>
    </row>
    <row r="546" spans="1:6" x14ac:dyDescent="0.35">
      <c r="A546">
        <v>20260201</v>
      </c>
      <c r="B546" t="s">
        <v>1265</v>
      </c>
      <c r="C546">
        <v>5100</v>
      </c>
      <c r="D546" t="s">
        <v>485</v>
      </c>
      <c r="E546">
        <v>91800</v>
      </c>
      <c r="F546" t="s">
        <v>1451</v>
      </c>
    </row>
    <row r="547" spans="1:6" x14ac:dyDescent="0.35">
      <c r="A547">
        <v>20260201</v>
      </c>
      <c r="B547" t="s">
        <v>1265</v>
      </c>
      <c r="C547">
        <v>3400</v>
      </c>
      <c r="D547" t="s">
        <v>485</v>
      </c>
      <c r="E547">
        <v>-91800</v>
      </c>
      <c r="F547" t="s">
        <v>1451</v>
      </c>
    </row>
    <row r="548" spans="1:6" x14ac:dyDescent="0.35">
      <c r="A548">
        <v>20260201</v>
      </c>
      <c r="B548" t="s">
        <v>1173</v>
      </c>
      <c r="C548">
        <v>5000</v>
      </c>
      <c r="D548" t="s">
        <v>1131</v>
      </c>
      <c r="E548">
        <v>469200</v>
      </c>
      <c r="F548" t="s">
        <v>1451</v>
      </c>
    </row>
    <row r="549" spans="1:6" x14ac:dyDescent="0.35">
      <c r="A549">
        <v>20260201</v>
      </c>
      <c r="B549" t="s">
        <v>1173</v>
      </c>
      <c r="C549">
        <v>5400</v>
      </c>
      <c r="D549" t="s">
        <v>1131</v>
      </c>
      <c r="E549">
        <v>66157.2</v>
      </c>
      <c r="F549" t="s">
        <v>1451</v>
      </c>
    </row>
    <row r="550" spans="1:6" x14ac:dyDescent="0.35">
      <c r="A550">
        <v>20260201</v>
      </c>
      <c r="B550" t="s">
        <v>1173</v>
      </c>
      <c r="C550">
        <v>6300</v>
      </c>
      <c r="D550" t="s">
        <v>1131</v>
      </c>
      <c r="E550">
        <v>86700</v>
      </c>
      <c r="F550" t="s">
        <v>1451</v>
      </c>
    </row>
    <row r="551" spans="1:6" x14ac:dyDescent="0.35">
      <c r="A551">
        <v>20260201</v>
      </c>
      <c r="B551" t="s">
        <v>1173</v>
      </c>
      <c r="C551">
        <v>3900</v>
      </c>
      <c r="D551" t="s">
        <v>1131</v>
      </c>
      <c r="E551">
        <v>-663000</v>
      </c>
      <c r="F551" t="s">
        <v>1451</v>
      </c>
    </row>
    <row r="552" spans="1:6" x14ac:dyDescent="0.35">
      <c r="A552">
        <v>20260201</v>
      </c>
      <c r="B552" t="s">
        <v>1255</v>
      </c>
      <c r="C552">
        <v>5100</v>
      </c>
      <c r="D552" t="s">
        <v>485</v>
      </c>
      <c r="E552">
        <v>91800</v>
      </c>
      <c r="F552" t="s">
        <v>1451</v>
      </c>
    </row>
    <row r="553" spans="1:6" x14ac:dyDescent="0.35">
      <c r="A553">
        <v>20260201</v>
      </c>
      <c r="B553" t="s">
        <v>1255</v>
      </c>
      <c r="C553">
        <v>3400</v>
      </c>
      <c r="D553" t="s">
        <v>485</v>
      </c>
      <c r="E553">
        <v>-91800</v>
      </c>
      <c r="F553" t="s">
        <v>1451</v>
      </c>
    </row>
    <row r="554" spans="1:6" x14ac:dyDescent="0.35">
      <c r="A554">
        <v>20260201</v>
      </c>
      <c r="B554" t="s">
        <v>1155</v>
      </c>
      <c r="C554">
        <v>5000</v>
      </c>
      <c r="D554" t="s">
        <v>1131</v>
      </c>
      <c r="E554">
        <v>469200</v>
      </c>
      <c r="F554" t="s">
        <v>1451</v>
      </c>
    </row>
    <row r="555" spans="1:6" x14ac:dyDescent="0.35">
      <c r="A555">
        <v>20260201</v>
      </c>
      <c r="B555" t="s">
        <v>1155</v>
      </c>
      <c r="C555">
        <v>5400</v>
      </c>
      <c r="D555" t="s">
        <v>1131</v>
      </c>
      <c r="E555">
        <v>66157.2</v>
      </c>
      <c r="F555" t="s">
        <v>1451</v>
      </c>
    </row>
    <row r="556" spans="1:6" x14ac:dyDescent="0.35">
      <c r="A556">
        <v>20260201</v>
      </c>
      <c r="B556" t="s">
        <v>1155</v>
      </c>
      <c r="C556">
        <v>6300</v>
      </c>
      <c r="D556" t="s">
        <v>1131</v>
      </c>
      <c r="E556">
        <v>86700</v>
      </c>
      <c r="F556" t="s">
        <v>1451</v>
      </c>
    </row>
    <row r="557" spans="1:6" x14ac:dyDescent="0.35">
      <c r="A557">
        <v>20260201</v>
      </c>
      <c r="B557" t="s">
        <v>1155</v>
      </c>
      <c r="C557">
        <v>3900</v>
      </c>
      <c r="D557" t="s">
        <v>1131</v>
      </c>
      <c r="E557">
        <v>-663000</v>
      </c>
      <c r="F557" t="s">
        <v>1451</v>
      </c>
    </row>
    <row r="558" spans="1:6" x14ac:dyDescent="0.35">
      <c r="A558">
        <v>20260201</v>
      </c>
      <c r="B558" t="s">
        <v>1138</v>
      </c>
      <c r="C558">
        <v>5000</v>
      </c>
      <c r="D558" t="s">
        <v>1131</v>
      </c>
      <c r="E558">
        <v>469200</v>
      </c>
      <c r="F558" t="s">
        <v>1451</v>
      </c>
    </row>
    <row r="559" spans="1:6" x14ac:dyDescent="0.35">
      <c r="A559">
        <v>20260201</v>
      </c>
      <c r="B559" t="s">
        <v>1138</v>
      </c>
      <c r="C559">
        <v>5400</v>
      </c>
      <c r="D559" t="s">
        <v>1131</v>
      </c>
      <c r="E559">
        <v>66157.2</v>
      </c>
      <c r="F559" t="s">
        <v>1451</v>
      </c>
    </row>
    <row r="560" spans="1:6" x14ac:dyDescent="0.35">
      <c r="A560">
        <v>20260201</v>
      </c>
      <c r="B560" t="s">
        <v>1138</v>
      </c>
      <c r="C560">
        <v>6300</v>
      </c>
      <c r="D560" t="s">
        <v>1131</v>
      </c>
      <c r="E560">
        <v>86700</v>
      </c>
      <c r="F560" t="s">
        <v>1451</v>
      </c>
    </row>
    <row r="561" spans="1:6" x14ac:dyDescent="0.35">
      <c r="A561">
        <v>20260201</v>
      </c>
      <c r="B561" t="s">
        <v>1138</v>
      </c>
      <c r="C561">
        <v>3900</v>
      </c>
      <c r="D561" t="s">
        <v>1131</v>
      </c>
      <c r="E561">
        <v>-663000</v>
      </c>
      <c r="F561" t="s">
        <v>1451</v>
      </c>
    </row>
    <row r="562" spans="1:6" x14ac:dyDescent="0.35">
      <c r="A562">
        <v>20260301</v>
      </c>
      <c r="B562" t="s">
        <v>1150</v>
      </c>
      <c r="C562">
        <v>5000</v>
      </c>
      <c r="D562" t="s">
        <v>1131</v>
      </c>
      <c r="E562">
        <v>469200</v>
      </c>
      <c r="F562" t="s">
        <v>1451</v>
      </c>
    </row>
    <row r="563" spans="1:6" x14ac:dyDescent="0.35">
      <c r="A563">
        <v>20260301</v>
      </c>
      <c r="B563" t="s">
        <v>1150</v>
      </c>
      <c r="C563">
        <v>5400</v>
      </c>
      <c r="D563" t="s">
        <v>1131</v>
      </c>
      <c r="E563">
        <v>66157.2</v>
      </c>
      <c r="F563" t="s">
        <v>1451</v>
      </c>
    </row>
    <row r="564" spans="1:6" x14ac:dyDescent="0.35">
      <c r="A564">
        <v>20260301</v>
      </c>
      <c r="B564" t="s">
        <v>1150</v>
      </c>
      <c r="C564">
        <v>6300</v>
      </c>
      <c r="D564" t="s">
        <v>1131</v>
      </c>
      <c r="E564">
        <v>86700</v>
      </c>
      <c r="F564" t="s">
        <v>1451</v>
      </c>
    </row>
    <row r="565" spans="1:6" x14ac:dyDescent="0.35">
      <c r="A565">
        <v>20260301</v>
      </c>
      <c r="B565" t="s">
        <v>1150</v>
      </c>
      <c r="C565">
        <v>3900</v>
      </c>
      <c r="D565" t="s">
        <v>1131</v>
      </c>
      <c r="E565">
        <v>-663000</v>
      </c>
      <c r="F565" t="s">
        <v>1451</v>
      </c>
    </row>
    <row r="566" spans="1:6" x14ac:dyDescent="0.35">
      <c r="A566">
        <v>20260301</v>
      </c>
      <c r="B566" t="s">
        <v>1272</v>
      </c>
      <c r="C566">
        <v>5100</v>
      </c>
      <c r="D566" t="s">
        <v>485</v>
      </c>
      <c r="E566">
        <v>91800</v>
      </c>
      <c r="F566" t="s">
        <v>1451</v>
      </c>
    </row>
    <row r="567" spans="1:6" x14ac:dyDescent="0.35">
      <c r="A567">
        <v>20260301</v>
      </c>
      <c r="B567" t="s">
        <v>1272</v>
      </c>
      <c r="C567">
        <v>3400</v>
      </c>
      <c r="D567" t="s">
        <v>485</v>
      </c>
      <c r="E567">
        <v>-91800</v>
      </c>
      <c r="F567" t="s">
        <v>1451</v>
      </c>
    </row>
    <row r="568" spans="1:6" x14ac:dyDescent="0.35">
      <c r="A568">
        <v>20260301</v>
      </c>
      <c r="B568" t="s">
        <v>1158</v>
      </c>
      <c r="C568">
        <v>5000</v>
      </c>
      <c r="D568" t="s">
        <v>1131</v>
      </c>
      <c r="E568">
        <v>469200</v>
      </c>
      <c r="F568" t="s">
        <v>1451</v>
      </c>
    </row>
    <row r="569" spans="1:6" x14ac:dyDescent="0.35">
      <c r="A569">
        <v>20260301</v>
      </c>
      <c r="B569" t="s">
        <v>1158</v>
      </c>
      <c r="C569">
        <v>5400</v>
      </c>
      <c r="D569" t="s">
        <v>1131</v>
      </c>
      <c r="E569">
        <v>66157.2</v>
      </c>
      <c r="F569" t="s">
        <v>1451</v>
      </c>
    </row>
    <row r="570" spans="1:6" x14ac:dyDescent="0.35">
      <c r="A570">
        <v>20260301</v>
      </c>
      <c r="B570" t="s">
        <v>1158</v>
      </c>
      <c r="C570">
        <v>6300</v>
      </c>
      <c r="D570" t="s">
        <v>1131</v>
      </c>
      <c r="E570">
        <v>86700</v>
      </c>
      <c r="F570" t="s">
        <v>1451</v>
      </c>
    </row>
    <row r="571" spans="1:6" x14ac:dyDescent="0.35">
      <c r="A571">
        <v>20260301</v>
      </c>
      <c r="B571" t="s">
        <v>1158</v>
      </c>
      <c r="C571">
        <v>3900</v>
      </c>
      <c r="D571" t="s">
        <v>1131</v>
      </c>
      <c r="E571">
        <v>-663000</v>
      </c>
      <c r="F571" t="s">
        <v>1451</v>
      </c>
    </row>
    <row r="572" spans="1:6" x14ac:dyDescent="0.35">
      <c r="A572">
        <v>20260301</v>
      </c>
      <c r="B572" t="s">
        <v>1243</v>
      </c>
      <c r="C572">
        <v>5100</v>
      </c>
      <c r="D572" t="s">
        <v>485</v>
      </c>
      <c r="E572">
        <v>91800</v>
      </c>
      <c r="F572" t="s">
        <v>1451</v>
      </c>
    </row>
    <row r="573" spans="1:6" x14ac:dyDescent="0.35">
      <c r="A573">
        <v>20260301</v>
      </c>
      <c r="B573" t="s">
        <v>1243</v>
      </c>
      <c r="C573">
        <v>3400</v>
      </c>
      <c r="D573" t="s">
        <v>485</v>
      </c>
      <c r="E573">
        <v>-91800</v>
      </c>
      <c r="F573" t="s">
        <v>1451</v>
      </c>
    </row>
    <row r="574" spans="1:6" x14ac:dyDescent="0.35">
      <c r="A574">
        <v>20260301</v>
      </c>
      <c r="B574" t="s">
        <v>1205</v>
      </c>
      <c r="C574">
        <v>5000</v>
      </c>
      <c r="D574" t="s">
        <v>1131</v>
      </c>
      <c r="E574">
        <v>469200</v>
      </c>
      <c r="F574" t="s">
        <v>1451</v>
      </c>
    </row>
    <row r="575" spans="1:6" x14ac:dyDescent="0.35">
      <c r="A575">
        <v>20260301</v>
      </c>
      <c r="B575" t="s">
        <v>1205</v>
      </c>
      <c r="C575">
        <v>5400</v>
      </c>
      <c r="D575" t="s">
        <v>1131</v>
      </c>
      <c r="E575">
        <v>66157.2</v>
      </c>
      <c r="F575" t="s">
        <v>1451</v>
      </c>
    </row>
    <row r="576" spans="1:6" x14ac:dyDescent="0.35">
      <c r="A576">
        <v>20260301</v>
      </c>
      <c r="B576" t="s">
        <v>1205</v>
      </c>
      <c r="C576">
        <v>6300</v>
      </c>
      <c r="D576" t="s">
        <v>1131</v>
      </c>
      <c r="E576">
        <v>86700</v>
      </c>
      <c r="F576" t="s">
        <v>1451</v>
      </c>
    </row>
    <row r="577" spans="1:6" x14ac:dyDescent="0.35">
      <c r="A577">
        <v>20260301</v>
      </c>
      <c r="B577" t="s">
        <v>1205</v>
      </c>
      <c r="C577">
        <v>3900</v>
      </c>
      <c r="D577" t="s">
        <v>1131</v>
      </c>
      <c r="E577">
        <v>-663000</v>
      </c>
      <c r="F577" t="s">
        <v>1451</v>
      </c>
    </row>
    <row r="578" spans="1:6" x14ac:dyDescent="0.35">
      <c r="A578">
        <v>20260301</v>
      </c>
      <c r="B578" t="s">
        <v>1257</v>
      </c>
      <c r="C578">
        <v>5100</v>
      </c>
      <c r="D578" t="s">
        <v>485</v>
      </c>
      <c r="E578">
        <v>91800</v>
      </c>
      <c r="F578" t="s">
        <v>1451</v>
      </c>
    </row>
    <row r="579" spans="1:6" x14ac:dyDescent="0.35">
      <c r="A579">
        <v>20260301</v>
      </c>
      <c r="B579" t="s">
        <v>1257</v>
      </c>
      <c r="C579">
        <v>3400</v>
      </c>
      <c r="D579" t="s">
        <v>485</v>
      </c>
      <c r="E579">
        <v>-91800</v>
      </c>
      <c r="F579" t="s">
        <v>1451</v>
      </c>
    </row>
    <row r="580" spans="1:6" x14ac:dyDescent="0.35">
      <c r="A580">
        <v>20260301</v>
      </c>
      <c r="B580" t="s">
        <v>1164</v>
      </c>
      <c r="C580">
        <v>5000</v>
      </c>
      <c r="D580" t="s">
        <v>1131</v>
      </c>
      <c r="E580">
        <v>469200</v>
      </c>
      <c r="F580" t="s">
        <v>1451</v>
      </c>
    </row>
    <row r="581" spans="1:6" x14ac:dyDescent="0.35">
      <c r="A581">
        <v>20260301</v>
      </c>
      <c r="B581" t="s">
        <v>1164</v>
      </c>
      <c r="C581">
        <v>5400</v>
      </c>
      <c r="D581" t="s">
        <v>1131</v>
      </c>
      <c r="E581">
        <v>66157.2</v>
      </c>
      <c r="F581" t="s">
        <v>1451</v>
      </c>
    </row>
    <row r="582" spans="1:6" x14ac:dyDescent="0.35">
      <c r="A582">
        <v>20260301</v>
      </c>
      <c r="B582" t="s">
        <v>1164</v>
      </c>
      <c r="C582">
        <v>6300</v>
      </c>
      <c r="D582" t="s">
        <v>1131</v>
      </c>
      <c r="E582">
        <v>86700</v>
      </c>
      <c r="F582" t="s">
        <v>1451</v>
      </c>
    </row>
    <row r="583" spans="1:6" x14ac:dyDescent="0.35">
      <c r="A583">
        <v>20260301</v>
      </c>
      <c r="B583" t="s">
        <v>1164</v>
      </c>
      <c r="C583">
        <v>3900</v>
      </c>
      <c r="D583" t="s">
        <v>1131</v>
      </c>
      <c r="E583">
        <v>-663000</v>
      </c>
      <c r="F583" t="s">
        <v>1451</v>
      </c>
    </row>
    <row r="584" spans="1:6" x14ac:dyDescent="0.35">
      <c r="A584">
        <v>20260301</v>
      </c>
      <c r="B584" t="s">
        <v>1249</v>
      </c>
      <c r="C584">
        <v>5100</v>
      </c>
      <c r="D584" t="s">
        <v>485</v>
      </c>
      <c r="E584">
        <v>91800</v>
      </c>
      <c r="F584" t="s">
        <v>1451</v>
      </c>
    </row>
    <row r="585" spans="1:6" x14ac:dyDescent="0.35">
      <c r="A585">
        <v>20260301</v>
      </c>
      <c r="B585" t="s">
        <v>1249</v>
      </c>
      <c r="C585">
        <v>3400</v>
      </c>
      <c r="D585" t="s">
        <v>485</v>
      </c>
      <c r="E585">
        <v>-91800</v>
      </c>
      <c r="F585" t="s">
        <v>1451</v>
      </c>
    </row>
    <row r="586" spans="1:6" x14ac:dyDescent="0.35">
      <c r="A586">
        <v>20260301</v>
      </c>
      <c r="B586" t="s">
        <v>1169</v>
      </c>
      <c r="C586">
        <v>5000</v>
      </c>
      <c r="D586" t="s">
        <v>1131</v>
      </c>
      <c r="E586">
        <v>469200</v>
      </c>
      <c r="F586" t="s">
        <v>1451</v>
      </c>
    </row>
    <row r="587" spans="1:6" x14ac:dyDescent="0.35">
      <c r="A587">
        <v>20260301</v>
      </c>
      <c r="B587" t="s">
        <v>1169</v>
      </c>
      <c r="C587">
        <v>5400</v>
      </c>
      <c r="D587" t="s">
        <v>1131</v>
      </c>
      <c r="E587">
        <v>66157.2</v>
      </c>
      <c r="F587" t="s">
        <v>1451</v>
      </c>
    </row>
    <row r="588" spans="1:6" x14ac:dyDescent="0.35">
      <c r="A588">
        <v>20260301</v>
      </c>
      <c r="B588" t="s">
        <v>1169</v>
      </c>
      <c r="C588">
        <v>6300</v>
      </c>
      <c r="D588" t="s">
        <v>1131</v>
      </c>
      <c r="E588">
        <v>86700</v>
      </c>
      <c r="F588" t="s">
        <v>1451</v>
      </c>
    </row>
    <row r="589" spans="1:6" x14ac:dyDescent="0.35">
      <c r="A589">
        <v>20260301</v>
      </c>
      <c r="B589" t="s">
        <v>1169</v>
      </c>
      <c r="C589">
        <v>3900</v>
      </c>
      <c r="D589" t="s">
        <v>1131</v>
      </c>
      <c r="E589">
        <v>-663000</v>
      </c>
      <c r="F589" t="s">
        <v>1451</v>
      </c>
    </row>
    <row r="590" spans="1:6" x14ac:dyDescent="0.35">
      <c r="A590">
        <v>20260301</v>
      </c>
      <c r="B590" t="s">
        <v>1260</v>
      </c>
      <c r="C590">
        <v>5100</v>
      </c>
      <c r="D590" t="s">
        <v>485</v>
      </c>
      <c r="E590">
        <v>91800</v>
      </c>
      <c r="F590" t="s">
        <v>1451</v>
      </c>
    </row>
    <row r="591" spans="1:6" x14ac:dyDescent="0.35">
      <c r="A591">
        <v>20260301</v>
      </c>
      <c r="B591" t="s">
        <v>1260</v>
      </c>
      <c r="C591">
        <v>3400</v>
      </c>
      <c r="D591" t="s">
        <v>485</v>
      </c>
      <c r="E591">
        <v>-91800</v>
      </c>
      <c r="F591" t="s">
        <v>1451</v>
      </c>
    </row>
    <row r="592" spans="1:6" x14ac:dyDescent="0.35">
      <c r="A592">
        <v>20260301</v>
      </c>
      <c r="B592" t="s">
        <v>1175</v>
      </c>
      <c r="C592">
        <v>5000</v>
      </c>
      <c r="D592" t="s">
        <v>1131</v>
      </c>
      <c r="E592">
        <v>469200</v>
      </c>
      <c r="F592" t="s">
        <v>1451</v>
      </c>
    </row>
    <row r="593" spans="1:6" x14ac:dyDescent="0.35">
      <c r="A593">
        <v>20260301</v>
      </c>
      <c r="B593" t="s">
        <v>1175</v>
      </c>
      <c r="C593">
        <v>5400</v>
      </c>
      <c r="D593" t="s">
        <v>1131</v>
      </c>
      <c r="E593">
        <v>66157.2</v>
      </c>
      <c r="F593" t="s">
        <v>1451</v>
      </c>
    </row>
    <row r="594" spans="1:6" x14ac:dyDescent="0.35">
      <c r="A594">
        <v>20260301</v>
      </c>
      <c r="B594" t="s">
        <v>1175</v>
      </c>
      <c r="C594">
        <v>6300</v>
      </c>
      <c r="D594" t="s">
        <v>1131</v>
      </c>
      <c r="E594">
        <v>86700</v>
      </c>
      <c r="F594" t="s">
        <v>1451</v>
      </c>
    </row>
    <row r="595" spans="1:6" x14ac:dyDescent="0.35">
      <c r="A595">
        <v>20260301</v>
      </c>
      <c r="B595" t="s">
        <v>1175</v>
      </c>
      <c r="C595">
        <v>3900</v>
      </c>
      <c r="D595" t="s">
        <v>1131</v>
      </c>
      <c r="E595">
        <v>-663000</v>
      </c>
      <c r="F595" t="s">
        <v>1451</v>
      </c>
    </row>
    <row r="596" spans="1:6" x14ac:dyDescent="0.35">
      <c r="A596">
        <v>20260301</v>
      </c>
      <c r="B596" t="s">
        <v>1247</v>
      </c>
      <c r="C596">
        <v>5100</v>
      </c>
      <c r="D596" t="s">
        <v>485</v>
      </c>
      <c r="E596">
        <v>91800</v>
      </c>
      <c r="F596" t="s">
        <v>1451</v>
      </c>
    </row>
    <row r="597" spans="1:6" x14ac:dyDescent="0.35">
      <c r="A597">
        <v>20260301</v>
      </c>
      <c r="B597" t="s">
        <v>1247</v>
      </c>
      <c r="C597">
        <v>3400</v>
      </c>
      <c r="D597" t="s">
        <v>485</v>
      </c>
      <c r="E597">
        <v>-91800</v>
      </c>
      <c r="F597" t="s">
        <v>1451</v>
      </c>
    </row>
    <row r="598" spans="1:6" x14ac:dyDescent="0.35">
      <c r="A598">
        <v>20260301</v>
      </c>
      <c r="B598" t="s">
        <v>1130</v>
      </c>
      <c r="C598">
        <v>5000</v>
      </c>
      <c r="D598" t="s">
        <v>1131</v>
      </c>
      <c r="E598">
        <v>469200</v>
      </c>
      <c r="F598" t="s">
        <v>1451</v>
      </c>
    </row>
    <row r="599" spans="1:6" x14ac:dyDescent="0.35">
      <c r="A599">
        <v>20260301</v>
      </c>
      <c r="B599" t="s">
        <v>1130</v>
      </c>
      <c r="C599">
        <v>5400</v>
      </c>
      <c r="D599" t="s">
        <v>1131</v>
      </c>
      <c r="E599">
        <v>66157.2</v>
      </c>
      <c r="F599" t="s">
        <v>1451</v>
      </c>
    </row>
    <row r="600" spans="1:6" x14ac:dyDescent="0.35">
      <c r="A600">
        <v>20260301</v>
      </c>
      <c r="B600" t="s">
        <v>1130</v>
      </c>
      <c r="C600">
        <v>6300</v>
      </c>
      <c r="D600" t="s">
        <v>1131</v>
      </c>
      <c r="E600">
        <v>86700</v>
      </c>
      <c r="F600" t="s">
        <v>1451</v>
      </c>
    </row>
    <row r="601" spans="1:6" x14ac:dyDescent="0.35">
      <c r="A601">
        <v>20260301</v>
      </c>
      <c r="B601" t="s">
        <v>1130</v>
      </c>
      <c r="C601">
        <v>3900</v>
      </c>
      <c r="D601" t="s">
        <v>1131</v>
      </c>
      <c r="E601">
        <v>-663000</v>
      </c>
      <c r="F601" t="s">
        <v>1451</v>
      </c>
    </row>
    <row r="602" spans="1:6" x14ac:dyDescent="0.35">
      <c r="A602">
        <v>20260301</v>
      </c>
      <c r="B602" t="s">
        <v>1265</v>
      </c>
      <c r="C602">
        <v>5100</v>
      </c>
      <c r="D602" t="s">
        <v>485</v>
      </c>
      <c r="E602">
        <v>91800</v>
      </c>
      <c r="F602" t="s">
        <v>1451</v>
      </c>
    </row>
    <row r="603" spans="1:6" x14ac:dyDescent="0.35">
      <c r="A603">
        <v>20260301</v>
      </c>
      <c r="B603" t="s">
        <v>1265</v>
      </c>
      <c r="C603">
        <v>3400</v>
      </c>
      <c r="D603" t="s">
        <v>485</v>
      </c>
      <c r="E603">
        <v>-91800</v>
      </c>
      <c r="F603" t="s">
        <v>1451</v>
      </c>
    </row>
    <row r="604" spans="1:6" x14ac:dyDescent="0.35">
      <c r="A604">
        <v>20260301</v>
      </c>
      <c r="B604" t="s">
        <v>1173</v>
      </c>
      <c r="C604">
        <v>5000</v>
      </c>
      <c r="D604" t="s">
        <v>1131</v>
      </c>
      <c r="E604">
        <v>469200</v>
      </c>
      <c r="F604" t="s">
        <v>1451</v>
      </c>
    </row>
    <row r="605" spans="1:6" x14ac:dyDescent="0.35">
      <c r="A605">
        <v>20260301</v>
      </c>
      <c r="B605" t="s">
        <v>1173</v>
      </c>
      <c r="C605">
        <v>5400</v>
      </c>
      <c r="D605" t="s">
        <v>1131</v>
      </c>
      <c r="E605">
        <v>66157.2</v>
      </c>
      <c r="F605" t="s">
        <v>1451</v>
      </c>
    </row>
    <row r="606" spans="1:6" x14ac:dyDescent="0.35">
      <c r="A606">
        <v>20260301</v>
      </c>
      <c r="B606" t="s">
        <v>1173</v>
      </c>
      <c r="C606">
        <v>6300</v>
      </c>
      <c r="D606" t="s">
        <v>1131</v>
      </c>
      <c r="E606">
        <v>86700</v>
      </c>
      <c r="F606" t="s">
        <v>1451</v>
      </c>
    </row>
    <row r="607" spans="1:6" x14ac:dyDescent="0.35">
      <c r="A607">
        <v>20260301</v>
      </c>
      <c r="B607" t="s">
        <v>1173</v>
      </c>
      <c r="C607">
        <v>3900</v>
      </c>
      <c r="D607" t="s">
        <v>1131</v>
      </c>
      <c r="E607">
        <v>-663000</v>
      </c>
      <c r="F607" t="s">
        <v>1451</v>
      </c>
    </row>
    <row r="608" spans="1:6" x14ac:dyDescent="0.35">
      <c r="A608">
        <v>20260301</v>
      </c>
      <c r="B608" t="s">
        <v>1255</v>
      </c>
      <c r="C608">
        <v>5100</v>
      </c>
      <c r="D608" t="s">
        <v>485</v>
      </c>
      <c r="E608">
        <v>91800</v>
      </c>
      <c r="F608" t="s">
        <v>1451</v>
      </c>
    </row>
    <row r="609" spans="1:6" x14ac:dyDescent="0.35">
      <c r="A609">
        <v>20260301</v>
      </c>
      <c r="B609" t="s">
        <v>1255</v>
      </c>
      <c r="C609">
        <v>3400</v>
      </c>
      <c r="D609" t="s">
        <v>485</v>
      </c>
      <c r="E609">
        <v>-91800</v>
      </c>
      <c r="F609" t="s">
        <v>1451</v>
      </c>
    </row>
    <row r="610" spans="1:6" x14ac:dyDescent="0.35">
      <c r="A610">
        <v>20260301</v>
      </c>
      <c r="B610" t="s">
        <v>1155</v>
      </c>
      <c r="C610">
        <v>5000</v>
      </c>
      <c r="D610" t="s">
        <v>1131</v>
      </c>
      <c r="E610">
        <v>469200</v>
      </c>
      <c r="F610" t="s">
        <v>1451</v>
      </c>
    </row>
    <row r="611" spans="1:6" x14ac:dyDescent="0.35">
      <c r="A611">
        <v>20260301</v>
      </c>
      <c r="B611" t="s">
        <v>1155</v>
      </c>
      <c r="C611">
        <v>5400</v>
      </c>
      <c r="D611" t="s">
        <v>1131</v>
      </c>
      <c r="E611">
        <v>66157.2</v>
      </c>
      <c r="F611" t="s">
        <v>1451</v>
      </c>
    </row>
    <row r="612" spans="1:6" x14ac:dyDescent="0.35">
      <c r="A612">
        <v>20260301</v>
      </c>
      <c r="B612" t="s">
        <v>1155</v>
      </c>
      <c r="C612">
        <v>6300</v>
      </c>
      <c r="D612" t="s">
        <v>1131</v>
      </c>
      <c r="E612">
        <v>86700</v>
      </c>
      <c r="F612" t="s">
        <v>1451</v>
      </c>
    </row>
    <row r="613" spans="1:6" x14ac:dyDescent="0.35">
      <c r="A613">
        <v>20260301</v>
      </c>
      <c r="B613" t="s">
        <v>1155</v>
      </c>
      <c r="C613">
        <v>3900</v>
      </c>
      <c r="D613" t="s">
        <v>1131</v>
      </c>
      <c r="E613">
        <v>-663000</v>
      </c>
      <c r="F613" t="s">
        <v>1451</v>
      </c>
    </row>
    <row r="614" spans="1:6" x14ac:dyDescent="0.35">
      <c r="A614">
        <v>20260301</v>
      </c>
      <c r="B614" t="s">
        <v>1138</v>
      </c>
      <c r="C614">
        <v>5000</v>
      </c>
      <c r="D614" t="s">
        <v>1131</v>
      </c>
      <c r="E614">
        <v>469200</v>
      </c>
      <c r="F614" t="s">
        <v>1451</v>
      </c>
    </row>
    <row r="615" spans="1:6" x14ac:dyDescent="0.35">
      <c r="A615">
        <v>20260301</v>
      </c>
      <c r="B615" t="s">
        <v>1138</v>
      </c>
      <c r="C615">
        <v>5400</v>
      </c>
      <c r="D615" t="s">
        <v>1131</v>
      </c>
      <c r="E615">
        <v>66157.2</v>
      </c>
      <c r="F615" t="s">
        <v>1451</v>
      </c>
    </row>
    <row r="616" spans="1:6" x14ac:dyDescent="0.35">
      <c r="A616">
        <v>20260301</v>
      </c>
      <c r="B616" t="s">
        <v>1138</v>
      </c>
      <c r="C616">
        <v>6300</v>
      </c>
      <c r="D616" t="s">
        <v>1131</v>
      </c>
      <c r="E616">
        <v>86700</v>
      </c>
      <c r="F616" t="s">
        <v>1451</v>
      </c>
    </row>
    <row r="617" spans="1:6" x14ac:dyDescent="0.35">
      <c r="A617">
        <v>20260301</v>
      </c>
      <c r="B617" t="s">
        <v>1138</v>
      </c>
      <c r="C617">
        <v>3900</v>
      </c>
      <c r="D617" t="s">
        <v>1131</v>
      </c>
      <c r="E617">
        <v>-663000</v>
      </c>
      <c r="F617" t="s">
        <v>1451</v>
      </c>
    </row>
    <row r="618" spans="1:6" x14ac:dyDescent="0.35">
      <c r="A618">
        <v>20260401</v>
      </c>
      <c r="B618" t="s">
        <v>1150</v>
      </c>
      <c r="C618">
        <v>5000</v>
      </c>
      <c r="D618" t="s">
        <v>1131</v>
      </c>
      <c r="E618">
        <v>469200</v>
      </c>
      <c r="F618" t="s">
        <v>1451</v>
      </c>
    </row>
    <row r="619" spans="1:6" x14ac:dyDescent="0.35">
      <c r="A619">
        <v>20260401</v>
      </c>
      <c r="B619" t="s">
        <v>1150</v>
      </c>
      <c r="C619">
        <v>5400</v>
      </c>
      <c r="D619" t="s">
        <v>1131</v>
      </c>
      <c r="E619">
        <v>66157.2</v>
      </c>
      <c r="F619" t="s">
        <v>1451</v>
      </c>
    </row>
    <row r="620" spans="1:6" x14ac:dyDescent="0.35">
      <c r="A620">
        <v>20260401</v>
      </c>
      <c r="B620" t="s">
        <v>1150</v>
      </c>
      <c r="C620">
        <v>6300</v>
      </c>
      <c r="D620" t="s">
        <v>1131</v>
      </c>
      <c r="E620">
        <v>86700</v>
      </c>
      <c r="F620" t="s">
        <v>1451</v>
      </c>
    </row>
    <row r="621" spans="1:6" x14ac:dyDescent="0.35">
      <c r="A621">
        <v>20260401</v>
      </c>
      <c r="B621" t="s">
        <v>1150</v>
      </c>
      <c r="C621">
        <v>3900</v>
      </c>
      <c r="D621" t="s">
        <v>1131</v>
      </c>
      <c r="E621">
        <v>-663000</v>
      </c>
      <c r="F621" t="s">
        <v>1451</v>
      </c>
    </row>
    <row r="622" spans="1:6" x14ac:dyDescent="0.35">
      <c r="A622">
        <v>20260401</v>
      </c>
      <c r="B622" t="s">
        <v>1272</v>
      </c>
      <c r="C622">
        <v>5100</v>
      </c>
      <c r="D622" t="s">
        <v>485</v>
      </c>
      <c r="E622">
        <v>91800</v>
      </c>
      <c r="F622" t="s">
        <v>1451</v>
      </c>
    </row>
    <row r="623" spans="1:6" x14ac:dyDescent="0.35">
      <c r="A623">
        <v>20260401</v>
      </c>
      <c r="B623" t="s">
        <v>1272</v>
      </c>
      <c r="C623">
        <v>3400</v>
      </c>
      <c r="D623" t="s">
        <v>485</v>
      </c>
      <c r="E623">
        <v>-91800</v>
      </c>
      <c r="F623" t="s">
        <v>1451</v>
      </c>
    </row>
    <row r="624" spans="1:6" x14ac:dyDescent="0.35">
      <c r="A624">
        <v>20260401</v>
      </c>
      <c r="B624" t="s">
        <v>1158</v>
      </c>
      <c r="C624">
        <v>5000</v>
      </c>
      <c r="D624" t="s">
        <v>1131</v>
      </c>
      <c r="E624">
        <v>469200</v>
      </c>
      <c r="F624" t="s">
        <v>1451</v>
      </c>
    </row>
    <row r="625" spans="1:6" x14ac:dyDescent="0.35">
      <c r="A625">
        <v>20260401</v>
      </c>
      <c r="B625" t="s">
        <v>1158</v>
      </c>
      <c r="C625">
        <v>5400</v>
      </c>
      <c r="D625" t="s">
        <v>1131</v>
      </c>
      <c r="E625">
        <v>66157.2</v>
      </c>
      <c r="F625" t="s">
        <v>1451</v>
      </c>
    </row>
    <row r="626" spans="1:6" x14ac:dyDescent="0.35">
      <c r="A626">
        <v>20260401</v>
      </c>
      <c r="B626" t="s">
        <v>1158</v>
      </c>
      <c r="C626">
        <v>6300</v>
      </c>
      <c r="D626" t="s">
        <v>1131</v>
      </c>
      <c r="E626">
        <v>86700</v>
      </c>
      <c r="F626" t="s">
        <v>1451</v>
      </c>
    </row>
    <row r="627" spans="1:6" x14ac:dyDescent="0.35">
      <c r="A627">
        <v>20260401</v>
      </c>
      <c r="B627" t="s">
        <v>1158</v>
      </c>
      <c r="C627">
        <v>3900</v>
      </c>
      <c r="D627" t="s">
        <v>1131</v>
      </c>
      <c r="E627">
        <v>-663000</v>
      </c>
      <c r="F627" t="s">
        <v>1451</v>
      </c>
    </row>
    <row r="628" spans="1:6" x14ac:dyDescent="0.35">
      <c r="A628">
        <v>20260401</v>
      </c>
      <c r="B628" t="s">
        <v>1243</v>
      </c>
      <c r="C628">
        <v>5100</v>
      </c>
      <c r="D628" t="s">
        <v>485</v>
      </c>
      <c r="E628">
        <v>91800</v>
      </c>
      <c r="F628" t="s">
        <v>1451</v>
      </c>
    </row>
    <row r="629" spans="1:6" x14ac:dyDescent="0.35">
      <c r="A629">
        <v>20260401</v>
      </c>
      <c r="B629" t="s">
        <v>1243</v>
      </c>
      <c r="C629">
        <v>3400</v>
      </c>
      <c r="D629" t="s">
        <v>485</v>
      </c>
      <c r="E629">
        <v>-91800</v>
      </c>
      <c r="F629" t="s">
        <v>1451</v>
      </c>
    </row>
    <row r="630" spans="1:6" x14ac:dyDescent="0.35">
      <c r="A630">
        <v>20260401</v>
      </c>
      <c r="B630" t="s">
        <v>1205</v>
      </c>
      <c r="C630">
        <v>5000</v>
      </c>
      <c r="D630" t="s">
        <v>1131</v>
      </c>
      <c r="E630">
        <v>469200</v>
      </c>
      <c r="F630" t="s">
        <v>1451</v>
      </c>
    </row>
    <row r="631" spans="1:6" x14ac:dyDescent="0.35">
      <c r="A631">
        <v>20260401</v>
      </c>
      <c r="B631" t="s">
        <v>1205</v>
      </c>
      <c r="C631">
        <v>5400</v>
      </c>
      <c r="D631" t="s">
        <v>1131</v>
      </c>
      <c r="E631">
        <v>66157.2</v>
      </c>
      <c r="F631" t="s">
        <v>1451</v>
      </c>
    </row>
    <row r="632" spans="1:6" x14ac:dyDescent="0.35">
      <c r="A632">
        <v>20260401</v>
      </c>
      <c r="B632" t="s">
        <v>1205</v>
      </c>
      <c r="C632">
        <v>6300</v>
      </c>
      <c r="D632" t="s">
        <v>1131</v>
      </c>
      <c r="E632">
        <v>86700</v>
      </c>
      <c r="F632" t="s">
        <v>1451</v>
      </c>
    </row>
    <row r="633" spans="1:6" x14ac:dyDescent="0.35">
      <c r="A633">
        <v>20260401</v>
      </c>
      <c r="B633" t="s">
        <v>1205</v>
      </c>
      <c r="C633">
        <v>3900</v>
      </c>
      <c r="D633" t="s">
        <v>1131</v>
      </c>
      <c r="E633">
        <v>-663000</v>
      </c>
      <c r="F633" t="s">
        <v>1451</v>
      </c>
    </row>
    <row r="634" spans="1:6" x14ac:dyDescent="0.35">
      <c r="A634">
        <v>20260401</v>
      </c>
      <c r="B634" t="s">
        <v>1257</v>
      </c>
      <c r="C634">
        <v>5100</v>
      </c>
      <c r="D634" t="s">
        <v>485</v>
      </c>
      <c r="E634">
        <v>91800</v>
      </c>
      <c r="F634" t="s">
        <v>1451</v>
      </c>
    </row>
    <row r="635" spans="1:6" x14ac:dyDescent="0.35">
      <c r="A635">
        <v>20260401</v>
      </c>
      <c r="B635" t="s">
        <v>1257</v>
      </c>
      <c r="C635">
        <v>3400</v>
      </c>
      <c r="D635" t="s">
        <v>485</v>
      </c>
      <c r="E635">
        <v>-91800</v>
      </c>
      <c r="F635" t="s">
        <v>1451</v>
      </c>
    </row>
    <row r="636" spans="1:6" x14ac:dyDescent="0.35">
      <c r="A636">
        <v>20260401</v>
      </c>
      <c r="B636" t="s">
        <v>1164</v>
      </c>
      <c r="C636">
        <v>5000</v>
      </c>
      <c r="D636" t="s">
        <v>1131</v>
      </c>
      <c r="E636">
        <v>469200</v>
      </c>
      <c r="F636" t="s">
        <v>1451</v>
      </c>
    </row>
    <row r="637" spans="1:6" x14ac:dyDescent="0.35">
      <c r="A637">
        <v>20260401</v>
      </c>
      <c r="B637" t="s">
        <v>1164</v>
      </c>
      <c r="C637">
        <v>5400</v>
      </c>
      <c r="D637" t="s">
        <v>1131</v>
      </c>
      <c r="E637">
        <v>66157.2</v>
      </c>
      <c r="F637" t="s">
        <v>1451</v>
      </c>
    </row>
    <row r="638" spans="1:6" x14ac:dyDescent="0.35">
      <c r="A638">
        <v>20260401</v>
      </c>
      <c r="B638" t="s">
        <v>1164</v>
      </c>
      <c r="C638">
        <v>6300</v>
      </c>
      <c r="D638" t="s">
        <v>1131</v>
      </c>
      <c r="E638">
        <v>86700</v>
      </c>
      <c r="F638" t="s">
        <v>1451</v>
      </c>
    </row>
    <row r="639" spans="1:6" x14ac:dyDescent="0.35">
      <c r="A639">
        <v>20260401</v>
      </c>
      <c r="B639" t="s">
        <v>1164</v>
      </c>
      <c r="C639">
        <v>3900</v>
      </c>
      <c r="D639" t="s">
        <v>1131</v>
      </c>
      <c r="E639">
        <v>-663000</v>
      </c>
      <c r="F639" t="s">
        <v>1451</v>
      </c>
    </row>
    <row r="640" spans="1:6" x14ac:dyDescent="0.35">
      <c r="A640">
        <v>20260401</v>
      </c>
      <c r="B640" t="s">
        <v>1249</v>
      </c>
      <c r="C640">
        <v>5100</v>
      </c>
      <c r="D640" t="s">
        <v>485</v>
      </c>
      <c r="E640">
        <v>91800</v>
      </c>
      <c r="F640" t="s">
        <v>1451</v>
      </c>
    </row>
    <row r="641" spans="1:6" x14ac:dyDescent="0.35">
      <c r="A641">
        <v>20260401</v>
      </c>
      <c r="B641" t="s">
        <v>1249</v>
      </c>
      <c r="C641">
        <v>3400</v>
      </c>
      <c r="D641" t="s">
        <v>485</v>
      </c>
      <c r="E641">
        <v>-91800</v>
      </c>
      <c r="F641" t="s">
        <v>1451</v>
      </c>
    </row>
    <row r="642" spans="1:6" x14ac:dyDescent="0.35">
      <c r="A642">
        <v>20260401</v>
      </c>
      <c r="B642" t="s">
        <v>1169</v>
      </c>
      <c r="C642">
        <v>5000</v>
      </c>
      <c r="D642" t="s">
        <v>1131</v>
      </c>
      <c r="E642">
        <v>469200</v>
      </c>
      <c r="F642" t="s">
        <v>1451</v>
      </c>
    </row>
    <row r="643" spans="1:6" x14ac:dyDescent="0.35">
      <c r="A643">
        <v>20260401</v>
      </c>
      <c r="B643" t="s">
        <v>1169</v>
      </c>
      <c r="C643">
        <v>5400</v>
      </c>
      <c r="D643" t="s">
        <v>1131</v>
      </c>
      <c r="E643">
        <v>66157.2</v>
      </c>
      <c r="F643" t="s">
        <v>1451</v>
      </c>
    </row>
    <row r="644" spans="1:6" x14ac:dyDescent="0.35">
      <c r="A644">
        <v>20260401</v>
      </c>
      <c r="B644" t="s">
        <v>1169</v>
      </c>
      <c r="C644">
        <v>6300</v>
      </c>
      <c r="D644" t="s">
        <v>1131</v>
      </c>
      <c r="E644">
        <v>86700</v>
      </c>
      <c r="F644" t="s">
        <v>1451</v>
      </c>
    </row>
    <row r="645" spans="1:6" x14ac:dyDescent="0.35">
      <c r="A645">
        <v>20260401</v>
      </c>
      <c r="B645" t="s">
        <v>1169</v>
      </c>
      <c r="C645">
        <v>3900</v>
      </c>
      <c r="D645" t="s">
        <v>1131</v>
      </c>
      <c r="E645">
        <v>-663000</v>
      </c>
      <c r="F645" t="s">
        <v>1451</v>
      </c>
    </row>
    <row r="646" spans="1:6" x14ac:dyDescent="0.35">
      <c r="A646">
        <v>20260401</v>
      </c>
      <c r="B646" t="s">
        <v>1260</v>
      </c>
      <c r="C646">
        <v>5100</v>
      </c>
      <c r="D646" t="s">
        <v>485</v>
      </c>
      <c r="E646">
        <v>91800</v>
      </c>
      <c r="F646" t="s">
        <v>1451</v>
      </c>
    </row>
    <row r="647" spans="1:6" x14ac:dyDescent="0.35">
      <c r="A647">
        <v>20260401</v>
      </c>
      <c r="B647" t="s">
        <v>1260</v>
      </c>
      <c r="C647">
        <v>3400</v>
      </c>
      <c r="D647" t="s">
        <v>485</v>
      </c>
      <c r="E647">
        <v>-91800</v>
      </c>
      <c r="F647" t="s">
        <v>1451</v>
      </c>
    </row>
    <row r="648" spans="1:6" x14ac:dyDescent="0.35">
      <c r="A648">
        <v>20260401</v>
      </c>
      <c r="B648" t="s">
        <v>1175</v>
      </c>
      <c r="C648">
        <v>5000</v>
      </c>
      <c r="D648" t="s">
        <v>1131</v>
      </c>
      <c r="E648">
        <v>469200</v>
      </c>
      <c r="F648" t="s">
        <v>1451</v>
      </c>
    </row>
    <row r="649" spans="1:6" x14ac:dyDescent="0.35">
      <c r="A649">
        <v>20260401</v>
      </c>
      <c r="B649" t="s">
        <v>1175</v>
      </c>
      <c r="C649">
        <v>5400</v>
      </c>
      <c r="D649" t="s">
        <v>1131</v>
      </c>
      <c r="E649">
        <v>66157.2</v>
      </c>
      <c r="F649" t="s">
        <v>1451</v>
      </c>
    </row>
    <row r="650" spans="1:6" x14ac:dyDescent="0.35">
      <c r="A650">
        <v>20260401</v>
      </c>
      <c r="B650" t="s">
        <v>1175</v>
      </c>
      <c r="C650">
        <v>6300</v>
      </c>
      <c r="D650" t="s">
        <v>1131</v>
      </c>
      <c r="E650">
        <v>86700</v>
      </c>
      <c r="F650" t="s">
        <v>1451</v>
      </c>
    </row>
    <row r="651" spans="1:6" x14ac:dyDescent="0.35">
      <c r="A651">
        <v>20260401</v>
      </c>
      <c r="B651" t="s">
        <v>1175</v>
      </c>
      <c r="C651">
        <v>3900</v>
      </c>
      <c r="D651" t="s">
        <v>1131</v>
      </c>
      <c r="E651">
        <v>-663000</v>
      </c>
      <c r="F651" t="s">
        <v>1451</v>
      </c>
    </row>
    <row r="652" spans="1:6" x14ac:dyDescent="0.35">
      <c r="A652">
        <v>20260401</v>
      </c>
      <c r="B652" t="s">
        <v>1247</v>
      </c>
      <c r="C652">
        <v>5100</v>
      </c>
      <c r="D652" t="s">
        <v>485</v>
      </c>
      <c r="E652">
        <v>91800</v>
      </c>
      <c r="F652" t="s">
        <v>1451</v>
      </c>
    </row>
    <row r="653" spans="1:6" x14ac:dyDescent="0.35">
      <c r="A653">
        <v>20260401</v>
      </c>
      <c r="B653" t="s">
        <v>1247</v>
      </c>
      <c r="C653">
        <v>3400</v>
      </c>
      <c r="D653" t="s">
        <v>485</v>
      </c>
      <c r="E653">
        <v>-91800</v>
      </c>
      <c r="F653" t="s">
        <v>1451</v>
      </c>
    </row>
    <row r="654" spans="1:6" x14ac:dyDescent="0.35">
      <c r="A654">
        <v>20260401</v>
      </c>
      <c r="B654" t="s">
        <v>1130</v>
      </c>
      <c r="C654">
        <v>5000</v>
      </c>
      <c r="D654" t="s">
        <v>1131</v>
      </c>
      <c r="E654">
        <v>469200</v>
      </c>
      <c r="F654" t="s">
        <v>1451</v>
      </c>
    </row>
    <row r="655" spans="1:6" x14ac:dyDescent="0.35">
      <c r="A655">
        <v>20260401</v>
      </c>
      <c r="B655" t="s">
        <v>1130</v>
      </c>
      <c r="C655">
        <v>5400</v>
      </c>
      <c r="D655" t="s">
        <v>1131</v>
      </c>
      <c r="E655">
        <v>66157.2</v>
      </c>
      <c r="F655" t="s">
        <v>1451</v>
      </c>
    </row>
    <row r="656" spans="1:6" x14ac:dyDescent="0.35">
      <c r="A656">
        <v>20260401</v>
      </c>
      <c r="B656" t="s">
        <v>1130</v>
      </c>
      <c r="C656">
        <v>6300</v>
      </c>
      <c r="D656" t="s">
        <v>1131</v>
      </c>
      <c r="E656">
        <v>86700</v>
      </c>
      <c r="F656" t="s">
        <v>1451</v>
      </c>
    </row>
    <row r="657" spans="1:6" x14ac:dyDescent="0.35">
      <c r="A657">
        <v>20260401</v>
      </c>
      <c r="B657" t="s">
        <v>1130</v>
      </c>
      <c r="C657">
        <v>3900</v>
      </c>
      <c r="D657" t="s">
        <v>1131</v>
      </c>
      <c r="E657">
        <v>-663000</v>
      </c>
      <c r="F657" t="s">
        <v>1451</v>
      </c>
    </row>
    <row r="658" spans="1:6" x14ac:dyDescent="0.35">
      <c r="A658">
        <v>20260401</v>
      </c>
      <c r="B658" t="s">
        <v>1265</v>
      </c>
      <c r="C658">
        <v>5100</v>
      </c>
      <c r="D658" t="s">
        <v>485</v>
      </c>
      <c r="E658">
        <v>91800</v>
      </c>
      <c r="F658" t="s">
        <v>1451</v>
      </c>
    </row>
    <row r="659" spans="1:6" x14ac:dyDescent="0.35">
      <c r="A659">
        <v>20260401</v>
      </c>
      <c r="B659" t="s">
        <v>1265</v>
      </c>
      <c r="C659">
        <v>3400</v>
      </c>
      <c r="D659" t="s">
        <v>485</v>
      </c>
      <c r="E659">
        <v>-91800</v>
      </c>
      <c r="F659" t="s">
        <v>1451</v>
      </c>
    </row>
    <row r="660" spans="1:6" x14ac:dyDescent="0.35">
      <c r="A660">
        <v>20260401</v>
      </c>
      <c r="B660" t="s">
        <v>1173</v>
      </c>
      <c r="C660">
        <v>5000</v>
      </c>
      <c r="D660" t="s">
        <v>1131</v>
      </c>
      <c r="E660">
        <v>469200</v>
      </c>
      <c r="F660" t="s">
        <v>1451</v>
      </c>
    </row>
    <row r="661" spans="1:6" x14ac:dyDescent="0.35">
      <c r="A661">
        <v>20260401</v>
      </c>
      <c r="B661" t="s">
        <v>1173</v>
      </c>
      <c r="C661">
        <v>5400</v>
      </c>
      <c r="D661" t="s">
        <v>1131</v>
      </c>
      <c r="E661">
        <v>66157.2</v>
      </c>
      <c r="F661" t="s">
        <v>1451</v>
      </c>
    </row>
    <row r="662" spans="1:6" x14ac:dyDescent="0.35">
      <c r="A662">
        <v>20260401</v>
      </c>
      <c r="B662" t="s">
        <v>1173</v>
      </c>
      <c r="C662">
        <v>6300</v>
      </c>
      <c r="D662" t="s">
        <v>1131</v>
      </c>
      <c r="E662">
        <v>86700</v>
      </c>
      <c r="F662" t="s">
        <v>1451</v>
      </c>
    </row>
    <row r="663" spans="1:6" x14ac:dyDescent="0.35">
      <c r="A663">
        <v>20260401</v>
      </c>
      <c r="B663" t="s">
        <v>1173</v>
      </c>
      <c r="C663">
        <v>3900</v>
      </c>
      <c r="D663" t="s">
        <v>1131</v>
      </c>
      <c r="E663">
        <v>-663000</v>
      </c>
      <c r="F663" t="s">
        <v>1451</v>
      </c>
    </row>
    <row r="664" spans="1:6" x14ac:dyDescent="0.35">
      <c r="A664">
        <v>20260401</v>
      </c>
      <c r="B664" t="s">
        <v>1255</v>
      </c>
      <c r="C664">
        <v>5100</v>
      </c>
      <c r="D664" t="s">
        <v>485</v>
      </c>
      <c r="E664">
        <v>91800</v>
      </c>
      <c r="F664" t="s">
        <v>1451</v>
      </c>
    </row>
    <row r="665" spans="1:6" x14ac:dyDescent="0.35">
      <c r="A665">
        <v>20260401</v>
      </c>
      <c r="B665" t="s">
        <v>1255</v>
      </c>
      <c r="C665">
        <v>3400</v>
      </c>
      <c r="D665" t="s">
        <v>485</v>
      </c>
      <c r="E665">
        <v>-91800</v>
      </c>
      <c r="F665" t="s">
        <v>1451</v>
      </c>
    </row>
    <row r="666" spans="1:6" x14ac:dyDescent="0.35">
      <c r="A666">
        <v>20260401</v>
      </c>
      <c r="B666" t="s">
        <v>1155</v>
      </c>
      <c r="C666">
        <v>5000</v>
      </c>
      <c r="D666" t="s">
        <v>1131</v>
      </c>
      <c r="E666">
        <v>469200</v>
      </c>
      <c r="F666" t="s">
        <v>1451</v>
      </c>
    </row>
    <row r="667" spans="1:6" x14ac:dyDescent="0.35">
      <c r="A667">
        <v>20260401</v>
      </c>
      <c r="B667" t="s">
        <v>1155</v>
      </c>
      <c r="C667">
        <v>5400</v>
      </c>
      <c r="D667" t="s">
        <v>1131</v>
      </c>
      <c r="E667">
        <v>66157.2</v>
      </c>
      <c r="F667" t="s">
        <v>1451</v>
      </c>
    </row>
    <row r="668" spans="1:6" x14ac:dyDescent="0.35">
      <c r="A668">
        <v>20260401</v>
      </c>
      <c r="B668" t="s">
        <v>1155</v>
      </c>
      <c r="C668">
        <v>6300</v>
      </c>
      <c r="D668" t="s">
        <v>1131</v>
      </c>
      <c r="E668">
        <v>86700</v>
      </c>
      <c r="F668" t="s">
        <v>1451</v>
      </c>
    </row>
    <row r="669" spans="1:6" x14ac:dyDescent="0.35">
      <c r="A669">
        <v>20260401</v>
      </c>
      <c r="B669" t="s">
        <v>1155</v>
      </c>
      <c r="C669">
        <v>3900</v>
      </c>
      <c r="D669" t="s">
        <v>1131</v>
      </c>
      <c r="E669">
        <v>-663000</v>
      </c>
      <c r="F669" t="s">
        <v>1451</v>
      </c>
    </row>
    <row r="670" spans="1:6" x14ac:dyDescent="0.35">
      <c r="A670">
        <v>20260401</v>
      </c>
      <c r="B670" t="s">
        <v>1138</v>
      </c>
      <c r="C670">
        <v>5000</v>
      </c>
      <c r="D670" t="s">
        <v>1131</v>
      </c>
      <c r="E670">
        <v>469200</v>
      </c>
      <c r="F670" t="s">
        <v>1451</v>
      </c>
    </row>
    <row r="671" spans="1:6" x14ac:dyDescent="0.35">
      <c r="A671">
        <v>20260401</v>
      </c>
      <c r="B671" t="s">
        <v>1138</v>
      </c>
      <c r="C671">
        <v>5400</v>
      </c>
      <c r="D671" t="s">
        <v>1131</v>
      </c>
      <c r="E671">
        <v>66157.2</v>
      </c>
      <c r="F671" t="s">
        <v>1451</v>
      </c>
    </row>
    <row r="672" spans="1:6" x14ac:dyDescent="0.35">
      <c r="A672">
        <v>20260401</v>
      </c>
      <c r="B672" t="s">
        <v>1138</v>
      </c>
      <c r="C672">
        <v>6300</v>
      </c>
      <c r="D672" t="s">
        <v>1131</v>
      </c>
      <c r="E672">
        <v>86700</v>
      </c>
      <c r="F672" t="s">
        <v>1451</v>
      </c>
    </row>
    <row r="673" spans="1:6" x14ac:dyDescent="0.35">
      <c r="A673">
        <v>20260401</v>
      </c>
      <c r="B673" t="s">
        <v>1138</v>
      </c>
      <c r="C673">
        <v>3900</v>
      </c>
      <c r="D673" t="s">
        <v>1131</v>
      </c>
      <c r="E673">
        <v>-663000</v>
      </c>
      <c r="F673" t="s">
        <v>1451</v>
      </c>
    </row>
    <row r="674" spans="1:6" x14ac:dyDescent="0.35">
      <c r="A674">
        <v>20260501</v>
      </c>
      <c r="B674" t="s">
        <v>1150</v>
      </c>
      <c r="C674">
        <v>5000</v>
      </c>
      <c r="D674" t="s">
        <v>1131</v>
      </c>
      <c r="E674">
        <v>469200</v>
      </c>
      <c r="F674" t="s">
        <v>1451</v>
      </c>
    </row>
    <row r="675" spans="1:6" x14ac:dyDescent="0.35">
      <c r="A675">
        <v>20260501</v>
      </c>
      <c r="B675" t="s">
        <v>1150</v>
      </c>
      <c r="C675">
        <v>5400</v>
      </c>
      <c r="D675" t="s">
        <v>1131</v>
      </c>
      <c r="E675">
        <v>66157.2</v>
      </c>
      <c r="F675" t="s">
        <v>1451</v>
      </c>
    </row>
    <row r="676" spans="1:6" x14ac:dyDescent="0.35">
      <c r="A676">
        <v>20260501</v>
      </c>
      <c r="B676" t="s">
        <v>1150</v>
      </c>
      <c r="C676">
        <v>6300</v>
      </c>
      <c r="D676" t="s">
        <v>1131</v>
      </c>
      <c r="E676">
        <v>86700</v>
      </c>
      <c r="F676" t="s">
        <v>1451</v>
      </c>
    </row>
    <row r="677" spans="1:6" x14ac:dyDescent="0.35">
      <c r="A677">
        <v>20260501</v>
      </c>
      <c r="B677" t="s">
        <v>1150</v>
      </c>
      <c r="C677">
        <v>3900</v>
      </c>
      <c r="D677" t="s">
        <v>1131</v>
      </c>
      <c r="E677">
        <v>-663000</v>
      </c>
      <c r="F677" t="s">
        <v>1451</v>
      </c>
    </row>
    <row r="678" spans="1:6" x14ac:dyDescent="0.35">
      <c r="A678">
        <v>20260501</v>
      </c>
      <c r="B678" t="s">
        <v>1272</v>
      </c>
      <c r="C678">
        <v>5100</v>
      </c>
      <c r="D678" t="s">
        <v>485</v>
      </c>
      <c r="E678">
        <v>91800</v>
      </c>
      <c r="F678" t="s">
        <v>1451</v>
      </c>
    </row>
    <row r="679" spans="1:6" x14ac:dyDescent="0.35">
      <c r="A679">
        <v>20260501</v>
      </c>
      <c r="B679" t="s">
        <v>1272</v>
      </c>
      <c r="C679">
        <v>3400</v>
      </c>
      <c r="D679" t="s">
        <v>485</v>
      </c>
      <c r="E679">
        <v>-91800</v>
      </c>
      <c r="F679" t="s">
        <v>1451</v>
      </c>
    </row>
    <row r="680" spans="1:6" x14ac:dyDescent="0.35">
      <c r="A680">
        <v>20260501</v>
      </c>
      <c r="B680" t="s">
        <v>1158</v>
      </c>
      <c r="C680">
        <v>5000</v>
      </c>
      <c r="D680" t="s">
        <v>1131</v>
      </c>
      <c r="E680">
        <v>469200</v>
      </c>
      <c r="F680" t="s">
        <v>1451</v>
      </c>
    </row>
    <row r="681" spans="1:6" x14ac:dyDescent="0.35">
      <c r="A681">
        <v>20260501</v>
      </c>
      <c r="B681" t="s">
        <v>1158</v>
      </c>
      <c r="C681">
        <v>5400</v>
      </c>
      <c r="D681" t="s">
        <v>1131</v>
      </c>
      <c r="E681">
        <v>66157.2</v>
      </c>
      <c r="F681" t="s">
        <v>1451</v>
      </c>
    </row>
    <row r="682" spans="1:6" x14ac:dyDescent="0.35">
      <c r="A682">
        <v>20260501</v>
      </c>
      <c r="B682" t="s">
        <v>1158</v>
      </c>
      <c r="C682">
        <v>6300</v>
      </c>
      <c r="D682" t="s">
        <v>1131</v>
      </c>
      <c r="E682">
        <v>86700</v>
      </c>
      <c r="F682" t="s">
        <v>1451</v>
      </c>
    </row>
    <row r="683" spans="1:6" x14ac:dyDescent="0.35">
      <c r="A683">
        <v>20260501</v>
      </c>
      <c r="B683" t="s">
        <v>1158</v>
      </c>
      <c r="C683">
        <v>3900</v>
      </c>
      <c r="D683" t="s">
        <v>1131</v>
      </c>
      <c r="E683">
        <v>-663000</v>
      </c>
      <c r="F683" t="s">
        <v>1451</v>
      </c>
    </row>
    <row r="684" spans="1:6" x14ac:dyDescent="0.35">
      <c r="A684">
        <v>20260501</v>
      </c>
      <c r="B684" t="s">
        <v>1243</v>
      </c>
      <c r="C684">
        <v>5100</v>
      </c>
      <c r="D684" t="s">
        <v>485</v>
      </c>
      <c r="E684">
        <v>91800</v>
      </c>
      <c r="F684" t="s">
        <v>1451</v>
      </c>
    </row>
    <row r="685" spans="1:6" x14ac:dyDescent="0.35">
      <c r="A685">
        <v>20260501</v>
      </c>
      <c r="B685" t="s">
        <v>1243</v>
      </c>
      <c r="C685">
        <v>3400</v>
      </c>
      <c r="D685" t="s">
        <v>485</v>
      </c>
      <c r="E685">
        <v>-91800</v>
      </c>
      <c r="F685" t="s">
        <v>1451</v>
      </c>
    </row>
    <row r="686" spans="1:6" x14ac:dyDescent="0.35">
      <c r="A686">
        <v>20260501</v>
      </c>
      <c r="B686" t="s">
        <v>1205</v>
      </c>
      <c r="C686">
        <v>5000</v>
      </c>
      <c r="D686" t="s">
        <v>1131</v>
      </c>
      <c r="E686">
        <v>469200</v>
      </c>
      <c r="F686" t="s">
        <v>1451</v>
      </c>
    </row>
    <row r="687" spans="1:6" x14ac:dyDescent="0.35">
      <c r="A687">
        <v>20260501</v>
      </c>
      <c r="B687" t="s">
        <v>1205</v>
      </c>
      <c r="C687">
        <v>5400</v>
      </c>
      <c r="D687" t="s">
        <v>1131</v>
      </c>
      <c r="E687">
        <v>66157.2</v>
      </c>
      <c r="F687" t="s">
        <v>1451</v>
      </c>
    </row>
    <row r="688" spans="1:6" x14ac:dyDescent="0.35">
      <c r="A688">
        <v>20260501</v>
      </c>
      <c r="B688" t="s">
        <v>1205</v>
      </c>
      <c r="C688">
        <v>6300</v>
      </c>
      <c r="D688" t="s">
        <v>1131</v>
      </c>
      <c r="E688">
        <v>86700</v>
      </c>
      <c r="F688" t="s">
        <v>1451</v>
      </c>
    </row>
    <row r="689" spans="1:6" x14ac:dyDescent="0.35">
      <c r="A689">
        <v>20260501</v>
      </c>
      <c r="B689" t="s">
        <v>1205</v>
      </c>
      <c r="C689">
        <v>3900</v>
      </c>
      <c r="D689" t="s">
        <v>1131</v>
      </c>
      <c r="E689">
        <v>-663000</v>
      </c>
      <c r="F689" t="s">
        <v>1451</v>
      </c>
    </row>
    <row r="690" spans="1:6" x14ac:dyDescent="0.35">
      <c r="A690">
        <v>20260501</v>
      </c>
      <c r="B690" t="s">
        <v>1257</v>
      </c>
      <c r="C690">
        <v>5100</v>
      </c>
      <c r="D690" t="s">
        <v>485</v>
      </c>
      <c r="E690">
        <v>91800</v>
      </c>
      <c r="F690" t="s">
        <v>1451</v>
      </c>
    </row>
    <row r="691" spans="1:6" x14ac:dyDescent="0.35">
      <c r="A691">
        <v>20260501</v>
      </c>
      <c r="B691" t="s">
        <v>1257</v>
      </c>
      <c r="C691">
        <v>3400</v>
      </c>
      <c r="D691" t="s">
        <v>485</v>
      </c>
      <c r="E691">
        <v>-91800</v>
      </c>
      <c r="F691" t="s">
        <v>1451</v>
      </c>
    </row>
    <row r="692" spans="1:6" x14ac:dyDescent="0.35">
      <c r="A692">
        <v>20260501</v>
      </c>
      <c r="B692" t="s">
        <v>1164</v>
      </c>
      <c r="C692">
        <v>5000</v>
      </c>
      <c r="D692" t="s">
        <v>1131</v>
      </c>
      <c r="E692">
        <v>469200</v>
      </c>
      <c r="F692" t="s">
        <v>1451</v>
      </c>
    </row>
    <row r="693" spans="1:6" x14ac:dyDescent="0.35">
      <c r="A693">
        <v>20260501</v>
      </c>
      <c r="B693" t="s">
        <v>1164</v>
      </c>
      <c r="C693">
        <v>5400</v>
      </c>
      <c r="D693" t="s">
        <v>1131</v>
      </c>
      <c r="E693">
        <v>66157.2</v>
      </c>
      <c r="F693" t="s">
        <v>1451</v>
      </c>
    </row>
    <row r="694" spans="1:6" x14ac:dyDescent="0.35">
      <c r="A694">
        <v>20260501</v>
      </c>
      <c r="B694" t="s">
        <v>1164</v>
      </c>
      <c r="C694">
        <v>6300</v>
      </c>
      <c r="D694" t="s">
        <v>1131</v>
      </c>
      <c r="E694">
        <v>86700</v>
      </c>
      <c r="F694" t="s">
        <v>1451</v>
      </c>
    </row>
    <row r="695" spans="1:6" x14ac:dyDescent="0.35">
      <c r="A695">
        <v>20260501</v>
      </c>
      <c r="B695" t="s">
        <v>1164</v>
      </c>
      <c r="C695">
        <v>3900</v>
      </c>
      <c r="D695" t="s">
        <v>1131</v>
      </c>
      <c r="E695">
        <v>-663000</v>
      </c>
      <c r="F695" t="s">
        <v>1451</v>
      </c>
    </row>
    <row r="696" spans="1:6" x14ac:dyDescent="0.35">
      <c r="A696">
        <v>20260501</v>
      </c>
      <c r="B696" t="s">
        <v>1249</v>
      </c>
      <c r="C696">
        <v>5100</v>
      </c>
      <c r="D696" t="s">
        <v>485</v>
      </c>
      <c r="E696">
        <v>91800</v>
      </c>
      <c r="F696" t="s">
        <v>1451</v>
      </c>
    </row>
    <row r="697" spans="1:6" x14ac:dyDescent="0.35">
      <c r="A697">
        <v>20260501</v>
      </c>
      <c r="B697" t="s">
        <v>1249</v>
      </c>
      <c r="C697">
        <v>3400</v>
      </c>
      <c r="D697" t="s">
        <v>485</v>
      </c>
      <c r="E697">
        <v>-91800</v>
      </c>
      <c r="F697" t="s">
        <v>1451</v>
      </c>
    </row>
    <row r="698" spans="1:6" x14ac:dyDescent="0.35">
      <c r="A698">
        <v>20260501</v>
      </c>
      <c r="B698" t="s">
        <v>1169</v>
      </c>
      <c r="C698">
        <v>5000</v>
      </c>
      <c r="D698" t="s">
        <v>1131</v>
      </c>
      <c r="E698">
        <v>469200</v>
      </c>
      <c r="F698" t="s">
        <v>1451</v>
      </c>
    </row>
    <row r="699" spans="1:6" x14ac:dyDescent="0.35">
      <c r="A699">
        <v>20260501</v>
      </c>
      <c r="B699" t="s">
        <v>1169</v>
      </c>
      <c r="C699">
        <v>5400</v>
      </c>
      <c r="D699" t="s">
        <v>1131</v>
      </c>
      <c r="E699">
        <v>66157.2</v>
      </c>
      <c r="F699" t="s">
        <v>1451</v>
      </c>
    </row>
    <row r="700" spans="1:6" x14ac:dyDescent="0.35">
      <c r="A700">
        <v>20260501</v>
      </c>
      <c r="B700" t="s">
        <v>1169</v>
      </c>
      <c r="C700">
        <v>6300</v>
      </c>
      <c r="D700" t="s">
        <v>1131</v>
      </c>
      <c r="E700">
        <v>86700</v>
      </c>
      <c r="F700" t="s">
        <v>1451</v>
      </c>
    </row>
    <row r="701" spans="1:6" x14ac:dyDescent="0.35">
      <c r="A701">
        <v>20260501</v>
      </c>
      <c r="B701" t="s">
        <v>1169</v>
      </c>
      <c r="C701">
        <v>3900</v>
      </c>
      <c r="D701" t="s">
        <v>1131</v>
      </c>
      <c r="E701">
        <v>-663000</v>
      </c>
      <c r="F701" t="s">
        <v>1451</v>
      </c>
    </row>
    <row r="702" spans="1:6" x14ac:dyDescent="0.35">
      <c r="A702">
        <v>20260501</v>
      </c>
      <c r="B702" t="s">
        <v>1260</v>
      </c>
      <c r="C702">
        <v>5100</v>
      </c>
      <c r="D702" t="s">
        <v>485</v>
      </c>
      <c r="E702">
        <v>91800</v>
      </c>
      <c r="F702" t="s">
        <v>1451</v>
      </c>
    </row>
    <row r="703" spans="1:6" x14ac:dyDescent="0.35">
      <c r="A703">
        <v>20260501</v>
      </c>
      <c r="B703" t="s">
        <v>1260</v>
      </c>
      <c r="C703">
        <v>3400</v>
      </c>
      <c r="D703" t="s">
        <v>485</v>
      </c>
      <c r="E703">
        <v>-91800</v>
      </c>
      <c r="F703" t="s">
        <v>1451</v>
      </c>
    </row>
    <row r="704" spans="1:6" x14ac:dyDescent="0.35">
      <c r="A704">
        <v>20260501</v>
      </c>
      <c r="B704" t="s">
        <v>1175</v>
      </c>
      <c r="C704">
        <v>5000</v>
      </c>
      <c r="D704" t="s">
        <v>1131</v>
      </c>
      <c r="E704">
        <v>469200</v>
      </c>
      <c r="F704" t="s">
        <v>1451</v>
      </c>
    </row>
    <row r="705" spans="1:6" x14ac:dyDescent="0.35">
      <c r="A705">
        <v>20260501</v>
      </c>
      <c r="B705" t="s">
        <v>1175</v>
      </c>
      <c r="C705">
        <v>5400</v>
      </c>
      <c r="D705" t="s">
        <v>1131</v>
      </c>
      <c r="E705">
        <v>66157.2</v>
      </c>
      <c r="F705" t="s">
        <v>1451</v>
      </c>
    </row>
    <row r="706" spans="1:6" x14ac:dyDescent="0.35">
      <c r="A706">
        <v>20260501</v>
      </c>
      <c r="B706" t="s">
        <v>1175</v>
      </c>
      <c r="C706">
        <v>6300</v>
      </c>
      <c r="D706" t="s">
        <v>1131</v>
      </c>
      <c r="E706">
        <v>86700</v>
      </c>
      <c r="F706" t="s">
        <v>1451</v>
      </c>
    </row>
    <row r="707" spans="1:6" x14ac:dyDescent="0.35">
      <c r="A707">
        <v>20260501</v>
      </c>
      <c r="B707" t="s">
        <v>1175</v>
      </c>
      <c r="C707">
        <v>3900</v>
      </c>
      <c r="D707" t="s">
        <v>1131</v>
      </c>
      <c r="E707">
        <v>-663000</v>
      </c>
      <c r="F707" t="s">
        <v>1451</v>
      </c>
    </row>
    <row r="708" spans="1:6" x14ac:dyDescent="0.35">
      <c r="A708">
        <v>20260501</v>
      </c>
      <c r="B708" t="s">
        <v>1247</v>
      </c>
      <c r="C708">
        <v>5100</v>
      </c>
      <c r="D708" t="s">
        <v>485</v>
      </c>
      <c r="E708">
        <v>91800</v>
      </c>
      <c r="F708" t="s">
        <v>1451</v>
      </c>
    </row>
    <row r="709" spans="1:6" x14ac:dyDescent="0.35">
      <c r="A709">
        <v>20260501</v>
      </c>
      <c r="B709" t="s">
        <v>1247</v>
      </c>
      <c r="C709">
        <v>3400</v>
      </c>
      <c r="D709" t="s">
        <v>485</v>
      </c>
      <c r="E709">
        <v>-91800</v>
      </c>
      <c r="F709" t="s">
        <v>1451</v>
      </c>
    </row>
    <row r="710" spans="1:6" x14ac:dyDescent="0.35">
      <c r="A710">
        <v>20260501</v>
      </c>
      <c r="B710" t="s">
        <v>1130</v>
      </c>
      <c r="C710">
        <v>5000</v>
      </c>
      <c r="D710" t="s">
        <v>1131</v>
      </c>
      <c r="E710">
        <v>469200</v>
      </c>
      <c r="F710" t="s">
        <v>1451</v>
      </c>
    </row>
    <row r="711" spans="1:6" x14ac:dyDescent="0.35">
      <c r="A711">
        <v>20260501</v>
      </c>
      <c r="B711" t="s">
        <v>1130</v>
      </c>
      <c r="C711">
        <v>5400</v>
      </c>
      <c r="D711" t="s">
        <v>1131</v>
      </c>
      <c r="E711">
        <v>66157.2</v>
      </c>
      <c r="F711" t="s">
        <v>1451</v>
      </c>
    </row>
    <row r="712" spans="1:6" x14ac:dyDescent="0.35">
      <c r="A712">
        <v>20260501</v>
      </c>
      <c r="B712" t="s">
        <v>1130</v>
      </c>
      <c r="C712">
        <v>6300</v>
      </c>
      <c r="D712" t="s">
        <v>1131</v>
      </c>
      <c r="E712">
        <v>86700</v>
      </c>
      <c r="F712" t="s">
        <v>1451</v>
      </c>
    </row>
    <row r="713" spans="1:6" x14ac:dyDescent="0.35">
      <c r="A713">
        <v>20260501</v>
      </c>
      <c r="B713" t="s">
        <v>1130</v>
      </c>
      <c r="C713">
        <v>3900</v>
      </c>
      <c r="D713" t="s">
        <v>1131</v>
      </c>
      <c r="E713">
        <v>-663000</v>
      </c>
      <c r="F713" t="s">
        <v>1451</v>
      </c>
    </row>
    <row r="714" spans="1:6" x14ac:dyDescent="0.35">
      <c r="A714">
        <v>20260501</v>
      </c>
      <c r="B714" t="s">
        <v>1265</v>
      </c>
      <c r="C714">
        <v>5100</v>
      </c>
      <c r="D714" t="s">
        <v>485</v>
      </c>
      <c r="E714">
        <v>91800</v>
      </c>
      <c r="F714" t="s">
        <v>1451</v>
      </c>
    </row>
    <row r="715" spans="1:6" x14ac:dyDescent="0.35">
      <c r="A715">
        <v>20260501</v>
      </c>
      <c r="B715" t="s">
        <v>1265</v>
      </c>
      <c r="C715">
        <v>3400</v>
      </c>
      <c r="D715" t="s">
        <v>485</v>
      </c>
      <c r="E715">
        <v>-91800</v>
      </c>
      <c r="F715" t="s">
        <v>1451</v>
      </c>
    </row>
    <row r="716" spans="1:6" x14ac:dyDescent="0.35">
      <c r="A716">
        <v>20260501</v>
      </c>
      <c r="B716" t="s">
        <v>1173</v>
      </c>
      <c r="C716">
        <v>5000</v>
      </c>
      <c r="D716" t="s">
        <v>1131</v>
      </c>
      <c r="E716">
        <v>469200</v>
      </c>
      <c r="F716" t="s">
        <v>1451</v>
      </c>
    </row>
    <row r="717" spans="1:6" x14ac:dyDescent="0.35">
      <c r="A717">
        <v>20260501</v>
      </c>
      <c r="B717" t="s">
        <v>1173</v>
      </c>
      <c r="C717">
        <v>5400</v>
      </c>
      <c r="D717" t="s">
        <v>1131</v>
      </c>
      <c r="E717">
        <v>66157.2</v>
      </c>
      <c r="F717" t="s">
        <v>1451</v>
      </c>
    </row>
    <row r="718" spans="1:6" x14ac:dyDescent="0.35">
      <c r="A718">
        <v>20260501</v>
      </c>
      <c r="B718" t="s">
        <v>1173</v>
      </c>
      <c r="C718">
        <v>6300</v>
      </c>
      <c r="D718" t="s">
        <v>1131</v>
      </c>
      <c r="E718">
        <v>86700</v>
      </c>
      <c r="F718" t="s">
        <v>1451</v>
      </c>
    </row>
    <row r="719" spans="1:6" x14ac:dyDescent="0.35">
      <c r="A719">
        <v>20260501</v>
      </c>
      <c r="B719" t="s">
        <v>1173</v>
      </c>
      <c r="C719">
        <v>3900</v>
      </c>
      <c r="D719" t="s">
        <v>1131</v>
      </c>
      <c r="E719">
        <v>-663000</v>
      </c>
      <c r="F719" t="s">
        <v>1451</v>
      </c>
    </row>
    <row r="720" spans="1:6" x14ac:dyDescent="0.35">
      <c r="A720">
        <v>20260501</v>
      </c>
      <c r="B720" t="s">
        <v>1255</v>
      </c>
      <c r="C720">
        <v>5100</v>
      </c>
      <c r="D720" t="s">
        <v>485</v>
      </c>
      <c r="E720">
        <v>91800</v>
      </c>
      <c r="F720" t="s">
        <v>1451</v>
      </c>
    </row>
    <row r="721" spans="1:6" x14ac:dyDescent="0.35">
      <c r="A721">
        <v>20260501</v>
      </c>
      <c r="B721" t="s">
        <v>1255</v>
      </c>
      <c r="C721">
        <v>3400</v>
      </c>
      <c r="D721" t="s">
        <v>485</v>
      </c>
      <c r="E721">
        <v>-91800</v>
      </c>
      <c r="F721" t="s">
        <v>1451</v>
      </c>
    </row>
    <row r="722" spans="1:6" x14ac:dyDescent="0.35">
      <c r="A722">
        <v>20260501</v>
      </c>
      <c r="B722" t="s">
        <v>1155</v>
      </c>
      <c r="C722">
        <v>5000</v>
      </c>
      <c r="D722" t="s">
        <v>1131</v>
      </c>
      <c r="E722">
        <v>469200</v>
      </c>
      <c r="F722" t="s">
        <v>1451</v>
      </c>
    </row>
    <row r="723" spans="1:6" x14ac:dyDescent="0.35">
      <c r="A723">
        <v>20260501</v>
      </c>
      <c r="B723" t="s">
        <v>1155</v>
      </c>
      <c r="C723">
        <v>5400</v>
      </c>
      <c r="D723" t="s">
        <v>1131</v>
      </c>
      <c r="E723">
        <v>66157.2</v>
      </c>
      <c r="F723" t="s">
        <v>1451</v>
      </c>
    </row>
    <row r="724" spans="1:6" x14ac:dyDescent="0.35">
      <c r="A724">
        <v>20260501</v>
      </c>
      <c r="B724" t="s">
        <v>1155</v>
      </c>
      <c r="C724">
        <v>6300</v>
      </c>
      <c r="D724" t="s">
        <v>1131</v>
      </c>
      <c r="E724">
        <v>86700</v>
      </c>
      <c r="F724" t="s">
        <v>1451</v>
      </c>
    </row>
    <row r="725" spans="1:6" x14ac:dyDescent="0.35">
      <c r="A725">
        <v>20260501</v>
      </c>
      <c r="B725" t="s">
        <v>1155</v>
      </c>
      <c r="C725">
        <v>3900</v>
      </c>
      <c r="D725" t="s">
        <v>1131</v>
      </c>
      <c r="E725">
        <v>-663000</v>
      </c>
      <c r="F725" t="s">
        <v>1451</v>
      </c>
    </row>
    <row r="726" spans="1:6" x14ac:dyDescent="0.35">
      <c r="A726">
        <v>20260501</v>
      </c>
      <c r="B726" t="s">
        <v>1138</v>
      </c>
      <c r="C726">
        <v>5000</v>
      </c>
      <c r="D726" t="s">
        <v>1131</v>
      </c>
      <c r="E726">
        <v>469200</v>
      </c>
      <c r="F726" t="s">
        <v>1451</v>
      </c>
    </row>
    <row r="727" spans="1:6" x14ac:dyDescent="0.35">
      <c r="A727">
        <v>20260501</v>
      </c>
      <c r="B727" t="s">
        <v>1138</v>
      </c>
      <c r="C727">
        <v>5400</v>
      </c>
      <c r="D727" t="s">
        <v>1131</v>
      </c>
      <c r="E727">
        <v>66157.2</v>
      </c>
      <c r="F727" t="s">
        <v>1451</v>
      </c>
    </row>
    <row r="728" spans="1:6" x14ac:dyDescent="0.35">
      <c r="A728">
        <v>20260501</v>
      </c>
      <c r="B728" t="s">
        <v>1138</v>
      </c>
      <c r="C728">
        <v>6300</v>
      </c>
      <c r="D728" t="s">
        <v>1131</v>
      </c>
      <c r="E728">
        <v>86700</v>
      </c>
      <c r="F728" t="s">
        <v>1451</v>
      </c>
    </row>
    <row r="729" spans="1:6" x14ac:dyDescent="0.35">
      <c r="A729">
        <v>20260501</v>
      </c>
      <c r="B729" t="s">
        <v>1138</v>
      </c>
      <c r="C729">
        <v>3900</v>
      </c>
      <c r="D729" t="s">
        <v>1131</v>
      </c>
      <c r="E729">
        <v>-663000</v>
      </c>
      <c r="F729" t="s">
        <v>1451</v>
      </c>
    </row>
    <row r="730" spans="1:6" x14ac:dyDescent="0.35">
      <c r="A730">
        <v>20260601</v>
      </c>
      <c r="B730" t="s">
        <v>1150</v>
      </c>
      <c r="C730">
        <v>5000</v>
      </c>
      <c r="D730" t="s">
        <v>1131</v>
      </c>
      <c r="E730">
        <v>469200</v>
      </c>
      <c r="F730" t="s">
        <v>1451</v>
      </c>
    </row>
    <row r="731" spans="1:6" x14ac:dyDescent="0.35">
      <c r="A731">
        <v>20260601</v>
      </c>
      <c r="B731" t="s">
        <v>1150</v>
      </c>
      <c r="C731">
        <v>5400</v>
      </c>
      <c r="D731" t="s">
        <v>1131</v>
      </c>
      <c r="E731">
        <v>66157.2</v>
      </c>
      <c r="F731" t="s">
        <v>1451</v>
      </c>
    </row>
    <row r="732" spans="1:6" x14ac:dyDescent="0.35">
      <c r="A732">
        <v>20260601</v>
      </c>
      <c r="B732" t="s">
        <v>1150</v>
      </c>
      <c r="C732">
        <v>6300</v>
      </c>
      <c r="D732" t="s">
        <v>1131</v>
      </c>
      <c r="E732">
        <v>86700</v>
      </c>
      <c r="F732" t="s">
        <v>1451</v>
      </c>
    </row>
    <row r="733" spans="1:6" x14ac:dyDescent="0.35">
      <c r="A733">
        <v>20260601</v>
      </c>
      <c r="B733" t="s">
        <v>1150</v>
      </c>
      <c r="C733">
        <v>3900</v>
      </c>
      <c r="D733" t="s">
        <v>1131</v>
      </c>
      <c r="E733">
        <v>-663000</v>
      </c>
      <c r="F733" t="s">
        <v>1451</v>
      </c>
    </row>
    <row r="734" spans="1:6" x14ac:dyDescent="0.35">
      <c r="A734">
        <v>20260601</v>
      </c>
      <c r="B734" t="s">
        <v>1272</v>
      </c>
      <c r="C734">
        <v>5100</v>
      </c>
      <c r="D734" t="s">
        <v>485</v>
      </c>
      <c r="E734">
        <v>91800</v>
      </c>
      <c r="F734" t="s">
        <v>1451</v>
      </c>
    </row>
    <row r="735" spans="1:6" x14ac:dyDescent="0.35">
      <c r="A735">
        <v>20260601</v>
      </c>
      <c r="B735" t="s">
        <v>1272</v>
      </c>
      <c r="C735">
        <v>3400</v>
      </c>
      <c r="D735" t="s">
        <v>485</v>
      </c>
      <c r="E735">
        <v>-91800</v>
      </c>
      <c r="F735" t="s">
        <v>1451</v>
      </c>
    </row>
    <row r="736" spans="1:6" x14ac:dyDescent="0.35">
      <c r="A736">
        <v>20260601</v>
      </c>
      <c r="B736" t="s">
        <v>1158</v>
      </c>
      <c r="C736">
        <v>5000</v>
      </c>
      <c r="D736" t="s">
        <v>1131</v>
      </c>
      <c r="E736">
        <v>469200</v>
      </c>
      <c r="F736" t="s">
        <v>1451</v>
      </c>
    </row>
    <row r="737" spans="1:6" x14ac:dyDescent="0.35">
      <c r="A737">
        <v>20260601</v>
      </c>
      <c r="B737" t="s">
        <v>1158</v>
      </c>
      <c r="C737">
        <v>5400</v>
      </c>
      <c r="D737" t="s">
        <v>1131</v>
      </c>
      <c r="E737">
        <v>66157.2</v>
      </c>
      <c r="F737" t="s">
        <v>1451</v>
      </c>
    </row>
    <row r="738" spans="1:6" x14ac:dyDescent="0.35">
      <c r="A738">
        <v>20260601</v>
      </c>
      <c r="B738" t="s">
        <v>1158</v>
      </c>
      <c r="C738">
        <v>6300</v>
      </c>
      <c r="D738" t="s">
        <v>1131</v>
      </c>
      <c r="E738">
        <v>86700</v>
      </c>
      <c r="F738" t="s">
        <v>1451</v>
      </c>
    </row>
    <row r="739" spans="1:6" x14ac:dyDescent="0.35">
      <c r="A739">
        <v>20260601</v>
      </c>
      <c r="B739" t="s">
        <v>1158</v>
      </c>
      <c r="C739">
        <v>3900</v>
      </c>
      <c r="D739" t="s">
        <v>1131</v>
      </c>
      <c r="E739">
        <v>-663000</v>
      </c>
      <c r="F739" t="s">
        <v>1451</v>
      </c>
    </row>
    <row r="740" spans="1:6" x14ac:dyDescent="0.35">
      <c r="A740">
        <v>20260601</v>
      </c>
      <c r="B740" t="s">
        <v>1243</v>
      </c>
      <c r="C740">
        <v>5100</v>
      </c>
      <c r="D740" t="s">
        <v>485</v>
      </c>
      <c r="E740">
        <v>91800</v>
      </c>
      <c r="F740" t="s">
        <v>1451</v>
      </c>
    </row>
    <row r="741" spans="1:6" x14ac:dyDescent="0.35">
      <c r="A741">
        <v>20260601</v>
      </c>
      <c r="B741" t="s">
        <v>1243</v>
      </c>
      <c r="C741">
        <v>3400</v>
      </c>
      <c r="D741" t="s">
        <v>485</v>
      </c>
      <c r="E741">
        <v>-91800</v>
      </c>
      <c r="F741" t="s">
        <v>1451</v>
      </c>
    </row>
    <row r="742" spans="1:6" x14ac:dyDescent="0.35">
      <c r="A742">
        <v>20260601</v>
      </c>
      <c r="B742" t="s">
        <v>1205</v>
      </c>
      <c r="C742">
        <v>5000</v>
      </c>
      <c r="D742" t="s">
        <v>1131</v>
      </c>
      <c r="E742">
        <v>469200</v>
      </c>
      <c r="F742" t="s">
        <v>1451</v>
      </c>
    </row>
    <row r="743" spans="1:6" x14ac:dyDescent="0.35">
      <c r="A743">
        <v>20260601</v>
      </c>
      <c r="B743" t="s">
        <v>1205</v>
      </c>
      <c r="C743">
        <v>5400</v>
      </c>
      <c r="D743" t="s">
        <v>1131</v>
      </c>
      <c r="E743">
        <v>66157.2</v>
      </c>
      <c r="F743" t="s">
        <v>1451</v>
      </c>
    </row>
    <row r="744" spans="1:6" x14ac:dyDescent="0.35">
      <c r="A744">
        <v>20260601</v>
      </c>
      <c r="B744" t="s">
        <v>1205</v>
      </c>
      <c r="C744">
        <v>6300</v>
      </c>
      <c r="D744" t="s">
        <v>1131</v>
      </c>
      <c r="E744">
        <v>86700</v>
      </c>
      <c r="F744" t="s">
        <v>1451</v>
      </c>
    </row>
    <row r="745" spans="1:6" x14ac:dyDescent="0.35">
      <c r="A745">
        <v>20260601</v>
      </c>
      <c r="B745" t="s">
        <v>1205</v>
      </c>
      <c r="C745">
        <v>3900</v>
      </c>
      <c r="D745" t="s">
        <v>1131</v>
      </c>
      <c r="E745">
        <v>-663000</v>
      </c>
      <c r="F745" t="s">
        <v>1451</v>
      </c>
    </row>
    <row r="746" spans="1:6" x14ac:dyDescent="0.35">
      <c r="A746">
        <v>20260601</v>
      </c>
      <c r="B746" t="s">
        <v>1257</v>
      </c>
      <c r="C746">
        <v>5100</v>
      </c>
      <c r="D746" t="s">
        <v>485</v>
      </c>
      <c r="E746">
        <v>91800</v>
      </c>
      <c r="F746" t="s">
        <v>1451</v>
      </c>
    </row>
    <row r="747" spans="1:6" x14ac:dyDescent="0.35">
      <c r="A747">
        <v>20260601</v>
      </c>
      <c r="B747" t="s">
        <v>1257</v>
      </c>
      <c r="C747">
        <v>3400</v>
      </c>
      <c r="D747" t="s">
        <v>485</v>
      </c>
      <c r="E747">
        <v>-91800</v>
      </c>
      <c r="F747" t="s">
        <v>1451</v>
      </c>
    </row>
    <row r="748" spans="1:6" x14ac:dyDescent="0.35">
      <c r="A748">
        <v>20260601</v>
      </c>
      <c r="B748" t="s">
        <v>1164</v>
      </c>
      <c r="C748">
        <v>5000</v>
      </c>
      <c r="D748" t="s">
        <v>1131</v>
      </c>
      <c r="E748">
        <v>469200</v>
      </c>
      <c r="F748" t="s">
        <v>1451</v>
      </c>
    </row>
    <row r="749" spans="1:6" x14ac:dyDescent="0.35">
      <c r="A749">
        <v>20260601</v>
      </c>
      <c r="B749" t="s">
        <v>1164</v>
      </c>
      <c r="C749">
        <v>5400</v>
      </c>
      <c r="D749" t="s">
        <v>1131</v>
      </c>
      <c r="E749">
        <v>66157.2</v>
      </c>
      <c r="F749" t="s">
        <v>1451</v>
      </c>
    </row>
    <row r="750" spans="1:6" x14ac:dyDescent="0.35">
      <c r="A750">
        <v>20260601</v>
      </c>
      <c r="B750" t="s">
        <v>1164</v>
      </c>
      <c r="C750">
        <v>6300</v>
      </c>
      <c r="D750" t="s">
        <v>1131</v>
      </c>
      <c r="E750">
        <v>86700</v>
      </c>
      <c r="F750" t="s">
        <v>1451</v>
      </c>
    </row>
    <row r="751" spans="1:6" x14ac:dyDescent="0.35">
      <c r="A751">
        <v>20260601</v>
      </c>
      <c r="B751" t="s">
        <v>1164</v>
      </c>
      <c r="C751">
        <v>3900</v>
      </c>
      <c r="D751" t="s">
        <v>1131</v>
      </c>
      <c r="E751">
        <v>-663000</v>
      </c>
      <c r="F751" t="s">
        <v>1451</v>
      </c>
    </row>
    <row r="752" spans="1:6" x14ac:dyDescent="0.35">
      <c r="A752">
        <v>20260601</v>
      </c>
      <c r="B752" t="s">
        <v>1249</v>
      </c>
      <c r="C752">
        <v>5100</v>
      </c>
      <c r="D752" t="s">
        <v>485</v>
      </c>
      <c r="E752">
        <v>91800</v>
      </c>
      <c r="F752" t="s">
        <v>1451</v>
      </c>
    </row>
    <row r="753" spans="1:6" x14ac:dyDescent="0.35">
      <c r="A753">
        <v>20260601</v>
      </c>
      <c r="B753" t="s">
        <v>1249</v>
      </c>
      <c r="C753">
        <v>3400</v>
      </c>
      <c r="D753" t="s">
        <v>485</v>
      </c>
      <c r="E753">
        <v>-91800</v>
      </c>
      <c r="F753" t="s">
        <v>1451</v>
      </c>
    </row>
    <row r="754" spans="1:6" x14ac:dyDescent="0.35">
      <c r="A754">
        <v>20260601</v>
      </c>
      <c r="B754" t="s">
        <v>1169</v>
      </c>
      <c r="C754">
        <v>5000</v>
      </c>
      <c r="D754" t="s">
        <v>1131</v>
      </c>
      <c r="E754">
        <v>469200</v>
      </c>
      <c r="F754" t="s">
        <v>1451</v>
      </c>
    </row>
    <row r="755" spans="1:6" x14ac:dyDescent="0.35">
      <c r="A755">
        <v>20260601</v>
      </c>
      <c r="B755" t="s">
        <v>1169</v>
      </c>
      <c r="C755">
        <v>5400</v>
      </c>
      <c r="D755" t="s">
        <v>1131</v>
      </c>
      <c r="E755">
        <v>66157.2</v>
      </c>
      <c r="F755" t="s">
        <v>1451</v>
      </c>
    </row>
    <row r="756" spans="1:6" x14ac:dyDescent="0.35">
      <c r="A756">
        <v>20260601</v>
      </c>
      <c r="B756" t="s">
        <v>1169</v>
      </c>
      <c r="C756">
        <v>6300</v>
      </c>
      <c r="D756" t="s">
        <v>1131</v>
      </c>
      <c r="E756">
        <v>86700</v>
      </c>
      <c r="F756" t="s">
        <v>1451</v>
      </c>
    </row>
    <row r="757" spans="1:6" x14ac:dyDescent="0.35">
      <c r="A757">
        <v>20260601</v>
      </c>
      <c r="B757" t="s">
        <v>1169</v>
      </c>
      <c r="C757">
        <v>3900</v>
      </c>
      <c r="D757" t="s">
        <v>1131</v>
      </c>
      <c r="E757">
        <v>-663000</v>
      </c>
      <c r="F757" t="s">
        <v>1451</v>
      </c>
    </row>
    <row r="758" spans="1:6" x14ac:dyDescent="0.35">
      <c r="A758">
        <v>20260601</v>
      </c>
      <c r="B758" t="s">
        <v>1260</v>
      </c>
      <c r="C758">
        <v>5100</v>
      </c>
      <c r="D758" t="s">
        <v>485</v>
      </c>
      <c r="E758">
        <v>91800</v>
      </c>
      <c r="F758" t="s">
        <v>1451</v>
      </c>
    </row>
    <row r="759" spans="1:6" x14ac:dyDescent="0.35">
      <c r="A759">
        <v>20260601</v>
      </c>
      <c r="B759" t="s">
        <v>1260</v>
      </c>
      <c r="C759">
        <v>3400</v>
      </c>
      <c r="D759" t="s">
        <v>485</v>
      </c>
      <c r="E759">
        <v>-91800</v>
      </c>
      <c r="F759" t="s">
        <v>1451</v>
      </c>
    </row>
    <row r="760" spans="1:6" x14ac:dyDescent="0.35">
      <c r="A760">
        <v>20260601</v>
      </c>
      <c r="B760" t="s">
        <v>1175</v>
      </c>
      <c r="C760">
        <v>5000</v>
      </c>
      <c r="D760" t="s">
        <v>1131</v>
      </c>
      <c r="E760">
        <v>469200</v>
      </c>
      <c r="F760" t="s">
        <v>1451</v>
      </c>
    </row>
    <row r="761" spans="1:6" x14ac:dyDescent="0.35">
      <c r="A761">
        <v>20260601</v>
      </c>
      <c r="B761" t="s">
        <v>1175</v>
      </c>
      <c r="C761">
        <v>5400</v>
      </c>
      <c r="D761" t="s">
        <v>1131</v>
      </c>
      <c r="E761">
        <v>66157.2</v>
      </c>
      <c r="F761" t="s">
        <v>1451</v>
      </c>
    </row>
    <row r="762" spans="1:6" x14ac:dyDescent="0.35">
      <c r="A762">
        <v>20260601</v>
      </c>
      <c r="B762" t="s">
        <v>1175</v>
      </c>
      <c r="C762">
        <v>6300</v>
      </c>
      <c r="D762" t="s">
        <v>1131</v>
      </c>
      <c r="E762">
        <v>86700</v>
      </c>
      <c r="F762" t="s">
        <v>1451</v>
      </c>
    </row>
    <row r="763" spans="1:6" x14ac:dyDescent="0.35">
      <c r="A763">
        <v>20260601</v>
      </c>
      <c r="B763" t="s">
        <v>1175</v>
      </c>
      <c r="C763">
        <v>3900</v>
      </c>
      <c r="D763" t="s">
        <v>1131</v>
      </c>
      <c r="E763">
        <v>-663000</v>
      </c>
      <c r="F763" t="s">
        <v>1451</v>
      </c>
    </row>
    <row r="764" spans="1:6" x14ac:dyDescent="0.35">
      <c r="A764">
        <v>20260601</v>
      </c>
      <c r="B764" t="s">
        <v>1247</v>
      </c>
      <c r="C764">
        <v>5100</v>
      </c>
      <c r="D764" t="s">
        <v>485</v>
      </c>
      <c r="E764">
        <v>91800</v>
      </c>
      <c r="F764" t="s">
        <v>1451</v>
      </c>
    </row>
    <row r="765" spans="1:6" x14ac:dyDescent="0.35">
      <c r="A765">
        <v>20260601</v>
      </c>
      <c r="B765" t="s">
        <v>1247</v>
      </c>
      <c r="C765">
        <v>3400</v>
      </c>
      <c r="D765" t="s">
        <v>485</v>
      </c>
      <c r="E765">
        <v>-91800</v>
      </c>
      <c r="F765" t="s">
        <v>1451</v>
      </c>
    </row>
    <row r="766" spans="1:6" x14ac:dyDescent="0.35">
      <c r="A766">
        <v>20260601</v>
      </c>
      <c r="B766" t="s">
        <v>1130</v>
      </c>
      <c r="C766">
        <v>5000</v>
      </c>
      <c r="D766" t="s">
        <v>1131</v>
      </c>
      <c r="E766">
        <v>469200</v>
      </c>
      <c r="F766" t="s">
        <v>1451</v>
      </c>
    </row>
    <row r="767" spans="1:6" x14ac:dyDescent="0.35">
      <c r="A767">
        <v>20260601</v>
      </c>
      <c r="B767" t="s">
        <v>1130</v>
      </c>
      <c r="C767">
        <v>5400</v>
      </c>
      <c r="D767" t="s">
        <v>1131</v>
      </c>
      <c r="E767">
        <v>66157.2</v>
      </c>
      <c r="F767" t="s">
        <v>1451</v>
      </c>
    </row>
    <row r="768" spans="1:6" x14ac:dyDescent="0.35">
      <c r="A768">
        <v>20260601</v>
      </c>
      <c r="B768" t="s">
        <v>1130</v>
      </c>
      <c r="C768">
        <v>6300</v>
      </c>
      <c r="D768" t="s">
        <v>1131</v>
      </c>
      <c r="E768">
        <v>86700</v>
      </c>
      <c r="F768" t="s">
        <v>1451</v>
      </c>
    </row>
    <row r="769" spans="1:6" x14ac:dyDescent="0.35">
      <c r="A769">
        <v>20260601</v>
      </c>
      <c r="B769" t="s">
        <v>1130</v>
      </c>
      <c r="C769">
        <v>3900</v>
      </c>
      <c r="D769" t="s">
        <v>1131</v>
      </c>
      <c r="E769">
        <v>-663000</v>
      </c>
      <c r="F769" t="s">
        <v>1451</v>
      </c>
    </row>
    <row r="770" spans="1:6" x14ac:dyDescent="0.35">
      <c r="A770">
        <v>20260601</v>
      </c>
      <c r="B770" t="s">
        <v>1265</v>
      </c>
      <c r="C770">
        <v>5100</v>
      </c>
      <c r="D770" t="s">
        <v>485</v>
      </c>
      <c r="E770">
        <v>91800</v>
      </c>
      <c r="F770" t="s">
        <v>1451</v>
      </c>
    </row>
    <row r="771" spans="1:6" x14ac:dyDescent="0.35">
      <c r="A771">
        <v>20260601</v>
      </c>
      <c r="B771" t="s">
        <v>1265</v>
      </c>
      <c r="C771">
        <v>3400</v>
      </c>
      <c r="D771" t="s">
        <v>485</v>
      </c>
      <c r="E771">
        <v>-91800</v>
      </c>
      <c r="F771" t="s">
        <v>1451</v>
      </c>
    </row>
    <row r="772" spans="1:6" x14ac:dyDescent="0.35">
      <c r="A772">
        <v>20260601</v>
      </c>
      <c r="B772" t="s">
        <v>1173</v>
      </c>
      <c r="C772">
        <v>5000</v>
      </c>
      <c r="D772" t="s">
        <v>1131</v>
      </c>
      <c r="E772">
        <v>469200</v>
      </c>
      <c r="F772" t="s">
        <v>1451</v>
      </c>
    </row>
    <row r="773" spans="1:6" x14ac:dyDescent="0.35">
      <c r="A773">
        <v>20260601</v>
      </c>
      <c r="B773" t="s">
        <v>1173</v>
      </c>
      <c r="C773">
        <v>5400</v>
      </c>
      <c r="D773" t="s">
        <v>1131</v>
      </c>
      <c r="E773">
        <v>66157.2</v>
      </c>
      <c r="F773" t="s">
        <v>1451</v>
      </c>
    </row>
    <row r="774" spans="1:6" x14ac:dyDescent="0.35">
      <c r="A774">
        <v>20260601</v>
      </c>
      <c r="B774" t="s">
        <v>1173</v>
      </c>
      <c r="C774">
        <v>6300</v>
      </c>
      <c r="D774" t="s">
        <v>1131</v>
      </c>
      <c r="E774">
        <v>86700</v>
      </c>
      <c r="F774" t="s">
        <v>1451</v>
      </c>
    </row>
    <row r="775" spans="1:6" x14ac:dyDescent="0.35">
      <c r="A775">
        <v>20260601</v>
      </c>
      <c r="B775" t="s">
        <v>1173</v>
      </c>
      <c r="C775">
        <v>3900</v>
      </c>
      <c r="D775" t="s">
        <v>1131</v>
      </c>
      <c r="E775">
        <v>-663000</v>
      </c>
      <c r="F775" t="s">
        <v>1451</v>
      </c>
    </row>
    <row r="776" spans="1:6" x14ac:dyDescent="0.35">
      <c r="A776">
        <v>20260601</v>
      </c>
      <c r="B776" t="s">
        <v>1255</v>
      </c>
      <c r="C776">
        <v>5100</v>
      </c>
      <c r="D776" t="s">
        <v>485</v>
      </c>
      <c r="E776">
        <v>91800</v>
      </c>
      <c r="F776" t="s">
        <v>1451</v>
      </c>
    </row>
    <row r="777" spans="1:6" x14ac:dyDescent="0.35">
      <c r="A777">
        <v>20260601</v>
      </c>
      <c r="B777" t="s">
        <v>1255</v>
      </c>
      <c r="C777">
        <v>3400</v>
      </c>
      <c r="D777" t="s">
        <v>485</v>
      </c>
      <c r="E777">
        <v>-91800</v>
      </c>
      <c r="F777" t="s">
        <v>1451</v>
      </c>
    </row>
    <row r="778" spans="1:6" x14ac:dyDescent="0.35">
      <c r="A778">
        <v>20260601</v>
      </c>
      <c r="B778" t="s">
        <v>1155</v>
      </c>
      <c r="C778">
        <v>5000</v>
      </c>
      <c r="D778" t="s">
        <v>1131</v>
      </c>
      <c r="E778">
        <v>469200</v>
      </c>
      <c r="F778" t="s">
        <v>1451</v>
      </c>
    </row>
    <row r="779" spans="1:6" x14ac:dyDescent="0.35">
      <c r="A779">
        <v>20260601</v>
      </c>
      <c r="B779" t="s">
        <v>1155</v>
      </c>
      <c r="C779">
        <v>5400</v>
      </c>
      <c r="D779" t="s">
        <v>1131</v>
      </c>
      <c r="E779">
        <v>66157.2</v>
      </c>
      <c r="F779" t="s">
        <v>1451</v>
      </c>
    </row>
    <row r="780" spans="1:6" x14ac:dyDescent="0.35">
      <c r="A780">
        <v>20260601</v>
      </c>
      <c r="B780" t="s">
        <v>1155</v>
      </c>
      <c r="C780">
        <v>6300</v>
      </c>
      <c r="D780" t="s">
        <v>1131</v>
      </c>
      <c r="E780">
        <v>86700</v>
      </c>
      <c r="F780" t="s">
        <v>1451</v>
      </c>
    </row>
    <row r="781" spans="1:6" x14ac:dyDescent="0.35">
      <c r="A781">
        <v>20260601</v>
      </c>
      <c r="B781" t="s">
        <v>1155</v>
      </c>
      <c r="C781">
        <v>3900</v>
      </c>
      <c r="D781" t="s">
        <v>1131</v>
      </c>
      <c r="E781">
        <v>-663000</v>
      </c>
      <c r="F781" t="s">
        <v>1451</v>
      </c>
    </row>
    <row r="782" spans="1:6" x14ac:dyDescent="0.35">
      <c r="A782">
        <v>20260601</v>
      </c>
      <c r="B782" t="s">
        <v>1138</v>
      </c>
      <c r="C782">
        <v>5000</v>
      </c>
      <c r="D782" t="s">
        <v>1131</v>
      </c>
      <c r="E782">
        <v>469200</v>
      </c>
      <c r="F782" t="s">
        <v>1451</v>
      </c>
    </row>
    <row r="783" spans="1:6" x14ac:dyDescent="0.35">
      <c r="A783">
        <v>20260601</v>
      </c>
      <c r="B783" t="s">
        <v>1138</v>
      </c>
      <c r="C783">
        <v>5400</v>
      </c>
      <c r="D783" t="s">
        <v>1131</v>
      </c>
      <c r="E783">
        <v>66157.2</v>
      </c>
      <c r="F783" t="s">
        <v>1451</v>
      </c>
    </row>
    <row r="784" spans="1:6" x14ac:dyDescent="0.35">
      <c r="A784">
        <v>20260601</v>
      </c>
      <c r="B784" t="s">
        <v>1138</v>
      </c>
      <c r="C784">
        <v>6300</v>
      </c>
      <c r="D784" t="s">
        <v>1131</v>
      </c>
      <c r="E784">
        <v>86700</v>
      </c>
      <c r="F784" t="s">
        <v>1451</v>
      </c>
    </row>
    <row r="785" spans="1:6" x14ac:dyDescent="0.35">
      <c r="A785">
        <v>20260601</v>
      </c>
      <c r="B785" t="s">
        <v>1138</v>
      </c>
      <c r="C785">
        <v>3900</v>
      </c>
      <c r="D785" t="s">
        <v>1131</v>
      </c>
      <c r="E785">
        <v>-663000</v>
      </c>
      <c r="F785" t="s">
        <v>1451</v>
      </c>
    </row>
    <row r="786" spans="1:6" x14ac:dyDescent="0.35">
      <c r="A786">
        <v>20260701</v>
      </c>
      <c r="B786" t="s">
        <v>1150</v>
      </c>
      <c r="C786">
        <v>5000</v>
      </c>
      <c r="D786" t="s">
        <v>1131</v>
      </c>
      <c r="E786">
        <v>469200</v>
      </c>
      <c r="F786" t="s">
        <v>1451</v>
      </c>
    </row>
    <row r="787" spans="1:6" x14ac:dyDescent="0.35">
      <c r="A787">
        <v>20260701</v>
      </c>
      <c r="B787" t="s">
        <v>1150</v>
      </c>
      <c r="C787">
        <v>5400</v>
      </c>
      <c r="D787" t="s">
        <v>1131</v>
      </c>
      <c r="E787">
        <v>66157.2</v>
      </c>
      <c r="F787" t="s">
        <v>1451</v>
      </c>
    </row>
    <row r="788" spans="1:6" x14ac:dyDescent="0.35">
      <c r="A788">
        <v>20260701</v>
      </c>
      <c r="B788" t="s">
        <v>1150</v>
      </c>
      <c r="C788">
        <v>6300</v>
      </c>
      <c r="D788" t="s">
        <v>1131</v>
      </c>
      <c r="E788">
        <v>86700</v>
      </c>
      <c r="F788" t="s">
        <v>1451</v>
      </c>
    </row>
    <row r="789" spans="1:6" x14ac:dyDescent="0.35">
      <c r="A789">
        <v>20260701</v>
      </c>
      <c r="B789" t="s">
        <v>1150</v>
      </c>
      <c r="C789">
        <v>3900</v>
      </c>
      <c r="D789" t="s">
        <v>1131</v>
      </c>
      <c r="E789">
        <v>-663000</v>
      </c>
      <c r="F789" t="s">
        <v>1451</v>
      </c>
    </row>
    <row r="790" spans="1:6" x14ac:dyDescent="0.35">
      <c r="A790">
        <v>20260701</v>
      </c>
      <c r="B790" t="s">
        <v>1272</v>
      </c>
      <c r="C790">
        <v>5100</v>
      </c>
      <c r="D790" t="s">
        <v>485</v>
      </c>
      <c r="E790">
        <v>91800</v>
      </c>
      <c r="F790" t="s">
        <v>1451</v>
      </c>
    </row>
    <row r="791" spans="1:6" x14ac:dyDescent="0.35">
      <c r="A791">
        <v>20260701</v>
      </c>
      <c r="B791" t="s">
        <v>1272</v>
      </c>
      <c r="C791">
        <v>3400</v>
      </c>
      <c r="D791" t="s">
        <v>485</v>
      </c>
      <c r="E791">
        <v>-91800</v>
      </c>
      <c r="F791" t="s">
        <v>1451</v>
      </c>
    </row>
    <row r="792" spans="1:6" x14ac:dyDescent="0.35">
      <c r="A792">
        <v>20260701</v>
      </c>
      <c r="B792" t="s">
        <v>1158</v>
      </c>
      <c r="C792">
        <v>5000</v>
      </c>
      <c r="D792" t="s">
        <v>1131</v>
      </c>
      <c r="E792">
        <v>469200</v>
      </c>
      <c r="F792" t="s">
        <v>1451</v>
      </c>
    </row>
    <row r="793" spans="1:6" x14ac:dyDescent="0.35">
      <c r="A793">
        <v>20260701</v>
      </c>
      <c r="B793" t="s">
        <v>1158</v>
      </c>
      <c r="C793">
        <v>5400</v>
      </c>
      <c r="D793" t="s">
        <v>1131</v>
      </c>
      <c r="E793">
        <v>66157.2</v>
      </c>
      <c r="F793" t="s">
        <v>1451</v>
      </c>
    </row>
    <row r="794" spans="1:6" x14ac:dyDescent="0.35">
      <c r="A794">
        <v>20260701</v>
      </c>
      <c r="B794" t="s">
        <v>1158</v>
      </c>
      <c r="C794">
        <v>6300</v>
      </c>
      <c r="D794" t="s">
        <v>1131</v>
      </c>
      <c r="E794">
        <v>86700</v>
      </c>
      <c r="F794" t="s">
        <v>1451</v>
      </c>
    </row>
    <row r="795" spans="1:6" x14ac:dyDescent="0.35">
      <c r="A795">
        <v>20260701</v>
      </c>
      <c r="B795" t="s">
        <v>1158</v>
      </c>
      <c r="C795">
        <v>3900</v>
      </c>
      <c r="D795" t="s">
        <v>1131</v>
      </c>
      <c r="E795">
        <v>-663000</v>
      </c>
      <c r="F795" t="s">
        <v>1451</v>
      </c>
    </row>
    <row r="796" spans="1:6" x14ac:dyDescent="0.35">
      <c r="A796">
        <v>20260701</v>
      </c>
      <c r="B796" t="s">
        <v>1243</v>
      </c>
      <c r="C796">
        <v>5100</v>
      </c>
      <c r="D796" t="s">
        <v>485</v>
      </c>
      <c r="E796">
        <v>91800</v>
      </c>
      <c r="F796" t="s">
        <v>1451</v>
      </c>
    </row>
    <row r="797" spans="1:6" x14ac:dyDescent="0.35">
      <c r="A797">
        <v>20260701</v>
      </c>
      <c r="B797" t="s">
        <v>1243</v>
      </c>
      <c r="C797">
        <v>3400</v>
      </c>
      <c r="D797" t="s">
        <v>485</v>
      </c>
      <c r="E797">
        <v>-91800</v>
      </c>
      <c r="F797" t="s">
        <v>1451</v>
      </c>
    </row>
    <row r="798" spans="1:6" x14ac:dyDescent="0.35">
      <c r="A798">
        <v>20260701</v>
      </c>
      <c r="B798" t="s">
        <v>1205</v>
      </c>
      <c r="C798">
        <v>5000</v>
      </c>
      <c r="D798" t="s">
        <v>1131</v>
      </c>
      <c r="E798">
        <v>469200</v>
      </c>
      <c r="F798" t="s">
        <v>1451</v>
      </c>
    </row>
    <row r="799" spans="1:6" x14ac:dyDescent="0.35">
      <c r="A799">
        <v>20260701</v>
      </c>
      <c r="B799" t="s">
        <v>1205</v>
      </c>
      <c r="C799">
        <v>5400</v>
      </c>
      <c r="D799" t="s">
        <v>1131</v>
      </c>
      <c r="E799">
        <v>66157.2</v>
      </c>
      <c r="F799" t="s">
        <v>1451</v>
      </c>
    </row>
    <row r="800" spans="1:6" x14ac:dyDescent="0.35">
      <c r="A800">
        <v>20260701</v>
      </c>
      <c r="B800" t="s">
        <v>1205</v>
      </c>
      <c r="C800">
        <v>6300</v>
      </c>
      <c r="D800" t="s">
        <v>1131</v>
      </c>
      <c r="E800">
        <v>86700</v>
      </c>
      <c r="F800" t="s">
        <v>1451</v>
      </c>
    </row>
    <row r="801" spans="1:6" x14ac:dyDescent="0.35">
      <c r="A801">
        <v>20260701</v>
      </c>
      <c r="B801" t="s">
        <v>1205</v>
      </c>
      <c r="C801">
        <v>3900</v>
      </c>
      <c r="D801" t="s">
        <v>1131</v>
      </c>
      <c r="E801">
        <v>-663000</v>
      </c>
      <c r="F801" t="s">
        <v>1451</v>
      </c>
    </row>
    <row r="802" spans="1:6" x14ac:dyDescent="0.35">
      <c r="A802">
        <v>20260701</v>
      </c>
      <c r="B802" t="s">
        <v>1257</v>
      </c>
      <c r="C802">
        <v>5100</v>
      </c>
      <c r="D802" t="s">
        <v>485</v>
      </c>
      <c r="E802">
        <v>91800</v>
      </c>
      <c r="F802" t="s">
        <v>1451</v>
      </c>
    </row>
    <row r="803" spans="1:6" x14ac:dyDescent="0.35">
      <c r="A803">
        <v>20260701</v>
      </c>
      <c r="B803" t="s">
        <v>1257</v>
      </c>
      <c r="C803">
        <v>3400</v>
      </c>
      <c r="D803" t="s">
        <v>485</v>
      </c>
      <c r="E803">
        <v>-91800</v>
      </c>
      <c r="F803" t="s">
        <v>1451</v>
      </c>
    </row>
    <row r="804" spans="1:6" x14ac:dyDescent="0.35">
      <c r="A804">
        <v>20260701</v>
      </c>
      <c r="B804" t="s">
        <v>1164</v>
      </c>
      <c r="C804">
        <v>5000</v>
      </c>
      <c r="D804" t="s">
        <v>1131</v>
      </c>
      <c r="E804">
        <v>469200</v>
      </c>
      <c r="F804" t="s">
        <v>1451</v>
      </c>
    </row>
    <row r="805" spans="1:6" x14ac:dyDescent="0.35">
      <c r="A805">
        <v>20260701</v>
      </c>
      <c r="B805" t="s">
        <v>1164</v>
      </c>
      <c r="C805">
        <v>5400</v>
      </c>
      <c r="D805" t="s">
        <v>1131</v>
      </c>
      <c r="E805">
        <v>66157.2</v>
      </c>
      <c r="F805" t="s">
        <v>1451</v>
      </c>
    </row>
    <row r="806" spans="1:6" x14ac:dyDescent="0.35">
      <c r="A806">
        <v>20260701</v>
      </c>
      <c r="B806" t="s">
        <v>1164</v>
      </c>
      <c r="C806">
        <v>6300</v>
      </c>
      <c r="D806" t="s">
        <v>1131</v>
      </c>
      <c r="E806">
        <v>86700</v>
      </c>
      <c r="F806" t="s">
        <v>1451</v>
      </c>
    </row>
    <row r="807" spans="1:6" x14ac:dyDescent="0.35">
      <c r="A807">
        <v>20260701</v>
      </c>
      <c r="B807" t="s">
        <v>1164</v>
      </c>
      <c r="C807">
        <v>3900</v>
      </c>
      <c r="D807" t="s">
        <v>1131</v>
      </c>
      <c r="E807">
        <v>-663000</v>
      </c>
      <c r="F807" t="s">
        <v>1451</v>
      </c>
    </row>
    <row r="808" spans="1:6" x14ac:dyDescent="0.35">
      <c r="A808">
        <v>20260701</v>
      </c>
      <c r="B808" t="s">
        <v>1249</v>
      </c>
      <c r="C808">
        <v>5100</v>
      </c>
      <c r="D808" t="s">
        <v>485</v>
      </c>
      <c r="E808">
        <v>91800</v>
      </c>
      <c r="F808" t="s">
        <v>1451</v>
      </c>
    </row>
    <row r="809" spans="1:6" x14ac:dyDescent="0.35">
      <c r="A809">
        <v>20260701</v>
      </c>
      <c r="B809" t="s">
        <v>1249</v>
      </c>
      <c r="C809">
        <v>3400</v>
      </c>
      <c r="D809" t="s">
        <v>485</v>
      </c>
      <c r="E809">
        <v>-91800</v>
      </c>
      <c r="F809" t="s">
        <v>1451</v>
      </c>
    </row>
    <row r="810" spans="1:6" x14ac:dyDescent="0.35">
      <c r="A810">
        <v>20260701</v>
      </c>
      <c r="B810" t="s">
        <v>1169</v>
      </c>
      <c r="C810">
        <v>5000</v>
      </c>
      <c r="D810" t="s">
        <v>1131</v>
      </c>
      <c r="E810">
        <v>469200</v>
      </c>
      <c r="F810" t="s">
        <v>1451</v>
      </c>
    </row>
    <row r="811" spans="1:6" x14ac:dyDescent="0.35">
      <c r="A811">
        <v>20260701</v>
      </c>
      <c r="B811" t="s">
        <v>1169</v>
      </c>
      <c r="C811">
        <v>5400</v>
      </c>
      <c r="D811" t="s">
        <v>1131</v>
      </c>
      <c r="E811">
        <v>66157.2</v>
      </c>
      <c r="F811" t="s">
        <v>1451</v>
      </c>
    </row>
    <row r="812" spans="1:6" x14ac:dyDescent="0.35">
      <c r="A812">
        <v>20260701</v>
      </c>
      <c r="B812" t="s">
        <v>1169</v>
      </c>
      <c r="C812">
        <v>6300</v>
      </c>
      <c r="D812" t="s">
        <v>1131</v>
      </c>
      <c r="E812">
        <v>86700</v>
      </c>
      <c r="F812" t="s">
        <v>1451</v>
      </c>
    </row>
    <row r="813" spans="1:6" x14ac:dyDescent="0.35">
      <c r="A813">
        <v>20260701</v>
      </c>
      <c r="B813" t="s">
        <v>1169</v>
      </c>
      <c r="C813">
        <v>3900</v>
      </c>
      <c r="D813" t="s">
        <v>1131</v>
      </c>
      <c r="E813">
        <v>-663000</v>
      </c>
      <c r="F813" t="s">
        <v>1451</v>
      </c>
    </row>
    <row r="814" spans="1:6" x14ac:dyDescent="0.35">
      <c r="A814">
        <v>20260701</v>
      </c>
      <c r="B814" t="s">
        <v>1260</v>
      </c>
      <c r="C814">
        <v>5100</v>
      </c>
      <c r="D814" t="s">
        <v>485</v>
      </c>
      <c r="E814">
        <v>91800</v>
      </c>
      <c r="F814" t="s">
        <v>1451</v>
      </c>
    </row>
    <row r="815" spans="1:6" x14ac:dyDescent="0.35">
      <c r="A815">
        <v>20260701</v>
      </c>
      <c r="B815" t="s">
        <v>1260</v>
      </c>
      <c r="C815">
        <v>3400</v>
      </c>
      <c r="D815" t="s">
        <v>485</v>
      </c>
      <c r="E815">
        <v>-91800</v>
      </c>
      <c r="F815" t="s">
        <v>1451</v>
      </c>
    </row>
    <row r="816" spans="1:6" x14ac:dyDescent="0.35">
      <c r="A816">
        <v>20260701</v>
      </c>
      <c r="B816" t="s">
        <v>1175</v>
      </c>
      <c r="C816">
        <v>5000</v>
      </c>
      <c r="D816" t="s">
        <v>1131</v>
      </c>
      <c r="E816">
        <v>469200</v>
      </c>
      <c r="F816" t="s">
        <v>1451</v>
      </c>
    </row>
    <row r="817" spans="1:6" x14ac:dyDescent="0.35">
      <c r="A817">
        <v>20260701</v>
      </c>
      <c r="B817" t="s">
        <v>1175</v>
      </c>
      <c r="C817">
        <v>5400</v>
      </c>
      <c r="D817" t="s">
        <v>1131</v>
      </c>
      <c r="E817">
        <v>66157.2</v>
      </c>
      <c r="F817" t="s">
        <v>1451</v>
      </c>
    </row>
    <row r="818" spans="1:6" x14ac:dyDescent="0.35">
      <c r="A818">
        <v>20260701</v>
      </c>
      <c r="B818" t="s">
        <v>1175</v>
      </c>
      <c r="C818">
        <v>6300</v>
      </c>
      <c r="D818" t="s">
        <v>1131</v>
      </c>
      <c r="E818">
        <v>86700</v>
      </c>
      <c r="F818" t="s">
        <v>1451</v>
      </c>
    </row>
    <row r="819" spans="1:6" x14ac:dyDescent="0.35">
      <c r="A819">
        <v>20260701</v>
      </c>
      <c r="B819" t="s">
        <v>1175</v>
      </c>
      <c r="C819">
        <v>3900</v>
      </c>
      <c r="D819" t="s">
        <v>1131</v>
      </c>
      <c r="E819">
        <v>-663000</v>
      </c>
      <c r="F819" t="s">
        <v>1451</v>
      </c>
    </row>
    <row r="820" spans="1:6" x14ac:dyDescent="0.35">
      <c r="A820">
        <v>20260701</v>
      </c>
      <c r="B820" t="s">
        <v>1247</v>
      </c>
      <c r="C820">
        <v>5100</v>
      </c>
      <c r="D820" t="s">
        <v>485</v>
      </c>
      <c r="E820">
        <v>91800</v>
      </c>
      <c r="F820" t="s">
        <v>1451</v>
      </c>
    </row>
    <row r="821" spans="1:6" x14ac:dyDescent="0.35">
      <c r="A821">
        <v>20260701</v>
      </c>
      <c r="B821" t="s">
        <v>1247</v>
      </c>
      <c r="C821">
        <v>3400</v>
      </c>
      <c r="D821" t="s">
        <v>485</v>
      </c>
      <c r="E821">
        <v>-91800</v>
      </c>
      <c r="F821" t="s">
        <v>1451</v>
      </c>
    </row>
    <row r="822" spans="1:6" x14ac:dyDescent="0.35">
      <c r="A822">
        <v>20260701</v>
      </c>
      <c r="B822" t="s">
        <v>1130</v>
      </c>
      <c r="C822">
        <v>5000</v>
      </c>
      <c r="D822" t="s">
        <v>1131</v>
      </c>
      <c r="E822">
        <v>469200</v>
      </c>
      <c r="F822" t="s">
        <v>1451</v>
      </c>
    </row>
    <row r="823" spans="1:6" x14ac:dyDescent="0.35">
      <c r="A823">
        <v>20260701</v>
      </c>
      <c r="B823" t="s">
        <v>1130</v>
      </c>
      <c r="C823">
        <v>5400</v>
      </c>
      <c r="D823" t="s">
        <v>1131</v>
      </c>
      <c r="E823">
        <v>66157.2</v>
      </c>
      <c r="F823" t="s">
        <v>1451</v>
      </c>
    </row>
    <row r="824" spans="1:6" x14ac:dyDescent="0.35">
      <c r="A824">
        <v>20260701</v>
      </c>
      <c r="B824" t="s">
        <v>1130</v>
      </c>
      <c r="C824">
        <v>6300</v>
      </c>
      <c r="D824" t="s">
        <v>1131</v>
      </c>
      <c r="E824">
        <v>86700</v>
      </c>
      <c r="F824" t="s">
        <v>1451</v>
      </c>
    </row>
    <row r="825" spans="1:6" x14ac:dyDescent="0.35">
      <c r="A825">
        <v>20260701</v>
      </c>
      <c r="B825" t="s">
        <v>1130</v>
      </c>
      <c r="C825">
        <v>3900</v>
      </c>
      <c r="D825" t="s">
        <v>1131</v>
      </c>
      <c r="E825">
        <v>-663000</v>
      </c>
      <c r="F825" t="s">
        <v>1451</v>
      </c>
    </row>
    <row r="826" spans="1:6" x14ac:dyDescent="0.35">
      <c r="A826">
        <v>20260701</v>
      </c>
      <c r="B826" t="s">
        <v>1265</v>
      </c>
      <c r="C826">
        <v>5100</v>
      </c>
      <c r="D826" t="s">
        <v>485</v>
      </c>
      <c r="E826">
        <v>91800</v>
      </c>
      <c r="F826" t="s">
        <v>1451</v>
      </c>
    </row>
    <row r="827" spans="1:6" x14ac:dyDescent="0.35">
      <c r="A827">
        <v>20260701</v>
      </c>
      <c r="B827" t="s">
        <v>1265</v>
      </c>
      <c r="C827">
        <v>3400</v>
      </c>
      <c r="D827" t="s">
        <v>485</v>
      </c>
      <c r="E827">
        <v>-91800</v>
      </c>
      <c r="F827" t="s">
        <v>1451</v>
      </c>
    </row>
    <row r="828" spans="1:6" x14ac:dyDescent="0.35">
      <c r="A828">
        <v>20260701</v>
      </c>
      <c r="B828" t="s">
        <v>1173</v>
      </c>
      <c r="C828">
        <v>5000</v>
      </c>
      <c r="D828" t="s">
        <v>1131</v>
      </c>
      <c r="E828">
        <v>469200</v>
      </c>
      <c r="F828" t="s">
        <v>1451</v>
      </c>
    </row>
    <row r="829" spans="1:6" x14ac:dyDescent="0.35">
      <c r="A829">
        <v>20260701</v>
      </c>
      <c r="B829" t="s">
        <v>1173</v>
      </c>
      <c r="C829">
        <v>5400</v>
      </c>
      <c r="D829" t="s">
        <v>1131</v>
      </c>
      <c r="E829">
        <v>66157.2</v>
      </c>
      <c r="F829" t="s">
        <v>1451</v>
      </c>
    </row>
    <row r="830" spans="1:6" x14ac:dyDescent="0.35">
      <c r="A830">
        <v>20260701</v>
      </c>
      <c r="B830" t="s">
        <v>1173</v>
      </c>
      <c r="C830">
        <v>6300</v>
      </c>
      <c r="D830" t="s">
        <v>1131</v>
      </c>
      <c r="E830">
        <v>86700</v>
      </c>
      <c r="F830" t="s">
        <v>1451</v>
      </c>
    </row>
    <row r="831" spans="1:6" x14ac:dyDescent="0.35">
      <c r="A831">
        <v>20260701</v>
      </c>
      <c r="B831" t="s">
        <v>1173</v>
      </c>
      <c r="C831">
        <v>3900</v>
      </c>
      <c r="D831" t="s">
        <v>1131</v>
      </c>
      <c r="E831">
        <v>-663000</v>
      </c>
      <c r="F831" t="s">
        <v>1451</v>
      </c>
    </row>
    <row r="832" spans="1:6" x14ac:dyDescent="0.35">
      <c r="A832">
        <v>20260701</v>
      </c>
      <c r="B832" t="s">
        <v>1255</v>
      </c>
      <c r="C832">
        <v>5100</v>
      </c>
      <c r="D832" t="s">
        <v>485</v>
      </c>
      <c r="E832">
        <v>91800</v>
      </c>
      <c r="F832" t="s">
        <v>1451</v>
      </c>
    </row>
    <row r="833" spans="1:6" x14ac:dyDescent="0.35">
      <c r="A833">
        <v>20260701</v>
      </c>
      <c r="B833" t="s">
        <v>1255</v>
      </c>
      <c r="C833">
        <v>3400</v>
      </c>
      <c r="D833" t="s">
        <v>485</v>
      </c>
      <c r="E833">
        <v>-91800</v>
      </c>
      <c r="F833" t="s">
        <v>1451</v>
      </c>
    </row>
    <row r="834" spans="1:6" x14ac:dyDescent="0.35">
      <c r="A834">
        <v>20260701</v>
      </c>
      <c r="B834" t="s">
        <v>1155</v>
      </c>
      <c r="C834">
        <v>5000</v>
      </c>
      <c r="D834" t="s">
        <v>1131</v>
      </c>
      <c r="E834">
        <v>469200</v>
      </c>
      <c r="F834" t="s">
        <v>1451</v>
      </c>
    </row>
    <row r="835" spans="1:6" x14ac:dyDescent="0.35">
      <c r="A835">
        <v>20260701</v>
      </c>
      <c r="B835" t="s">
        <v>1155</v>
      </c>
      <c r="C835">
        <v>5400</v>
      </c>
      <c r="D835" t="s">
        <v>1131</v>
      </c>
      <c r="E835">
        <v>66157.2</v>
      </c>
      <c r="F835" t="s">
        <v>1451</v>
      </c>
    </row>
    <row r="836" spans="1:6" x14ac:dyDescent="0.35">
      <c r="A836">
        <v>20260701</v>
      </c>
      <c r="B836" t="s">
        <v>1155</v>
      </c>
      <c r="C836">
        <v>6300</v>
      </c>
      <c r="D836" t="s">
        <v>1131</v>
      </c>
      <c r="E836">
        <v>86700</v>
      </c>
      <c r="F836" t="s">
        <v>1451</v>
      </c>
    </row>
    <row r="837" spans="1:6" x14ac:dyDescent="0.35">
      <c r="A837">
        <v>20260701</v>
      </c>
      <c r="B837" t="s">
        <v>1155</v>
      </c>
      <c r="C837">
        <v>3900</v>
      </c>
      <c r="D837" t="s">
        <v>1131</v>
      </c>
      <c r="E837">
        <v>-663000</v>
      </c>
      <c r="F837" t="s">
        <v>1451</v>
      </c>
    </row>
    <row r="838" spans="1:6" x14ac:dyDescent="0.35">
      <c r="A838">
        <v>20260701</v>
      </c>
      <c r="B838" t="s">
        <v>1138</v>
      </c>
      <c r="C838">
        <v>5000</v>
      </c>
      <c r="D838" t="s">
        <v>1131</v>
      </c>
      <c r="E838">
        <v>469200</v>
      </c>
      <c r="F838" t="s">
        <v>1451</v>
      </c>
    </row>
    <row r="839" spans="1:6" x14ac:dyDescent="0.35">
      <c r="A839">
        <v>20260701</v>
      </c>
      <c r="B839" t="s">
        <v>1138</v>
      </c>
      <c r="C839">
        <v>5400</v>
      </c>
      <c r="D839" t="s">
        <v>1131</v>
      </c>
      <c r="E839">
        <v>66157.2</v>
      </c>
      <c r="F839" t="s">
        <v>1451</v>
      </c>
    </row>
    <row r="840" spans="1:6" x14ac:dyDescent="0.35">
      <c r="A840">
        <v>20260701</v>
      </c>
      <c r="B840" t="s">
        <v>1138</v>
      </c>
      <c r="C840">
        <v>6300</v>
      </c>
      <c r="D840" t="s">
        <v>1131</v>
      </c>
      <c r="E840">
        <v>86700</v>
      </c>
      <c r="F840" t="s">
        <v>1451</v>
      </c>
    </row>
    <row r="841" spans="1:6" x14ac:dyDescent="0.35">
      <c r="A841">
        <v>20260701</v>
      </c>
      <c r="B841" t="s">
        <v>1138</v>
      </c>
      <c r="C841">
        <v>3900</v>
      </c>
      <c r="D841" t="s">
        <v>1131</v>
      </c>
      <c r="E841">
        <v>-663000</v>
      </c>
      <c r="F841" t="s">
        <v>1451</v>
      </c>
    </row>
    <row r="842" spans="1:6" x14ac:dyDescent="0.35">
      <c r="A842">
        <v>20260801</v>
      </c>
      <c r="B842" t="s">
        <v>1150</v>
      </c>
      <c r="C842">
        <v>5000</v>
      </c>
      <c r="D842" t="s">
        <v>1131</v>
      </c>
      <c r="E842">
        <v>469200</v>
      </c>
      <c r="F842" t="s">
        <v>1451</v>
      </c>
    </row>
    <row r="843" spans="1:6" x14ac:dyDescent="0.35">
      <c r="A843">
        <v>20260801</v>
      </c>
      <c r="B843" t="s">
        <v>1150</v>
      </c>
      <c r="C843">
        <v>5400</v>
      </c>
      <c r="D843" t="s">
        <v>1131</v>
      </c>
      <c r="E843">
        <v>66157.2</v>
      </c>
      <c r="F843" t="s">
        <v>1451</v>
      </c>
    </row>
    <row r="844" spans="1:6" x14ac:dyDescent="0.35">
      <c r="A844">
        <v>20260801</v>
      </c>
      <c r="B844" t="s">
        <v>1150</v>
      </c>
      <c r="C844">
        <v>6300</v>
      </c>
      <c r="D844" t="s">
        <v>1131</v>
      </c>
      <c r="E844">
        <v>86700</v>
      </c>
      <c r="F844" t="s">
        <v>1451</v>
      </c>
    </row>
    <row r="845" spans="1:6" x14ac:dyDescent="0.35">
      <c r="A845">
        <v>20260801</v>
      </c>
      <c r="B845" t="s">
        <v>1150</v>
      </c>
      <c r="C845">
        <v>3900</v>
      </c>
      <c r="D845" t="s">
        <v>1131</v>
      </c>
      <c r="E845">
        <v>-663000</v>
      </c>
      <c r="F845" t="s">
        <v>1451</v>
      </c>
    </row>
    <row r="846" spans="1:6" x14ac:dyDescent="0.35">
      <c r="A846">
        <v>20260801</v>
      </c>
      <c r="B846" t="s">
        <v>1272</v>
      </c>
      <c r="C846">
        <v>5100</v>
      </c>
      <c r="D846" t="s">
        <v>485</v>
      </c>
      <c r="E846">
        <v>91800</v>
      </c>
      <c r="F846" t="s">
        <v>1451</v>
      </c>
    </row>
    <row r="847" spans="1:6" x14ac:dyDescent="0.35">
      <c r="A847">
        <v>20260801</v>
      </c>
      <c r="B847" t="s">
        <v>1272</v>
      </c>
      <c r="C847">
        <v>3400</v>
      </c>
      <c r="D847" t="s">
        <v>485</v>
      </c>
      <c r="E847">
        <v>-91800</v>
      </c>
      <c r="F847" t="s">
        <v>1451</v>
      </c>
    </row>
    <row r="848" spans="1:6" x14ac:dyDescent="0.35">
      <c r="A848">
        <v>20260801</v>
      </c>
      <c r="B848" t="s">
        <v>1158</v>
      </c>
      <c r="C848">
        <v>5000</v>
      </c>
      <c r="D848" t="s">
        <v>1131</v>
      </c>
      <c r="E848">
        <v>469200</v>
      </c>
      <c r="F848" t="s">
        <v>1451</v>
      </c>
    </row>
    <row r="849" spans="1:6" x14ac:dyDescent="0.35">
      <c r="A849">
        <v>20260801</v>
      </c>
      <c r="B849" t="s">
        <v>1158</v>
      </c>
      <c r="C849">
        <v>5400</v>
      </c>
      <c r="D849" t="s">
        <v>1131</v>
      </c>
      <c r="E849">
        <v>66157.2</v>
      </c>
      <c r="F849" t="s">
        <v>1451</v>
      </c>
    </row>
    <row r="850" spans="1:6" x14ac:dyDescent="0.35">
      <c r="A850">
        <v>20260801</v>
      </c>
      <c r="B850" t="s">
        <v>1158</v>
      </c>
      <c r="C850">
        <v>6300</v>
      </c>
      <c r="D850" t="s">
        <v>1131</v>
      </c>
      <c r="E850">
        <v>86700</v>
      </c>
      <c r="F850" t="s">
        <v>1451</v>
      </c>
    </row>
    <row r="851" spans="1:6" x14ac:dyDescent="0.35">
      <c r="A851">
        <v>20260801</v>
      </c>
      <c r="B851" t="s">
        <v>1158</v>
      </c>
      <c r="C851">
        <v>3900</v>
      </c>
      <c r="D851" t="s">
        <v>1131</v>
      </c>
      <c r="E851">
        <v>-663000</v>
      </c>
      <c r="F851" t="s">
        <v>1451</v>
      </c>
    </row>
    <row r="852" spans="1:6" x14ac:dyDescent="0.35">
      <c r="A852">
        <v>20260801</v>
      </c>
      <c r="B852" t="s">
        <v>1243</v>
      </c>
      <c r="C852">
        <v>5100</v>
      </c>
      <c r="D852" t="s">
        <v>485</v>
      </c>
      <c r="E852">
        <v>91800</v>
      </c>
      <c r="F852" t="s">
        <v>1451</v>
      </c>
    </row>
    <row r="853" spans="1:6" x14ac:dyDescent="0.35">
      <c r="A853">
        <v>20260801</v>
      </c>
      <c r="B853" t="s">
        <v>1243</v>
      </c>
      <c r="C853">
        <v>3400</v>
      </c>
      <c r="D853" t="s">
        <v>485</v>
      </c>
      <c r="E853">
        <v>-91800</v>
      </c>
      <c r="F853" t="s">
        <v>1451</v>
      </c>
    </row>
    <row r="854" spans="1:6" x14ac:dyDescent="0.35">
      <c r="A854">
        <v>20260801</v>
      </c>
      <c r="B854" t="s">
        <v>1205</v>
      </c>
      <c r="C854">
        <v>5000</v>
      </c>
      <c r="D854" t="s">
        <v>1131</v>
      </c>
      <c r="E854">
        <v>469200</v>
      </c>
      <c r="F854" t="s">
        <v>1451</v>
      </c>
    </row>
    <row r="855" spans="1:6" x14ac:dyDescent="0.35">
      <c r="A855">
        <v>20260801</v>
      </c>
      <c r="B855" t="s">
        <v>1205</v>
      </c>
      <c r="C855">
        <v>5400</v>
      </c>
      <c r="D855" t="s">
        <v>1131</v>
      </c>
      <c r="E855">
        <v>66157.2</v>
      </c>
      <c r="F855" t="s">
        <v>1451</v>
      </c>
    </row>
    <row r="856" spans="1:6" x14ac:dyDescent="0.35">
      <c r="A856">
        <v>20260801</v>
      </c>
      <c r="B856" t="s">
        <v>1205</v>
      </c>
      <c r="C856">
        <v>6300</v>
      </c>
      <c r="D856" t="s">
        <v>1131</v>
      </c>
      <c r="E856">
        <v>86700</v>
      </c>
      <c r="F856" t="s">
        <v>1451</v>
      </c>
    </row>
    <row r="857" spans="1:6" x14ac:dyDescent="0.35">
      <c r="A857">
        <v>20260801</v>
      </c>
      <c r="B857" t="s">
        <v>1205</v>
      </c>
      <c r="C857">
        <v>3900</v>
      </c>
      <c r="D857" t="s">
        <v>1131</v>
      </c>
      <c r="E857">
        <v>-663000</v>
      </c>
      <c r="F857" t="s">
        <v>1451</v>
      </c>
    </row>
    <row r="858" spans="1:6" x14ac:dyDescent="0.35">
      <c r="A858">
        <v>20260801</v>
      </c>
      <c r="B858" t="s">
        <v>1257</v>
      </c>
      <c r="C858">
        <v>5100</v>
      </c>
      <c r="D858" t="s">
        <v>485</v>
      </c>
      <c r="E858">
        <v>91800</v>
      </c>
      <c r="F858" t="s">
        <v>1451</v>
      </c>
    </row>
    <row r="859" spans="1:6" x14ac:dyDescent="0.35">
      <c r="A859">
        <v>20260801</v>
      </c>
      <c r="B859" t="s">
        <v>1257</v>
      </c>
      <c r="C859">
        <v>3400</v>
      </c>
      <c r="D859" t="s">
        <v>485</v>
      </c>
      <c r="E859">
        <v>-91800</v>
      </c>
      <c r="F859" t="s">
        <v>1451</v>
      </c>
    </row>
    <row r="860" spans="1:6" x14ac:dyDescent="0.35">
      <c r="A860">
        <v>20260801</v>
      </c>
      <c r="B860" t="s">
        <v>1164</v>
      </c>
      <c r="C860">
        <v>5000</v>
      </c>
      <c r="D860" t="s">
        <v>1131</v>
      </c>
      <c r="E860">
        <v>469200</v>
      </c>
      <c r="F860" t="s">
        <v>1451</v>
      </c>
    </row>
    <row r="861" spans="1:6" x14ac:dyDescent="0.35">
      <c r="A861">
        <v>20260801</v>
      </c>
      <c r="B861" t="s">
        <v>1164</v>
      </c>
      <c r="C861">
        <v>5400</v>
      </c>
      <c r="D861" t="s">
        <v>1131</v>
      </c>
      <c r="E861">
        <v>66157.2</v>
      </c>
      <c r="F861" t="s">
        <v>1451</v>
      </c>
    </row>
    <row r="862" spans="1:6" x14ac:dyDescent="0.35">
      <c r="A862">
        <v>20260801</v>
      </c>
      <c r="B862" t="s">
        <v>1164</v>
      </c>
      <c r="C862">
        <v>6300</v>
      </c>
      <c r="D862" t="s">
        <v>1131</v>
      </c>
      <c r="E862">
        <v>86700</v>
      </c>
      <c r="F862" t="s">
        <v>1451</v>
      </c>
    </row>
    <row r="863" spans="1:6" x14ac:dyDescent="0.35">
      <c r="A863">
        <v>20260801</v>
      </c>
      <c r="B863" t="s">
        <v>1164</v>
      </c>
      <c r="C863">
        <v>3900</v>
      </c>
      <c r="D863" t="s">
        <v>1131</v>
      </c>
      <c r="E863">
        <v>-663000</v>
      </c>
      <c r="F863" t="s">
        <v>1451</v>
      </c>
    </row>
    <row r="864" spans="1:6" x14ac:dyDescent="0.35">
      <c r="A864">
        <v>20260801</v>
      </c>
      <c r="B864" t="s">
        <v>1249</v>
      </c>
      <c r="C864">
        <v>5100</v>
      </c>
      <c r="D864" t="s">
        <v>485</v>
      </c>
      <c r="E864">
        <v>91800</v>
      </c>
      <c r="F864" t="s">
        <v>1451</v>
      </c>
    </row>
    <row r="865" spans="1:6" x14ac:dyDescent="0.35">
      <c r="A865">
        <v>20260801</v>
      </c>
      <c r="B865" t="s">
        <v>1249</v>
      </c>
      <c r="C865">
        <v>3400</v>
      </c>
      <c r="D865" t="s">
        <v>485</v>
      </c>
      <c r="E865">
        <v>-91800</v>
      </c>
      <c r="F865" t="s">
        <v>1451</v>
      </c>
    </row>
    <row r="866" spans="1:6" x14ac:dyDescent="0.35">
      <c r="A866">
        <v>20260801</v>
      </c>
      <c r="B866" t="s">
        <v>1169</v>
      </c>
      <c r="C866">
        <v>5000</v>
      </c>
      <c r="D866" t="s">
        <v>1131</v>
      </c>
      <c r="E866">
        <v>469200</v>
      </c>
      <c r="F866" t="s">
        <v>1451</v>
      </c>
    </row>
    <row r="867" spans="1:6" x14ac:dyDescent="0.35">
      <c r="A867">
        <v>20260801</v>
      </c>
      <c r="B867" t="s">
        <v>1169</v>
      </c>
      <c r="C867">
        <v>5400</v>
      </c>
      <c r="D867" t="s">
        <v>1131</v>
      </c>
      <c r="E867">
        <v>66157.2</v>
      </c>
      <c r="F867" t="s">
        <v>1451</v>
      </c>
    </row>
    <row r="868" spans="1:6" x14ac:dyDescent="0.35">
      <c r="A868">
        <v>20260801</v>
      </c>
      <c r="B868" t="s">
        <v>1169</v>
      </c>
      <c r="C868">
        <v>6300</v>
      </c>
      <c r="D868" t="s">
        <v>1131</v>
      </c>
      <c r="E868">
        <v>86700</v>
      </c>
      <c r="F868" t="s">
        <v>1451</v>
      </c>
    </row>
    <row r="869" spans="1:6" x14ac:dyDescent="0.35">
      <c r="A869">
        <v>20260801</v>
      </c>
      <c r="B869" t="s">
        <v>1169</v>
      </c>
      <c r="C869">
        <v>3900</v>
      </c>
      <c r="D869" t="s">
        <v>1131</v>
      </c>
      <c r="E869">
        <v>-663000</v>
      </c>
      <c r="F869" t="s">
        <v>1451</v>
      </c>
    </row>
    <row r="870" spans="1:6" x14ac:dyDescent="0.35">
      <c r="A870">
        <v>20260801</v>
      </c>
      <c r="B870" t="s">
        <v>1260</v>
      </c>
      <c r="C870">
        <v>5100</v>
      </c>
      <c r="D870" t="s">
        <v>485</v>
      </c>
      <c r="E870">
        <v>91800</v>
      </c>
      <c r="F870" t="s">
        <v>1451</v>
      </c>
    </row>
    <row r="871" spans="1:6" x14ac:dyDescent="0.35">
      <c r="A871">
        <v>20260801</v>
      </c>
      <c r="B871" t="s">
        <v>1260</v>
      </c>
      <c r="C871">
        <v>3400</v>
      </c>
      <c r="D871" t="s">
        <v>485</v>
      </c>
      <c r="E871">
        <v>-91800</v>
      </c>
      <c r="F871" t="s">
        <v>1451</v>
      </c>
    </row>
    <row r="872" spans="1:6" x14ac:dyDescent="0.35">
      <c r="A872">
        <v>20260801</v>
      </c>
      <c r="B872" t="s">
        <v>1175</v>
      </c>
      <c r="C872">
        <v>5000</v>
      </c>
      <c r="D872" t="s">
        <v>1131</v>
      </c>
      <c r="E872">
        <v>469200</v>
      </c>
      <c r="F872" t="s">
        <v>1451</v>
      </c>
    </row>
    <row r="873" spans="1:6" x14ac:dyDescent="0.35">
      <c r="A873">
        <v>20260801</v>
      </c>
      <c r="B873" t="s">
        <v>1175</v>
      </c>
      <c r="C873">
        <v>5400</v>
      </c>
      <c r="D873" t="s">
        <v>1131</v>
      </c>
      <c r="E873">
        <v>66157.2</v>
      </c>
      <c r="F873" t="s">
        <v>1451</v>
      </c>
    </row>
    <row r="874" spans="1:6" x14ac:dyDescent="0.35">
      <c r="A874">
        <v>20260801</v>
      </c>
      <c r="B874" t="s">
        <v>1175</v>
      </c>
      <c r="C874">
        <v>6300</v>
      </c>
      <c r="D874" t="s">
        <v>1131</v>
      </c>
      <c r="E874">
        <v>86700</v>
      </c>
      <c r="F874" t="s">
        <v>1451</v>
      </c>
    </row>
    <row r="875" spans="1:6" x14ac:dyDescent="0.35">
      <c r="A875">
        <v>20260801</v>
      </c>
      <c r="B875" t="s">
        <v>1175</v>
      </c>
      <c r="C875">
        <v>3900</v>
      </c>
      <c r="D875" t="s">
        <v>1131</v>
      </c>
      <c r="E875">
        <v>-663000</v>
      </c>
      <c r="F875" t="s">
        <v>1451</v>
      </c>
    </row>
    <row r="876" spans="1:6" x14ac:dyDescent="0.35">
      <c r="A876">
        <v>20260801</v>
      </c>
      <c r="B876" t="s">
        <v>1247</v>
      </c>
      <c r="C876">
        <v>5100</v>
      </c>
      <c r="D876" t="s">
        <v>485</v>
      </c>
      <c r="E876">
        <v>91800</v>
      </c>
      <c r="F876" t="s">
        <v>1451</v>
      </c>
    </row>
    <row r="877" spans="1:6" x14ac:dyDescent="0.35">
      <c r="A877">
        <v>20260801</v>
      </c>
      <c r="B877" t="s">
        <v>1247</v>
      </c>
      <c r="C877">
        <v>3400</v>
      </c>
      <c r="D877" t="s">
        <v>485</v>
      </c>
      <c r="E877">
        <v>-91800</v>
      </c>
      <c r="F877" t="s">
        <v>1451</v>
      </c>
    </row>
    <row r="878" spans="1:6" x14ac:dyDescent="0.35">
      <c r="A878">
        <v>20260801</v>
      </c>
      <c r="B878" t="s">
        <v>1130</v>
      </c>
      <c r="C878">
        <v>5000</v>
      </c>
      <c r="D878" t="s">
        <v>1131</v>
      </c>
      <c r="E878">
        <v>469200</v>
      </c>
      <c r="F878" t="s">
        <v>1451</v>
      </c>
    </row>
    <row r="879" spans="1:6" x14ac:dyDescent="0.35">
      <c r="A879">
        <v>20260801</v>
      </c>
      <c r="B879" t="s">
        <v>1130</v>
      </c>
      <c r="C879">
        <v>5400</v>
      </c>
      <c r="D879" t="s">
        <v>1131</v>
      </c>
      <c r="E879">
        <v>66157.2</v>
      </c>
      <c r="F879" t="s">
        <v>1451</v>
      </c>
    </row>
    <row r="880" spans="1:6" x14ac:dyDescent="0.35">
      <c r="A880">
        <v>20260801</v>
      </c>
      <c r="B880" t="s">
        <v>1130</v>
      </c>
      <c r="C880">
        <v>6300</v>
      </c>
      <c r="D880" t="s">
        <v>1131</v>
      </c>
      <c r="E880">
        <v>86700</v>
      </c>
      <c r="F880" t="s">
        <v>1451</v>
      </c>
    </row>
    <row r="881" spans="1:6" x14ac:dyDescent="0.35">
      <c r="A881">
        <v>20260801</v>
      </c>
      <c r="B881" t="s">
        <v>1130</v>
      </c>
      <c r="C881">
        <v>3900</v>
      </c>
      <c r="D881" t="s">
        <v>1131</v>
      </c>
      <c r="E881">
        <v>-663000</v>
      </c>
      <c r="F881" t="s">
        <v>1451</v>
      </c>
    </row>
    <row r="882" spans="1:6" x14ac:dyDescent="0.35">
      <c r="A882">
        <v>20260801</v>
      </c>
      <c r="B882" t="s">
        <v>1265</v>
      </c>
      <c r="C882">
        <v>5100</v>
      </c>
      <c r="D882" t="s">
        <v>485</v>
      </c>
      <c r="E882">
        <v>91800</v>
      </c>
      <c r="F882" t="s">
        <v>1451</v>
      </c>
    </row>
    <row r="883" spans="1:6" x14ac:dyDescent="0.35">
      <c r="A883">
        <v>20260801</v>
      </c>
      <c r="B883" t="s">
        <v>1265</v>
      </c>
      <c r="C883">
        <v>3400</v>
      </c>
      <c r="D883" t="s">
        <v>485</v>
      </c>
      <c r="E883">
        <v>-91800</v>
      </c>
      <c r="F883" t="s">
        <v>1451</v>
      </c>
    </row>
    <row r="884" spans="1:6" x14ac:dyDescent="0.35">
      <c r="A884">
        <v>20260801</v>
      </c>
      <c r="B884" t="s">
        <v>1173</v>
      </c>
      <c r="C884">
        <v>5000</v>
      </c>
      <c r="D884" t="s">
        <v>1131</v>
      </c>
      <c r="E884">
        <v>469200</v>
      </c>
      <c r="F884" t="s">
        <v>1451</v>
      </c>
    </row>
    <row r="885" spans="1:6" x14ac:dyDescent="0.35">
      <c r="A885">
        <v>20260801</v>
      </c>
      <c r="B885" t="s">
        <v>1173</v>
      </c>
      <c r="C885">
        <v>5400</v>
      </c>
      <c r="D885" t="s">
        <v>1131</v>
      </c>
      <c r="E885">
        <v>66157.2</v>
      </c>
      <c r="F885" t="s">
        <v>1451</v>
      </c>
    </row>
    <row r="886" spans="1:6" x14ac:dyDescent="0.35">
      <c r="A886">
        <v>20260801</v>
      </c>
      <c r="B886" t="s">
        <v>1173</v>
      </c>
      <c r="C886">
        <v>6300</v>
      </c>
      <c r="D886" t="s">
        <v>1131</v>
      </c>
      <c r="E886">
        <v>86700</v>
      </c>
      <c r="F886" t="s">
        <v>1451</v>
      </c>
    </row>
    <row r="887" spans="1:6" x14ac:dyDescent="0.35">
      <c r="A887">
        <v>20260801</v>
      </c>
      <c r="B887" t="s">
        <v>1173</v>
      </c>
      <c r="C887">
        <v>3900</v>
      </c>
      <c r="D887" t="s">
        <v>1131</v>
      </c>
      <c r="E887">
        <v>-663000</v>
      </c>
      <c r="F887" t="s">
        <v>1451</v>
      </c>
    </row>
    <row r="888" spans="1:6" x14ac:dyDescent="0.35">
      <c r="A888">
        <v>20260801</v>
      </c>
      <c r="B888" t="s">
        <v>1255</v>
      </c>
      <c r="C888">
        <v>5100</v>
      </c>
      <c r="D888" t="s">
        <v>485</v>
      </c>
      <c r="E888">
        <v>91800</v>
      </c>
      <c r="F888" t="s">
        <v>1451</v>
      </c>
    </row>
    <row r="889" spans="1:6" x14ac:dyDescent="0.35">
      <c r="A889">
        <v>20260801</v>
      </c>
      <c r="B889" t="s">
        <v>1255</v>
      </c>
      <c r="C889">
        <v>3400</v>
      </c>
      <c r="D889" t="s">
        <v>485</v>
      </c>
      <c r="E889">
        <v>-91800</v>
      </c>
      <c r="F889" t="s">
        <v>1451</v>
      </c>
    </row>
    <row r="890" spans="1:6" x14ac:dyDescent="0.35">
      <c r="A890">
        <v>20260801</v>
      </c>
      <c r="B890" t="s">
        <v>1155</v>
      </c>
      <c r="C890">
        <v>5000</v>
      </c>
      <c r="D890" t="s">
        <v>1131</v>
      </c>
      <c r="E890">
        <v>469200</v>
      </c>
      <c r="F890" t="s">
        <v>1451</v>
      </c>
    </row>
    <row r="891" spans="1:6" x14ac:dyDescent="0.35">
      <c r="A891">
        <v>20260801</v>
      </c>
      <c r="B891" t="s">
        <v>1155</v>
      </c>
      <c r="C891">
        <v>5400</v>
      </c>
      <c r="D891" t="s">
        <v>1131</v>
      </c>
      <c r="E891">
        <v>66157.2</v>
      </c>
      <c r="F891" t="s">
        <v>1451</v>
      </c>
    </row>
    <row r="892" spans="1:6" x14ac:dyDescent="0.35">
      <c r="A892">
        <v>20260801</v>
      </c>
      <c r="B892" t="s">
        <v>1155</v>
      </c>
      <c r="C892">
        <v>6300</v>
      </c>
      <c r="D892" t="s">
        <v>1131</v>
      </c>
      <c r="E892">
        <v>86700</v>
      </c>
      <c r="F892" t="s">
        <v>1451</v>
      </c>
    </row>
    <row r="893" spans="1:6" x14ac:dyDescent="0.35">
      <c r="A893">
        <v>20260801</v>
      </c>
      <c r="B893" t="s">
        <v>1155</v>
      </c>
      <c r="C893">
        <v>3900</v>
      </c>
      <c r="D893" t="s">
        <v>1131</v>
      </c>
      <c r="E893">
        <v>-663000</v>
      </c>
      <c r="F893" t="s">
        <v>1451</v>
      </c>
    </row>
    <row r="894" spans="1:6" x14ac:dyDescent="0.35">
      <c r="A894">
        <v>20260801</v>
      </c>
      <c r="B894" t="s">
        <v>1138</v>
      </c>
      <c r="C894">
        <v>5000</v>
      </c>
      <c r="D894" t="s">
        <v>1131</v>
      </c>
      <c r="E894">
        <v>469200</v>
      </c>
      <c r="F894" t="s">
        <v>1451</v>
      </c>
    </row>
    <row r="895" spans="1:6" x14ac:dyDescent="0.35">
      <c r="A895">
        <v>20260801</v>
      </c>
      <c r="B895" t="s">
        <v>1138</v>
      </c>
      <c r="C895">
        <v>5400</v>
      </c>
      <c r="D895" t="s">
        <v>1131</v>
      </c>
      <c r="E895">
        <v>66157.2</v>
      </c>
      <c r="F895" t="s">
        <v>1451</v>
      </c>
    </row>
    <row r="896" spans="1:6" x14ac:dyDescent="0.35">
      <c r="A896">
        <v>20260801</v>
      </c>
      <c r="B896" t="s">
        <v>1138</v>
      </c>
      <c r="C896">
        <v>6300</v>
      </c>
      <c r="D896" t="s">
        <v>1131</v>
      </c>
      <c r="E896">
        <v>86700</v>
      </c>
      <c r="F896" t="s">
        <v>1451</v>
      </c>
    </row>
    <row r="897" spans="1:6" x14ac:dyDescent="0.35">
      <c r="A897">
        <v>20260801</v>
      </c>
      <c r="B897" t="s">
        <v>1138</v>
      </c>
      <c r="C897">
        <v>3900</v>
      </c>
      <c r="D897" t="s">
        <v>1131</v>
      </c>
      <c r="E897">
        <v>-663000</v>
      </c>
      <c r="F897" t="s">
        <v>1451</v>
      </c>
    </row>
    <row r="898" spans="1:6" x14ac:dyDescent="0.35">
      <c r="A898">
        <v>20260101</v>
      </c>
      <c r="B898" t="s">
        <v>1150</v>
      </c>
      <c r="C898">
        <v>5000</v>
      </c>
      <c r="D898" t="s">
        <v>1131</v>
      </c>
      <c r="E898">
        <v>478400</v>
      </c>
      <c r="F898" t="s">
        <v>1452</v>
      </c>
    </row>
    <row r="899" spans="1:6" x14ac:dyDescent="0.35">
      <c r="A899">
        <v>20260101</v>
      </c>
      <c r="B899" t="s">
        <v>1150</v>
      </c>
      <c r="C899">
        <v>5400</v>
      </c>
      <c r="D899" t="s">
        <v>1131</v>
      </c>
      <c r="E899">
        <v>67454.399999999994</v>
      </c>
      <c r="F899" t="s">
        <v>1452</v>
      </c>
    </row>
    <row r="900" spans="1:6" x14ac:dyDescent="0.35">
      <c r="A900">
        <v>20260101</v>
      </c>
      <c r="B900" t="s">
        <v>1150</v>
      </c>
      <c r="C900">
        <v>6300</v>
      </c>
      <c r="D900" t="s">
        <v>1131</v>
      </c>
      <c r="E900">
        <v>88400</v>
      </c>
      <c r="F900" t="s">
        <v>1452</v>
      </c>
    </row>
    <row r="901" spans="1:6" x14ac:dyDescent="0.35">
      <c r="A901">
        <v>20260101</v>
      </c>
      <c r="B901" t="s">
        <v>1150</v>
      </c>
      <c r="C901">
        <v>3900</v>
      </c>
      <c r="D901" t="s">
        <v>1131</v>
      </c>
      <c r="E901">
        <v>-676000</v>
      </c>
      <c r="F901" t="s">
        <v>1452</v>
      </c>
    </row>
    <row r="902" spans="1:6" x14ac:dyDescent="0.35">
      <c r="A902">
        <v>20260101</v>
      </c>
      <c r="B902" t="s">
        <v>1272</v>
      </c>
      <c r="C902">
        <v>5100</v>
      </c>
      <c r="D902" t="s">
        <v>485</v>
      </c>
      <c r="E902">
        <v>93600</v>
      </c>
      <c r="F902" t="s">
        <v>1452</v>
      </c>
    </row>
    <row r="903" spans="1:6" x14ac:dyDescent="0.35">
      <c r="A903">
        <v>20260101</v>
      </c>
      <c r="B903" t="s">
        <v>1272</v>
      </c>
      <c r="C903">
        <v>3400</v>
      </c>
      <c r="D903" t="s">
        <v>485</v>
      </c>
      <c r="E903">
        <v>-93600</v>
      </c>
      <c r="F903" t="s">
        <v>1452</v>
      </c>
    </row>
    <row r="904" spans="1:6" x14ac:dyDescent="0.35">
      <c r="A904">
        <v>20260101</v>
      </c>
      <c r="B904" t="s">
        <v>1158</v>
      </c>
      <c r="C904">
        <v>5000</v>
      </c>
      <c r="D904" t="s">
        <v>1131</v>
      </c>
      <c r="E904">
        <v>478400</v>
      </c>
      <c r="F904" t="s">
        <v>1452</v>
      </c>
    </row>
    <row r="905" spans="1:6" x14ac:dyDescent="0.35">
      <c r="A905">
        <v>20260101</v>
      </c>
      <c r="B905" t="s">
        <v>1158</v>
      </c>
      <c r="C905">
        <v>5400</v>
      </c>
      <c r="D905" t="s">
        <v>1131</v>
      </c>
      <c r="E905">
        <v>67454.399999999994</v>
      </c>
      <c r="F905" t="s">
        <v>1452</v>
      </c>
    </row>
    <row r="906" spans="1:6" x14ac:dyDescent="0.35">
      <c r="A906">
        <v>20260101</v>
      </c>
      <c r="B906" t="s">
        <v>1158</v>
      </c>
      <c r="C906">
        <v>6300</v>
      </c>
      <c r="D906" t="s">
        <v>1131</v>
      </c>
      <c r="E906">
        <v>88400</v>
      </c>
      <c r="F906" t="s">
        <v>1452</v>
      </c>
    </row>
    <row r="907" spans="1:6" x14ac:dyDescent="0.35">
      <c r="A907">
        <v>20260101</v>
      </c>
      <c r="B907" t="s">
        <v>1158</v>
      </c>
      <c r="C907">
        <v>3900</v>
      </c>
      <c r="D907" t="s">
        <v>1131</v>
      </c>
      <c r="E907">
        <v>-676000</v>
      </c>
      <c r="F907" t="s">
        <v>1452</v>
      </c>
    </row>
    <row r="908" spans="1:6" x14ac:dyDescent="0.35">
      <c r="A908">
        <v>20260101</v>
      </c>
      <c r="B908" t="s">
        <v>1243</v>
      </c>
      <c r="C908">
        <v>5100</v>
      </c>
      <c r="D908" t="s">
        <v>485</v>
      </c>
      <c r="E908">
        <v>93600</v>
      </c>
      <c r="F908" t="s">
        <v>1452</v>
      </c>
    </row>
    <row r="909" spans="1:6" x14ac:dyDescent="0.35">
      <c r="A909">
        <v>20260101</v>
      </c>
      <c r="B909" t="s">
        <v>1243</v>
      </c>
      <c r="C909">
        <v>3400</v>
      </c>
      <c r="D909" t="s">
        <v>485</v>
      </c>
      <c r="E909">
        <v>-93600</v>
      </c>
      <c r="F909" t="s">
        <v>1452</v>
      </c>
    </row>
    <row r="910" spans="1:6" x14ac:dyDescent="0.35">
      <c r="A910">
        <v>20260101</v>
      </c>
      <c r="B910" t="s">
        <v>1205</v>
      </c>
      <c r="C910">
        <v>5000</v>
      </c>
      <c r="D910" t="s">
        <v>1131</v>
      </c>
      <c r="E910">
        <v>478400</v>
      </c>
      <c r="F910" t="s">
        <v>1452</v>
      </c>
    </row>
    <row r="911" spans="1:6" x14ac:dyDescent="0.35">
      <c r="A911">
        <v>20260101</v>
      </c>
      <c r="B911" t="s">
        <v>1205</v>
      </c>
      <c r="C911">
        <v>5400</v>
      </c>
      <c r="D911" t="s">
        <v>1131</v>
      </c>
      <c r="E911">
        <v>67454.399999999994</v>
      </c>
      <c r="F911" t="s">
        <v>1452</v>
      </c>
    </row>
    <row r="912" spans="1:6" x14ac:dyDescent="0.35">
      <c r="A912">
        <v>20260101</v>
      </c>
      <c r="B912" t="s">
        <v>1205</v>
      </c>
      <c r="C912">
        <v>6300</v>
      </c>
      <c r="D912" t="s">
        <v>1131</v>
      </c>
      <c r="E912">
        <v>88400</v>
      </c>
      <c r="F912" t="s">
        <v>1452</v>
      </c>
    </row>
    <row r="913" spans="1:6" x14ac:dyDescent="0.35">
      <c r="A913">
        <v>20260101</v>
      </c>
      <c r="B913" t="s">
        <v>1205</v>
      </c>
      <c r="C913">
        <v>3900</v>
      </c>
      <c r="D913" t="s">
        <v>1131</v>
      </c>
      <c r="E913">
        <v>-676000</v>
      </c>
      <c r="F913" t="s">
        <v>1452</v>
      </c>
    </row>
    <row r="914" spans="1:6" x14ac:dyDescent="0.35">
      <c r="A914">
        <v>20260101</v>
      </c>
      <c r="B914" t="s">
        <v>1257</v>
      </c>
      <c r="C914">
        <v>5100</v>
      </c>
      <c r="D914" t="s">
        <v>485</v>
      </c>
      <c r="E914">
        <v>93600</v>
      </c>
      <c r="F914" t="s">
        <v>1452</v>
      </c>
    </row>
    <row r="915" spans="1:6" x14ac:dyDescent="0.35">
      <c r="A915">
        <v>20260101</v>
      </c>
      <c r="B915" t="s">
        <v>1257</v>
      </c>
      <c r="C915">
        <v>3400</v>
      </c>
      <c r="D915" t="s">
        <v>485</v>
      </c>
      <c r="E915">
        <v>-93600</v>
      </c>
      <c r="F915" t="s">
        <v>1452</v>
      </c>
    </row>
    <row r="916" spans="1:6" x14ac:dyDescent="0.35">
      <c r="A916">
        <v>20260101</v>
      </c>
      <c r="B916" t="s">
        <v>1164</v>
      </c>
      <c r="C916">
        <v>5000</v>
      </c>
      <c r="D916" t="s">
        <v>1131</v>
      </c>
      <c r="E916">
        <v>478400</v>
      </c>
      <c r="F916" t="s">
        <v>1452</v>
      </c>
    </row>
    <row r="917" spans="1:6" x14ac:dyDescent="0.35">
      <c r="A917">
        <v>20260101</v>
      </c>
      <c r="B917" t="s">
        <v>1164</v>
      </c>
      <c r="C917">
        <v>5400</v>
      </c>
      <c r="D917" t="s">
        <v>1131</v>
      </c>
      <c r="E917">
        <v>67454.399999999994</v>
      </c>
      <c r="F917" t="s">
        <v>1452</v>
      </c>
    </row>
    <row r="918" spans="1:6" x14ac:dyDescent="0.35">
      <c r="A918">
        <v>20260101</v>
      </c>
      <c r="B918" t="s">
        <v>1164</v>
      </c>
      <c r="C918">
        <v>6300</v>
      </c>
      <c r="D918" t="s">
        <v>1131</v>
      </c>
      <c r="E918">
        <v>88400</v>
      </c>
      <c r="F918" t="s">
        <v>1452</v>
      </c>
    </row>
    <row r="919" spans="1:6" x14ac:dyDescent="0.35">
      <c r="A919">
        <v>20260101</v>
      </c>
      <c r="B919" t="s">
        <v>1164</v>
      </c>
      <c r="C919">
        <v>3900</v>
      </c>
      <c r="D919" t="s">
        <v>1131</v>
      </c>
      <c r="E919">
        <v>-676000</v>
      </c>
      <c r="F919" t="s">
        <v>1452</v>
      </c>
    </row>
    <row r="920" spans="1:6" x14ac:dyDescent="0.35">
      <c r="A920">
        <v>20260101</v>
      </c>
      <c r="B920" t="s">
        <v>1249</v>
      </c>
      <c r="C920">
        <v>5100</v>
      </c>
      <c r="D920" t="s">
        <v>485</v>
      </c>
      <c r="E920">
        <v>93600</v>
      </c>
      <c r="F920" t="s">
        <v>1452</v>
      </c>
    </row>
    <row r="921" spans="1:6" x14ac:dyDescent="0.35">
      <c r="A921">
        <v>20260101</v>
      </c>
      <c r="B921" t="s">
        <v>1249</v>
      </c>
      <c r="C921">
        <v>3400</v>
      </c>
      <c r="D921" t="s">
        <v>485</v>
      </c>
      <c r="E921">
        <v>-93600</v>
      </c>
      <c r="F921" t="s">
        <v>1452</v>
      </c>
    </row>
    <row r="922" spans="1:6" x14ac:dyDescent="0.35">
      <c r="A922">
        <v>20260101</v>
      </c>
      <c r="B922" t="s">
        <v>1169</v>
      </c>
      <c r="C922">
        <v>5000</v>
      </c>
      <c r="D922" t="s">
        <v>1131</v>
      </c>
      <c r="E922">
        <v>478400</v>
      </c>
      <c r="F922" t="s">
        <v>1452</v>
      </c>
    </row>
    <row r="923" spans="1:6" x14ac:dyDescent="0.35">
      <c r="A923">
        <v>20260101</v>
      </c>
      <c r="B923" t="s">
        <v>1169</v>
      </c>
      <c r="C923">
        <v>5400</v>
      </c>
      <c r="D923" t="s">
        <v>1131</v>
      </c>
      <c r="E923">
        <v>67454.399999999994</v>
      </c>
      <c r="F923" t="s">
        <v>1452</v>
      </c>
    </row>
    <row r="924" spans="1:6" x14ac:dyDescent="0.35">
      <c r="A924">
        <v>20260101</v>
      </c>
      <c r="B924" t="s">
        <v>1169</v>
      </c>
      <c r="C924">
        <v>6300</v>
      </c>
      <c r="D924" t="s">
        <v>1131</v>
      </c>
      <c r="E924">
        <v>88400</v>
      </c>
      <c r="F924" t="s">
        <v>1452</v>
      </c>
    </row>
    <row r="925" spans="1:6" x14ac:dyDescent="0.35">
      <c r="A925">
        <v>20260101</v>
      </c>
      <c r="B925" t="s">
        <v>1169</v>
      </c>
      <c r="C925">
        <v>3900</v>
      </c>
      <c r="D925" t="s">
        <v>1131</v>
      </c>
      <c r="E925">
        <v>-676000</v>
      </c>
      <c r="F925" t="s">
        <v>1452</v>
      </c>
    </row>
    <row r="926" spans="1:6" x14ac:dyDescent="0.35">
      <c r="A926">
        <v>20260101</v>
      </c>
      <c r="B926" t="s">
        <v>1260</v>
      </c>
      <c r="C926">
        <v>5100</v>
      </c>
      <c r="D926" t="s">
        <v>485</v>
      </c>
      <c r="E926">
        <v>93600</v>
      </c>
      <c r="F926" t="s">
        <v>1452</v>
      </c>
    </row>
    <row r="927" spans="1:6" x14ac:dyDescent="0.35">
      <c r="A927">
        <v>20260101</v>
      </c>
      <c r="B927" t="s">
        <v>1260</v>
      </c>
      <c r="C927">
        <v>3400</v>
      </c>
      <c r="D927" t="s">
        <v>485</v>
      </c>
      <c r="E927">
        <v>-93600</v>
      </c>
      <c r="F927" t="s">
        <v>1452</v>
      </c>
    </row>
    <row r="928" spans="1:6" x14ac:dyDescent="0.35">
      <c r="A928">
        <v>20260101</v>
      </c>
      <c r="B928" t="s">
        <v>1175</v>
      </c>
      <c r="C928">
        <v>5000</v>
      </c>
      <c r="D928" t="s">
        <v>1131</v>
      </c>
      <c r="E928">
        <v>478400</v>
      </c>
      <c r="F928" t="s">
        <v>1452</v>
      </c>
    </row>
    <row r="929" spans="1:6" x14ac:dyDescent="0.35">
      <c r="A929">
        <v>20260101</v>
      </c>
      <c r="B929" t="s">
        <v>1175</v>
      </c>
      <c r="C929">
        <v>5400</v>
      </c>
      <c r="D929" t="s">
        <v>1131</v>
      </c>
      <c r="E929">
        <v>67454.399999999994</v>
      </c>
      <c r="F929" t="s">
        <v>1452</v>
      </c>
    </row>
    <row r="930" spans="1:6" x14ac:dyDescent="0.35">
      <c r="A930">
        <v>20260101</v>
      </c>
      <c r="B930" t="s">
        <v>1175</v>
      </c>
      <c r="C930">
        <v>6300</v>
      </c>
      <c r="D930" t="s">
        <v>1131</v>
      </c>
      <c r="E930">
        <v>88400</v>
      </c>
      <c r="F930" t="s">
        <v>1452</v>
      </c>
    </row>
    <row r="931" spans="1:6" x14ac:dyDescent="0.35">
      <c r="A931">
        <v>20260101</v>
      </c>
      <c r="B931" t="s">
        <v>1175</v>
      </c>
      <c r="C931">
        <v>3900</v>
      </c>
      <c r="D931" t="s">
        <v>1131</v>
      </c>
      <c r="E931">
        <v>-676000</v>
      </c>
      <c r="F931" t="s">
        <v>1452</v>
      </c>
    </row>
    <row r="932" spans="1:6" x14ac:dyDescent="0.35">
      <c r="A932">
        <v>20260101</v>
      </c>
      <c r="B932" t="s">
        <v>1247</v>
      </c>
      <c r="C932">
        <v>5100</v>
      </c>
      <c r="D932" t="s">
        <v>485</v>
      </c>
      <c r="E932">
        <v>93600</v>
      </c>
      <c r="F932" t="s">
        <v>1452</v>
      </c>
    </row>
    <row r="933" spans="1:6" x14ac:dyDescent="0.35">
      <c r="A933">
        <v>20260101</v>
      </c>
      <c r="B933" t="s">
        <v>1247</v>
      </c>
      <c r="C933">
        <v>3400</v>
      </c>
      <c r="D933" t="s">
        <v>485</v>
      </c>
      <c r="E933">
        <v>-93600</v>
      </c>
      <c r="F933" t="s">
        <v>1452</v>
      </c>
    </row>
    <row r="934" spans="1:6" x14ac:dyDescent="0.35">
      <c r="A934">
        <v>20260101</v>
      </c>
      <c r="B934" t="s">
        <v>1130</v>
      </c>
      <c r="C934">
        <v>5000</v>
      </c>
      <c r="D934" t="s">
        <v>1131</v>
      </c>
      <c r="E934">
        <v>478400</v>
      </c>
      <c r="F934" t="s">
        <v>1452</v>
      </c>
    </row>
    <row r="935" spans="1:6" x14ac:dyDescent="0.35">
      <c r="A935">
        <v>20260101</v>
      </c>
      <c r="B935" t="s">
        <v>1130</v>
      </c>
      <c r="C935">
        <v>5400</v>
      </c>
      <c r="D935" t="s">
        <v>1131</v>
      </c>
      <c r="E935">
        <v>67454.399999999994</v>
      </c>
      <c r="F935" t="s">
        <v>1452</v>
      </c>
    </row>
    <row r="936" spans="1:6" x14ac:dyDescent="0.35">
      <c r="A936">
        <v>20260101</v>
      </c>
      <c r="B936" t="s">
        <v>1130</v>
      </c>
      <c r="C936">
        <v>6300</v>
      </c>
      <c r="D936" t="s">
        <v>1131</v>
      </c>
      <c r="E936">
        <v>88400</v>
      </c>
      <c r="F936" t="s">
        <v>1452</v>
      </c>
    </row>
    <row r="937" spans="1:6" x14ac:dyDescent="0.35">
      <c r="A937">
        <v>20260101</v>
      </c>
      <c r="B937" t="s">
        <v>1130</v>
      </c>
      <c r="C937">
        <v>3900</v>
      </c>
      <c r="D937" t="s">
        <v>1131</v>
      </c>
      <c r="E937">
        <v>-676000</v>
      </c>
      <c r="F937" t="s">
        <v>1452</v>
      </c>
    </row>
    <row r="938" spans="1:6" x14ac:dyDescent="0.35">
      <c r="A938">
        <v>20260101</v>
      </c>
      <c r="B938" t="s">
        <v>1265</v>
      </c>
      <c r="C938">
        <v>5100</v>
      </c>
      <c r="D938" t="s">
        <v>485</v>
      </c>
      <c r="E938">
        <v>93600</v>
      </c>
      <c r="F938" t="s">
        <v>1452</v>
      </c>
    </row>
    <row r="939" spans="1:6" x14ac:dyDescent="0.35">
      <c r="A939">
        <v>20260101</v>
      </c>
      <c r="B939" t="s">
        <v>1265</v>
      </c>
      <c r="C939">
        <v>3400</v>
      </c>
      <c r="D939" t="s">
        <v>485</v>
      </c>
      <c r="E939">
        <v>-93600</v>
      </c>
      <c r="F939" t="s">
        <v>1452</v>
      </c>
    </row>
    <row r="940" spans="1:6" x14ac:dyDescent="0.35">
      <c r="A940">
        <v>20260101</v>
      </c>
      <c r="B940" t="s">
        <v>1173</v>
      </c>
      <c r="C940">
        <v>5000</v>
      </c>
      <c r="D940" t="s">
        <v>1131</v>
      </c>
      <c r="E940">
        <v>478400</v>
      </c>
      <c r="F940" t="s">
        <v>1452</v>
      </c>
    </row>
    <row r="941" spans="1:6" x14ac:dyDescent="0.35">
      <c r="A941">
        <v>20260101</v>
      </c>
      <c r="B941" t="s">
        <v>1173</v>
      </c>
      <c r="C941">
        <v>5400</v>
      </c>
      <c r="D941" t="s">
        <v>1131</v>
      </c>
      <c r="E941">
        <v>67454.399999999994</v>
      </c>
      <c r="F941" t="s">
        <v>1452</v>
      </c>
    </row>
    <row r="942" spans="1:6" x14ac:dyDescent="0.35">
      <c r="A942">
        <v>20260101</v>
      </c>
      <c r="B942" t="s">
        <v>1173</v>
      </c>
      <c r="C942">
        <v>6300</v>
      </c>
      <c r="D942" t="s">
        <v>1131</v>
      </c>
      <c r="E942">
        <v>88400</v>
      </c>
      <c r="F942" t="s">
        <v>1452</v>
      </c>
    </row>
    <row r="943" spans="1:6" x14ac:dyDescent="0.35">
      <c r="A943">
        <v>20260101</v>
      </c>
      <c r="B943" t="s">
        <v>1173</v>
      </c>
      <c r="C943">
        <v>3900</v>
      </c>
      <c r="D943" t="s">
        <v>1131</v>
      </c>
      <c r="E943">
        <v>-676000</v>
      </c>
      <c r="F943" t="s">
        <v>1452</v>
      </c>
    </row>
    <row r="944" spans="1:6" x14ac:dyDescent="0.35">
      <c r="A944">
        <v>20260101</v>
      </c>
      <c r="B944" t="s">
        <v>1255</v>
      </c>
      <c r="C944">
        <v>5100</v>
      </c>
      <c r="D944" t="s">
        <v>485</v>
      </c>
      <c r="E944">
        <v>93600</v>
      </c>
      <c r="F944" t="s">
        <v>1452</v>
      </c>
    </row>
    <row r="945" spans="1:6" x14ac:dyDescent="0.35">
      <c r="A945">
        <v>20260101</v>
      </c>
      <c r="B945" t="s">
        <v>1255</v>
      </c>
      <c r="C945">
        <v>3400</v>
      </c>
      <c r="D945" t="s">
        <v>485</v>
      </c>
      <c r="E945">
        <v>-93600</v>
      </c>
      <c r="F945" t="s">
        <v>1452</v>
      </c>
    </row>
    <row r="946" spans="1:6" x14ac:dyDescent="0.35">
      <c r="A946">
        <v>20260101</v>
      </c>
      <c r="B946" t="s">
        <v>1155</v>
      </c>
      <c r="C946">
        <v>5000</v>
      </c>
      <c r="D946" t="s">
        <v>1131</v>
      </c>
      <c r="E946">
        <v>478400</v>
      </c>
      <c r="F946" t="s">
        <v>1452</v>
      </c>
    </row>
    <row r="947" spans="1:6" x14ac:dyDescent="0.35">
      <c r="A947">
        <v>20260101</v>
      </c>
      <c r="B947" t="s">
        <v>1155</v>
      </c>
      <c r="C947">
        <v>5400</v>
      </c>
      <c r="D947" t="s">
        <v>1131</v>
      </c>
      <c r="E947">
        <v>67454.399999999994</v>
      </c>
      <c r="F947" t="s">
        <v>1452</v>
      </c>
    </row>
    <row r="948" spans="1:6" x14ac:dyDescent="0.35">
      <c r="A948">
        <v>20260101</v>
      </c>
      <c r="B948" t="s">
        <v>1155</v>
      </c>
      <c r="C948">
        <v>6300</v>
      </c>
      <c r="D948" t="s">
        <v>1131</v>
      </c>
      <c r="E948">
        <v>88400</v>
      </c>
      <c r="F948" t="s">
        <v>1452</v>
      </c>
    </row>
    <row r="949" spans="1:6" x14ac:dyDescent="0.35">
      <c r="A949">
        <v>20260101</v>
      </c>
      <c r="B949" t="s">
        <v>1155</v>
      </c>
      <c r="C949">
        <v>3900</v>
      </c>
      <c r="D949" t="s">
        <v>1131</v>
      </c>
      <c r="E949">
        <v>-676000</v>
      </c>
      <c r="F949" t="s">
        <v>1452</v>
      </c>
    </row>
    <row r="950" spans="1:6" x14ac:dyDescent="0.35">
      <c r="A950">
        <v>20260101</v>
      </c>
      <c r="B950" t="s">
        <v>1138</v>
      </c>
      <c r="C950">
        <v>5000</v>
      </c>
      <c r="D950" t="s">
        <v>1131</v>
      </c>
      <c r="E950">
        <v>478400</v>
      </c>
      <c r="F950" t="s">
        <v>1452</v>
      </c>
    </row>
    <row r="951" spans="1:6" x14ac:dyDescent="0.35">
      <c r="A951">
        <v>20260101</v>
      </c>
      <c r="B951" t="s">
        <v>1138</v>
      </c>
      <c r="C951">
        <v>5400</v>
      </c>
      <c r="D951" t="s">
        <v>1131</v>
      </c>
      <c r="E951">
        <v>67454.399999999994</v>
      </c>
      <c r="F951" t="s">
        <v>1452</v>
      </c>
    </row>
    <row r="952" spans="1:6" x14ac:dyDescent="0.35">
      <c r="A952">
        <v>20260101</v>
      </c>
      <c r="B952" t="s">
        <v>1138</v>
      </c>
      <c r="C952">
        <v>6300</v>
      </c>
      <c r="D952" t="s">
        <v>1131</v>
      </c>
      <c r="E952">
        <v>88400</v>
      </c>
      <c r="F952" t="s">
        <v>1452</v>
      </c>
    </row>
    <row r="953" spans="1:6" x14ac:dyDescent="0.35">
      <c r="A953">
        <v>20260101</v>
      </c>
      <c r="B953" t="s">
        <v>1138</v>
      </c>
      <c r="C953">
        <v>3900</v>
      </c>
      <c r="D953" t="s">
        <v>1131</v>
      </c>
      <c r="E953">
        <v>-676000</v>
      </c>
      <c r="F953" t="s">
        <v>1452</v>
      </c>
    </row>
    <row r="954" spans="1:6" x14ac:dyDescent="0.35">
      <c r="A954">
        <v>20260201</v>
      </c>
      <c r="B954" t="s">
        <v>1150</v>
      </c>
      <c r="C954">
        <v>5000</v>
      </c>
      <c r="D954" t="s">
        <v>1131</v>
      </c>
      <c r="E954">
        <v>478400</v>
      </c>
      <c r="F954" t="s">
        <v>1452</v>
      </c>
    </row>
    <row r="955" spans="1:6" x14ac:dyDescent="0.35">
      <c r="A955">
        <v>20260201</v>
      </c>
      <c r="B955" t="s">
        <v>1150</v>
      </c>
      <c r="C955">
        <v>5400</v>
      </c>
      <c r="D955" t="s">
        <v>1131</v>
      </c>
      <c r="E955">
        <v>67454.399999999994</v>
      </c>
      <c r="F955" t="s">
        <v>1452</v>
      </c>
    </row>
    <row r="956" spans="1:6" x14ac:dyDescent="0.35">
      <c r="A956">
        <v>20260201</v>
      </c>
      <c r="B956" t="s">
        <v>1150</v>
      </c>
      <c r="C956">
        <v>6300</v>
      </c>
      <c r="D956" t="s">
        <v>1131</v>
      </c>
      <c r="E956">
        <v>88400</v>
      </c>
      <c r="F956" t="s">
        <v>1452</v>
      </c>
    </row>
    <row r="957" spans="1:6" x14ac:dyDescent="0.35">
      <c r="A957">
        <v>20260201</v>
      </c>
      <c r="B957" t="s">
        <v>1150</v>
      </c>
      <c r="C957">
        <v>3900</v>
      </c>
      <c r="D957" t="s">
        <v>1131</v>
      </c>
      <c r="E957">
        <v>-676000</v>
      </c>
      <c r="F957" t="s">
        <v>1452</v>
      </c>
    </row>
    <row r="958" spans="1:6" x14ac:dyDescent="0.35">
      <c r="A958">
        <v>20260201</v>
      </c>
      <c r="B958" t="s">
        <v>1272</v>
      </c>
      <c r="C958">
        <v>5100</v>
      </c>
      <c r="D958" t="s">
        <v>485</v>
      </c>
      <c r="E958">
        <v>93600</v>
      </c>
      <c r="F958" t="s">
        <v>1452</v>
      </c>
    </row>
    <row r="959" spans="1:6" x14ac:dyDescent="0.35">
      <c r="A959">
        <v>20260201</v>
      </c>
      <c r="B959" t="s">
        <v>1272</v>
      </c>
      <c r="C959">
        <v>3400</v>
      </c>
      <c r="D959" t="s">
        <v>485</v>
      </c>
      <c r="E959">
        <v>-93600</v>
      </c>
      <c r="F959" t="s">
        <v>1452</v>
      </c>
    </row>
    <row r="960" spans="1:6" x14ac:dyDescent="0.35">
      <c r="A960">
        <v>20260201</v>
      </c>
      <c r="B960" t="s">
        <v>1158</v>
      </c>
      <c r="C960">
        <v>5000</v>
      </c>
      <c r="D960" t="s">
        <v>1131</v>
      </c>
      <c r="E960">
        <v>478400</v>
      </c>
      <c r="F960" t="s">
        <v>1452</v>
      </c>
    </row>
    <row r="961" spans="1:6" x14ac:dyDescent="0.35">
      <c r="A961">
        <v>20260201</v>
      </c>
      <c r="B961" t="s">
        <v>1158</v>
      </c>
      <c r="C961">
        <v>5400</v>
      </c>
      <c r="D961" t="s">
        <v>1131</v>
      </c>
      <c r="E961">
        <v>67454.399999999994</v>
      </c>
      <c r="F961" t="s">
        <v>1452</v>
      </c>
    </row>
    <row r="962" spans="1:6" x14ac:dyDescent="0.35">
      <c r="A962">
        <v>20260201</v>
      </c>
      <c r="B962" t="s">
        <v>1158</v>
      </c>
      <c r="C962">
        <v>6300</v>
      </c>
      <c r="D962" t="s">
        <v>1131</v>
      </c>
      <c r="E962">
        <v>88400</v>
      </c>
      <c r="F962" t="s">
        <v>1452</v>
      </c>
    </row>
    <row r="963" spans="1:6" x14ac:dyDescent="0.35">
      <c r="A963">
        <v>20260201</v>
      </c>
      <c r="B963" t="s">
        <v>1158</v>
      </c>
      <c r="C963">
        <v>3900</v>
      </c>
      <c r="D963" t="s">
        <v>1131</v>
      </c>
      <c r="E963">
        <v>-676000</v>
      </c>
      <c r="F963" t="s">
        <v>1452</v>
      </c>
    </row>
    <row r="964" spans="1:6" x14ac:dyDescent="0.35">
      <c r="A964">
        <v>20260201</v>
      </c>
      <c r="B964" t="s">
        <v>1243</v>
      </c>
      <c r="C964">
        <v>5100</v>
      </c>
      <c r="D964" t="s">
        <v>485</v>
      </c>
      <c r="E964">
        <v>93600</v>
      </c>
      <c r="F964" t="s">
        <v>1452</v>
      </c>
    </row>
    <row r="965" spans="1:6" x14ac:dyDescent="0.35">
      <c r="A965">
        <v>20260201</v>
      </c>
      <c r="B965" t="s">
        <v>1243</v>
      </c>
      <c r="C965">
        <v>3400</v>
      </c>
      <c r="D965" t="s">
        <v>485</v>
      </c>
      <c r="E965">
        <v>-93600</v>
      </c>
      <c r="F965" t="s">
        <v>1452</v>
      </c>
    </row>
    <row r="966" spans="1:6" x14ac:dyDescent="0.35">
      <c r="A966">
        <v>20260201</v>
      </c>
      <c r="B966" t="s">
        <v>1205</v>
      </c>
      <c r="C966">
        <v>5000</v>
      </c>
      <c r="D966" t="s">
        <v>1131</v>
      </c>
      <c r="E966">
        <v>478400</v>
      </c>
      <c r="F966" t="s">
        <v>1452</v>
      </c>
    </row>
    <row r="967" spans="1:6" x14ac:dyDescent="0.35">
      <c r="A967">
        <v>20260201</v>
      </c>
      <c r="B967" t="s">
        <v>1205</v>
      </c>
      <c r="C967">
        <v>5400</v>
      </c>
      <c r="D967" t="s">
        <v>1131</v>
      </c>
      <c r="E967">
        <v>67454.399999999994</v>
      </c>
      <c r="F967" t="s">
        <v>1452</v>
      </c>
    </row>
    <row r="968" spans="1:6" x14ac:dyDescent="0.35">
      <c r="A968">
        <v>20260201</v>
      </c>
      <c r="B968" t="s">
        <v>1205</v>
      </c>
      <c r="C968">
        <v>6300</v>
      </c>
      <c r="D968" t="s">
        <v>1131</v>
      </c>
      <c r="E968">
        <v>88400</v>
      </c>
      <c r="F968" t="s">
        <v>1452</v>
      </c>
    </row>
    <row r="969" spans="1:6" x14ac:dyDescent="0.35">
      <c r="A969">
        <v>20260201</v>
      </c>
      <c r="B969" t="s">
        <v>1205</v>
      </c>
      <c r="C969">
        <v>3900</v>
      </c>
      <c r="D969" t="s">
        <v>1131</v>
      </c>
      <c r="E969">
        <v>-676000</v>
      </c>
      <c r="F969" t="s">
        <v>1452</v>
      </c>
    </row>
    <row r="970" spans="1:6" x14ac:dyDescent="0.35">
      <c r="A970">
        <v>20260201</v>
      </c>
      <c r="B970" t="s">
        <v>1257</v>
      </c>
      <c r="C970">
        <v>5100</v>
      </c>
      <c r="D970" t="s">
        <v>485</v>
      </c>
      <c r="E970">
        <v>93600</v>
      </c>
      <c r="F970" t="s">
        <v>1452</v>
      </c>
    </row>
    <row r="971" spans="1:6" x14ac:dyDescent="0.35">
      <c r="A971">
        <v>20260201</v>
      </c>
      <c r="B971" t="s">
        <v>1257</v>
      </c>
      <c r="C971">
        <v>3400</v>
      </c>
      <c r="D971" t="s">
        <v>485</v>
      </c>
      <c r="E971">
        <v>-93600</v>
      </c>
      <c r="F971" t="s">
        <v>1452</v>
      </c>
    </row>
    <row r="972" spans="1:6" x14ac:dyDescent="0.35">
      <c r="A972">
        <v>20260201</v>
      </c>
      <c r="B972" t="s">
        <v>1164</v>
      </c>
      <c r="C972">
        <v>5000</v>
      </c>
      <c r="D972" t="s">
        <v>1131</v>
      </c>
      <c r="E972">
        <v>478400</v>
      </c>
      <c r="F972" t="s">
        <v>1452</v>
      </c>
    </row>
    <row r="973" spans="1:6" x14ac:dyDescent="0.35">
      <c r="A973">
        <v>20260201</v>
      </c>
      <c r="B973" t="s">
        <v>1164</v>
      </c>
      <c r="C973">
        <v>5400</v>
      </c>
      <c r="D973" t="s">
        <v>1131</v>
      </c>
      <c r="E973">
        <v>67454.399999999994</v>
      </c>
      <c r="F973" t="s">
        <v>1452</v>
      </c>
    </row>
    <row r="974" spans="1:6" x14ac:dyDescent="0.35">
      <c r="A974">
        <v>20260201</v>
      </c>
      <c r="B974" t="s">
        <v>1164</v>
      </c>
      <c r="C974">
        <v>6300</v>
      </c>
      <c r="D974" t="s">
        <v>1131</v>
      </c>
      <c r="E974">
        <v>88400</v>
      </c>
      <c r="F974" t="s">
        <v>1452</v>
      </c>
    </row>
    <row r="975" spans="1:6" x14ac:dyDescent="0.35">
      <c r="A975">
        <v>20260201</v>
      </c>
      <c r="B975" t="s">
        <v>1164</v>
      </c>
      <c r="C975">
        <v>3900</v>
      </c>
      <c r="D975" t="s">
        <v>1131</v>
      </c>
      <c r="E975">
        <v>-676000</v>
      </c>
      <c r="F975" t="s">
        <v>1452</v>
      </c>
    </row>
    <row r="976" spans="1:6" x14ac:dyDescent="0.35">
      <c r="A976">
        <v>20260201</v>
      </c>
      <c r="B976" t="s">
        <v>1249</v>
      </c>
      <c r="C976">
        <v>5100</v>
      </c>
      <c r="D976" t="s">
        <v>485</v>
      </c>
      <c r="E976">
        <v>93600</v>
      </c>
      <c r="F976" t="s">
        <v>1452</v>
      </c>
    </row>
    <row r="977" spans="1:6" x14ac:dyDescent="0.35">
      <c r="A977">
        <v>20260201</v>
      </c>
      <c r="B977" t="s">
        <v>1249</v>
      </c>
      <c r="C977">
        <v>3400</v>
      </c>
      <c r="D977" t="s">
        <v>485</v>
      </c>
      <c r="E977">
        <v>-93600</v>
      </c>
      <c r="F977" t="s">
        <v>1452</v>
      </c>
    </row>
    <row r="978" spans="1:6" x14ac:dyDescent="0.35">
      <c r="A978">
        <v>20260201</v>
      </c>
      <c r="B978" t="s">
        <v>1169</v>
      </c>
      <c r="C978">
        <v>5000</v>
      </c>
      <c r="D978" t="s">
        <v>1131</v>
      </c>
      <c r="E978">
        <v>478400</v>
      </c>
      <c r="F978" t="s">
        <v>1452</v>
      </c>
    </row>
    <row r="979" spans="1:6" x14ac:dyDescent="0.35">
      <c r="A979">
        <v>20260201</v>
      </c>
      <c r="B979" t="s">
        <v>1169</v>
      </c>
      <c r="C979">
        <v>5400</v>
      </c>
      <c r="D979" t="s">
        <v>1131</v>
      </c>
      <c r="E979">
        <v>67454.399999999994</v>
      </c>
      <c r="F979" t="s">
        <v>1452</v>
      </c>
    </row>
    <row r="980" spans="1:6" x14ac:dyDescent="0.35">
      <c r="A980">
        <v>20260201</v>
      </c>
      <c r="B980" t="s">
        <v>1169</v>
      </c>
      <c r="C980">
        <v>6300</v>
      </c>
      <c r="D980" t="s">
        <v>1131</v>
      </c>
      <c r="E980">
        <v>88400</v>
      </c>
      <c r="F980" t="s">
        <v>1452</v>
      </c>
    </row>
    <row r="981" spans="1:6" x14ac:dyDescent="0.35">
      <c r="A981">
        <v>20260201</v>
      </c>
      <c r="B981" t="s">
        <v>1169</v>
      </c>
      <c r="C981">
        <v>3900</v>
      </c>
      <c r="D981" t="s">
        <v>1131</v>
      </c>
      <c r="E981">
        <v>-676000</v>
      </c>
      <c r="F981" t="s">
        <v>1452</v>
      </c>
    </row>
    <row r="982" spans="1:6" x14ac:dyDescent="0.35">
      <c r="A982">
        <v>20260201</v>
      </c>
      <c r="B982" t="s">
        <v>1260</v>
      </c>
      <c r="C982">
        <v>5100</v>
      </c>
      <c r="D982" t="s">
        <v>485</v>
      </c>
      <c r="E982">
        <v>93600</v>
      </c>
      <c r="F982" t="s">
        <v>1452</v>
      </c>
    </row>
    <row r="983" spans="1:6" x14ac:dyDescent="0.35">
      <c r="A983">
        <v>20260201</v>
      </c>
      <c r="B983" t="s">
        <v>1260</v>
      </c>
      <c r="C983">
        <v>3400</v>
      </c>
      <c r="D983" t="s">
        <v>485</v>
      </c>
      <c r="E983">
        <v>-93600</v>
      </c>
      <c r="F983" t="s">
        <v>1452</v>
      </c>
    </row>
    <row r="984" spans="1:6" x14ac:dyDescent="0.35">
      <c r="A984">
        <v>20260201</v>
      </c>
      <c r="B984" t="s">
        <v>1175</v>
      </c>
      <c r="C984">
        <v>5000</v>
      </c>
      <c r="D984" t="s">
        <v>1131</v>
      </c>
      <c r="E984">
        <v>478400</v>
      </c>
      <c r="F984" t="s">
        <v>1452</v>
      </c>
    </row>
    <row r="985" spans="1:6" x14ac:dyDescent="0.35">
      <c r="A985">
        <v>20260201</v>
      </c>
      <c r="B985" t="s">
        <v>1175</v>
      </c>
      <c r="C985">
        <v>5400</v>
      </c>
      <c r="D985" t="s">
        <v>1131</v>
      </c>
      <c r="E985">
        <v>67454.399999999994</v>
      </c>
      <c r="F985" t="s">
        <v>1452</v>
      </c>
    </row>
    <row r="986" spans="1:6" x14ac:dyDescent="0.35">
      <c r="A986">
        <v>20260201</v>
      </c>
      <c r="B986" t="s">
        <v>1175</v>
      </c>
      <c r="C986">
        <v>6300</v>
      </c>
      <c r="D986" t="s">
        <v>1131</v>
      </c>
      <c r="E986">
        <v>88400</v>
      </c>
      <c r="F986" t="s">
        <v>1452</v>
      </c>
    </row>
    <row r="987" spans="1:6" x14ac:dyDescent="0.35">
      <c r="A987">
        <v>20260201</v>
      </c>
      <c r="B987" t="s">
        <v>1175</v>
      </c>
      <c r="C987">
        <v>3900</v>
      </c>
      <c r="D987" t="s">
        <v>1131</v>
      </c>
      <c r="E987">
        <v>-676000</v>
      </c>
      <c r="F987" t="s">
        <v>1452</v>
      </c>
    </row>
    <row r="988" spans="1:6" x14ac:dyDescent="0.35">
      <c r="A988">
        <v>20260201</v>
      </c>
      <c r="B988" t="s">
        <v>1247</v>
      </c>
      <c r="C988">
        <v>5100</v>
      </c>
      <c r="D988" t="s">
        <v>485</v>
      </c>
      <c r="E988">
        <v>93600</v>
      </c>
      <c r="F988" t="s">
        <v>1452</v>
      </c>
    </row>
    <row r="989" spans="1:6" x14ac:dyDescent="0.35">
      <c r="A989">
        <v>20260201</v>
      </c>
      <c r="B989" t="s">
        <v>1247</v>
      </c>
      <c r="C989">
        <v>3400</v>
      </c>
      <c r="D989" t="s">
        <v>485</v>
      </c>
      <c r="E989">
        <v>-93600</v>
      </c>
      <c r="F989" t="s">
        <v>1452</v>
      </c>
    </row>
    <row r="990" spans="1:6" x14ac:dyDescent="0.35">
      <c r="A990">
        <v>20260201</v>
      </c>
      <c r="B990" t="s">
        <v>1130</v>
      </c>
      <c r="C990">
        <v>5000</v>
      </c>
      <c r="D990" t="s">
        <v>1131</v>
      </c>
      <c r="E990">
        <v>478400</v>
      </c>
      <c r="F990" t="s">
        <v>1452</v>
      </c>
    </row>
    <row r="991" spans="1:6" x14ac:dyDescent="0.35">
      <c r="A991">
        <v>20260201</v>
      </c>
      <c r="B991" t="s">
        <v>1130</v>
      </c>
      <c r="C991">
        <v>5400</v>
      </c>
      <c r="D991" t="s">
        <v>1131</v>
      </c>
      <c r="E991">
        <v>67454.399999999994</v>
      </c>
      <c r="F991" t="s">
        <v>1452</v>
      </c>
    </row>
    <row r="992" spans="1:6" x14ac:dyDescent="0.35">
      <c r="A992">
        <v>20260201</v>
      </c>
      <c r="B992" t="s">
        <v>1130</v>
      </c>
      <c r="C992">
        <v>6300</v>
      </c>
      <c r="D992" t="s">
        <v>1131</v>
      </c>
      <c r="E992">
        <v>88400</v>
      </c>
      <c r="F992" t="s">
        <v>1452</v>
      </c>
    </row>
    <row r="993" spans="1:6" x14ac:dyDescent="0.35">
      <c r="A993">
        <v>20260201</v>
      </c>
      <c r="B993" t="s">
        <v>1130</v>
      </c>
      <c r="C993">
        <v>3900</v>
      </c>
      <c r="D993" t="s">
        <v>1131</v>
      </c>
      <c r="E993">
        <v>-676000</v>
      </c>
      <c r="F993" t="s">
        <v>1452</v>
      </c>
    </row>
    <row r="994" spans="1:6" x14ac:dyDescent="0.35">
      <c r="A994">
        <v>20260201</v>
      </c>
      <c r="B994" t="s">
        <v>1265</v>
      </c>
      <c r="C994">
        <v>5100</v>
      </c>
      <c r="D994" t="s">
        <v>485</v>
      </c>
      <c r="E994">
        <v>93600</v>
      </c>
      <c r="F994" t="s">
        <v>1452</v>
      </c>
    </row>
    <row r="995" spans="1:6" x14ac:dyDescent="0.35">
      <c r="A995">
        <v>20260201</v>
      </c>
      <c r="B995" t="s">
        <v>1265</v>
      </c>
      <c r="C995">
        <v>3400</v>
      </c>
      <c r="D995" t="s">
        <v>485</v>
      </c>
      <c r="E995">
        <v>-93600</v>
      </c>
      <c r="F995" t="s">
        <v>1452</v>
      </c>
    </row>
    <row r="996" spans="1:6" x14ac:dyDescent="0.35">
      <c r="A996">
        <v>20260201</v>
      </c>
      <c r="B996" t="s">
        <v>1173</v>
      </c>
      <c r="C996">
        <v>5000</v>
      </c>
      <c r="D996" t="s">
        <v>1131</v>
      </c>
      <c r="E996">
        <v>478400</v>
      </c>
      <c r="F996" t="s">
        <v>1452</v>
      </c>
    </row>
    <row r="997" spans="1:6" x14ac:dyDescent="0.35">
      <c r="A997">
        <v>20260201</v>
      </c>
      <c r="B997" t="s">
        <v>1173</v>
      </c>
      <c r="C997">
        <v>5400</v>
      </c>
      <c r="D997" t="s">
        <v>1131</v>
      </c>
      <c r="E997">
        <v>67454.399999999994</v>
      </c>
      <c r="F997" t="s">
        <v>1452</v>
      </c>
    </row>
    <row r="998" spans="1:6" x14ac:dyDescent="0.35">
      <c r="A998">
        <v>20260201</v>
      </c>
      <c r="B998" t="s">
        <v>1173</v>
      </c>
      <c r="C998">
        <v>6300</v>
      </c>
      <c r="D998" t="s">
        <v>1131</v>
      </c>
      <c r="E998">
        <v>88400</v>
      </c>
      <c r="F998" t="s">
        <v>1452</v>
      </c>
    </row>
    <row r="999" spans="1:6" x14ac:dyDescent="0.35">
      <c r="A999">
        <v>20260201</v>
      </c>
      <c r="B999" t="s">
        <v>1173</v>
      </c>
      <c r="C999">
        <v>3900</v>
      </c>
      <c r="D999" t="s">
        <v>1131</v>
      </c>
      <c r="E999">
        <v>-676000</v>
      </c>
      <c r="F999" t="s">
        <v>1452</v>
      </c>
    </row>
    <row r="1000" spans="1:6" x14ac:dyDescent="0.35">
      <c r="A1000">
        <v>20260201</v>
      </c>
      <c r="B1000" t="s">
        <v>1255</v>
      </c>
      <c r="C1000">
        <v>5100</v>
      </c>
      <c r="D1000" t="s">
        <v>485</v>
      </c>
      <c r="E1000">
        <v>93600</v>
      </c>
      <c r="F1000" t="s">
        <v>1452</v>
      </c>
    </row>
    <row r="1001" spans="1:6" x14ac:dyDescent="0.35">
      <c r="A1001">
        <v>20260201</v>
      </c>
      <c r="B1001" t="s">
        <v>1255</v>
      </c>
      <c r="C1001">
        <v>3400</v>
      </c>
      <c r="D1001" t="s">
        <v>485</v>
      </c>
      <c r="E1001">
        <v>-93600</v>
      </c>
      <c r="F1001" t="s">
        <v>1452</v>
      </c>
    </row>
    <row r="1002" spans="1:6" x14ac:dyDescent="0.35">
      <c r="A1002">
        <v>20260201</v>
      </c>
      <c r="B1002" t="s">
        <v>1155</v>
      </c>
      <c r="C1002">
        <v>5000</v>
      </c>
      <c r="D1002" t="s">
        <v>1131</v>
      </c>
      <c r="E1002">
        <v>478400</v>
      </c>
      <c r="F1002" t="s">
        <v>1452</v>
      </c>
    </row>
    <row r="1003" spans="1:6" x14ac:dyDescent="0.35">
      <c r="A1003">
        <v>20260201</v>
      </c>
      <c r="B1003" t="s">
        <v>1155</v>
      </c>
      <c r="C1003">
        <v>5400</v>
      </c>
      <c r="D1003" t="s">
        <v>1131</v>
      </c>
      <c r="E1003">
        <v>67454.399999999994</v>
      </c>
      <c r="F1003" t="s">
        <v>1452</v>
      </c>
    </row>
    <row r="1004" spans="1:6" x14ac:dyDescent="0.35">
      <c r="A1004">
        <v>20260201</v>
      </c>
      <c r="B1004" t="s">
        <v>1155</v>
      </c>
      <c r="C1004">
        <v>6300</v>
      </c>
      <c r="D1004" t="s">
        <v>1131</v>
      </c>
      <c r="E1004">
        <v>88400</v>
      </c>
      <c r="F1004" t="s">
        <v>1452</v>
      </c>
    </row>
    <row r="1005" spans="1:6" x14ac:dyDescent="0.35">
      <c r="A1005">
        <v>20260201</v>
      </c>
      <c r="B1005" t="s">
        <v>1155</v>
      </c>
      <c r="C1005">
        <v>3900</v>
      </c>
      <c r="D1005" t="s">
        <v>1131</v>
      </c>
      <c r="E1005">
        <v>-676000</v>
      </c>
      <c r="F1005" t="s">
        <v>1452</v>
      </c>
    </row>
    <row r="1006" spans="1:6" x14ac:dyDescent="0.35">
      <c r="A1006">
        <v>20260201</v>
      </c>
      <c r="B1006" t="s">
        <v>1138</v>
      </c>
      <c r="C1006">
        <v>5000</v>
      </c>
      <c r="D1006" t="s">
        <v>1131</v>
      </c>
      <c r="E1006">
        <v>478400</v>
      </c>
      <c r="F1006" t="s">
        <v>1452</v>
      </c>
    </row>
    <row r="1007" spans="1:6" x14ac:dyDescent="0.35">
      <c r="A1007">
        <v>20260201</v>
      </c>
      <c r="B1007" t="s">
        <v>1138</v>
      </c>
      <c r="C1007">
        <v>5400</v>
      </c>
      <c r="D1007" t="s">
        <v>1131</v>
      </c>
      <c r="E1007">
        <v>67454.399999999994</v>
      </c>
      <c r="F1007" t="s">
        <v>1452</v>
      </c>
    </row>
    <row r="1008" spans="1:6" x14ac:dyDescent="0.35">
      <c r="A1008">
        <v>20260201</v>
      </c>
      <c r="B1008" t="s">
        <v>1138</v>
      </c>
      <c r="C1008">
        <v>6300</v>
      </c>
      <c r="D1008" t="s">
        <v>1131</v>
      </c>
      <c r="E1008">
        <v>88400</v>
      </c>
      <c r="F1008" t="s">
        <v>1452</v>
      </c>
    </row>
    <row r="1009" spans="1:6" x14ac:dyDescent="0.35">
      <c r="A1009">
        <v>20260201</v>
      </c>
      <c r="B1009" t="s">
        <v>1138</v>
      </c>
      <c r="C1009">
        <v>3900</v>
      </c>
      <c r="D1009" t="s">
        <v>1131</v>
      </c>
      <c r="E1009">
        <v>-676000</v>
      </c>
      <c r="F1009" t="s">
        <v>1452</v>
      </c>
    </row>
    <row r="1010" spans="1:6" x14ac:dyDescent="0.35">
      <c r="A1010">
        <v>20260301</v>
      </c>
      <c r="B1010" t="s">
        <v>1150</v>
      </c>
      <c r="C1010">
        <v>5000</v>
      </c>
      <c r="D1010" t="s">
        <v>1131</v>
      </c>
      <c r="E1010">
        <v>478400</v>
      </c>
      <c r="F1010" t="s">
        <v>1452</v>
      </c>
    </row>
    <row r="1011" spans="1:6" x14ac:dyDescent="0.35">
      <c r="A1011">
        <v>20260301</v>
      </c>
      <c r="B1011" t="s">
        <v>1150</v>
      </c>
      <c r="C1011">
        <v>5400</v>
      </c>
      <c r="D1011" t="s">
        <v>1131</v>
      </c>
      <c r="E1011">
        <v>67454.399999999994</v>
      </c>
      <c r="F1011" t="s">
        <v>1452</v>
      </c>
    </row>
    <row r="1012" spans="1:6" x14ac:dyDescent="0.35">
      <c r="A1012">
        <v>20260301</v>
      </c>
      <c r="B1012" t="s">
        <v>1150</v>
      </c>
      <c r="C1012">
        <v>6300</v>
      </c>
      <c r="D1012" t="s">
        <v>1131</v>
      </c>
      <c r="E1012">
        <v>88400</v>
      </c>
      <c r="F1012" t="s">
        <v>1452</v>
      </c>
    </row>
    <row r="1013" spans="1:6" x14ac:dyDescent="0.35">
      <c r="A1013">
        <v>20260301</v>
      </c>
      <c r="B1013" t="s">
        <v>1150</v>
      </c>
      <c r="C1013">
        <v>3900</v>
      </c>
      <c r="D1013" t="s">
        <v>1131</v>
      </c>
      <c r="E1013">
        <v>-676000</v>
      </c>
      <c r="F1013" t="s">
        <v>1452</v>
      </c>
    </row>
    <row r="1014" spans="1:6" x14ac:dyDescent="0.35">
      <c r="A1014">
        <v>20260301</v>
      </c>
      <c r="B1014" t="s">
        <v>1272</v>
      </c>
      <c r="C1014">
        <v>5100</v>
      </c>
      <c r="D1014" t="s">
        <v>485</v>
      </c>
      <c r="E1014">
        <v>93600</v>
      </c>
      <c r="F1014" t="s">
        <v>1452</v>
      </c>
    </row>
    <row r="1015" spans="1:6" x14ac:dyDescent="0.35">
      <c r="A1015">
        <v>20260301</v>
      </c>
      <c r="B1015" t="s">
        <v>1272</v>
      </c>
      <c r="C1015">
        <v>3400</v>
      </c>
      <c r="D1015" t="s">
        <v>485</v>
      </c>
      <c r="E1015">
        <v>-93600</v>
      </c>
      <c r="F1015" t="s">
        <v>1452</v>
      </c>
    </row>
    <row r="1016" spans="1:6" x14ac:dyDescent="0.35">
      <c r="A1016">
        <v>20260301</v>
      </c>
      <c r="B1016" t="s">
        <v>1158</v>
      </c>
      <c r="C1016">
        <v>5000</v>
      </c>
      <c r="D1016" t="s">
        <v>1131</v>
      </c>
      <c r="E1016">
        <v>478400</v>
      </c>
      <c r="F1016" t="s">
        <v>1452</v>
      </c>
    </row>
    <row r="1017" spans="1:6" x14ac:dyDescent="0.35">
      <c r="A1017">
        <v>20260301</v>
      </c>
      <c r="B1017" t="s">
        <v>1158</v>
      </c>
      <c r="C1017">
        <v>5400</v>
      </c>
      <c r="D1017" t="s">
        <v>1131</v>
      </c>
      <c r="E1017">
        <v>67454.399999999994</v>
      </c>
      <c r="F1017" t="s">
        <v>1452</v>
      </c>
    </row>
    <row r="1018" spans="1:6" x14ac:dyDescent="0.35">
      <c r="A1018">
        <v>20260301</v>
      </c>
      <c r="B1018" t="s">
        <v>1158</v>
      </c>
      <c r="C1018">
        <v>6300</v>
      </c>
      <c r="D1018" t="s">
        <v>1131</v>
      </c>
      <c r="E1018">
        <v>88400</v>
      </c>
      <c r="F1018" t="s">
        <v>1452</v>
      </c>
    </row>
    <row r="1019" spans="1:6" x14ac:dyDescent="0.35">
      <c r="A1019">
        <v>20260301</v>
      </c>
      <c r="B1019" t="s">
        <v>1158</v>
      </c>
      <c r="C1019">
        <v>3900</v>
      </c>
      <c r="D1019" t="s">
        <v>1131</v>
      </c>
      <c r="E1019">
        <v>-676000</v>
      </c>
      <c r="F1019" t="s">
        <v>1452</v>
      </c>
    </row>
    <row r="1020" spans="1:6" x14ac:dyDescent="0.35">
      <c r="A1020">
        <v>20260301</v>
      </c>
      <c r="B1020" t="s">
        <v>1243</v>
      </c>
      <c r="C1020">
        <v>5100</v>
      </c>
      <c r="D1020" t="s">
        <v>485</v>
      </c>
      <c r="E1020">
        <v>93600</v>
      </c>
      <c r="F1020" t="s">
        <v>1452</v>
      </c>
    </row>
    <row r="1021" spans="1:6" x14ac:dyDescent="0.35">
      <c r="A1021">
        <v>20260301</v>
      </c>
      <c r="B1021" t="s">
        <v>1243</v>
      </c>
      <c r="C1021">
        <v>3400</v>
      </c>
      <c r="D1021" t="s">
        <v>485</v>
      </c>
      <c r="E1021">
        <v>-93600</v>
      </c>
      <c r="F1021" t="s">
        <v>1452</v>
      </c>
    </row>
    <row r="1022" spans="1:6" x14ac:dyDescent="0.35">
      <c r="A1022">
        <v>20260301</v>
      </c>
      <c r="B1022" t="s">
        <v>1205</v>
      </c>
      <c r="C1022">
        <v>5000</v>
      </c>
      <c r="D1022" t="s">
        <v>1131</v>
      </c>
      <c r="E1022">
        <v>478400</v>
      </c>
      <c r="F1022" t="s">
        <v>1452</v>
      </c>
    </row>
    <row r="1023" spans="1:6" x14ac:dyDescent="0.35">
      <c r="A1023">
        <v>20260301</v>
      </c>
      <c r="B1023" t="s">
        <v>1205</v>
      </c>
      <c r="C1023">
        <v>5400</v>
      </c>
      <c r="D1023" t="s">
        <v>1131</v>
      </c>
      <c r="E1023">
        <v>67454.399999999994</v>
      </c>
      <c r="F1023" t="s">
        <v>1452</v>
      </c>
    </row>
    <row r="1024" spans="1:6" x14ac:dyDescent="0.35">
      <c r="A1024">
        <v>20260301</v>
      </c>
      <c r="B1024" t="s">
        <v>1205</v>
      </c>
      <c r="C1024">
        <v>6300</v>
      </c>
      <c r="D1024" t="s">
        <v>1131</v>
      </c>
      <c r="E1024">
        <v>88400</v>
      </c>
      <c r="F1024" t="s">
        <v>1452</v>
      </c>
    </row>
    <row r="1025" spans="1:6" x14ac:dyDescent="0.35">
      <c r="A1025">
        <v>20260301</v>
      </c>
      <c r="B1025" t="s">
        <v>1205</v>
      </c>
      <c r="C1025">
        <v>3900</v>
      </c>
      <c r="D1025" t="s">
        <v>1131</v>
      </c>
      <c r="E1025">
        <v>-676000</v>
      </c>
      <c r="F1025" t="s">
        <v>1452</v>
      </c>
    </row>
    <row r="1026" spans="1:6" x14ac:dyDescent="0.35">
      <c r="A1026">
        <v>20260301</v>
      </c>
      <c r="B1026" t="s">
        <v>1257</v>
      </c>
      <c r="C1026">
        <v>5100</v>
      </c>
      <c r="D1026" t="s">
        <v>485</v>
      </c>
      <c r="E1026">
        <v>93600</v>
      </c>
      <c r="F1026" t="s">
        <v>1452</v>
      </c>
    </row>
    <row r="1027" spans="1:6" x14ac:dyDescent="0.35">
      <c r="A1027">
        <v>20260301</v>
      </c>
      <c r="B1027" t="s">
        <v>1257</v>
      </c>
      <c r="C1027">
        <v>3400</v>
      </c>
      <c r="D1027" t="s">
        <v>485</v>
      </c>
      <c r="E1027">
        <v>-93600</v>
      </c>
      <c r="F1027" t="s">
        <v>1452</v>
      </c>
    </row>
    <row r="1028" spans="1:6" x14ac:dyDescent="0.35">
      <c r="A1028">
        <v>20260301</v>
      </c>
      <c r="B1028" t="s">
        <v>1164</v>
      </c>
      <c r="C1028">
        <v>5000</v>
      </c>
      <c r="D1028" t="s">
        <v>1131</v>
      </c>
      <c r="E1028">
        <v>478400</v>
      </c>
      <c r="F1028" t="s">
        <v>1452</v>
      </c>
    </row>
    <row r="1029" spans="1:6" x14ac:dyDescent="0.35">
      <c r="A1029">
        <v>20260301</v>
      </c>
      <c r="B1029" t="s">
        <v>1164</v>
      </c>
      <c r="C1029">
        <v>5400</v>
      </c>
      <c r="D1029" t="s">
        <v>1131</v>
      </c>
      <c r="E1029">
        <v>67454.399999999994</v>
      </c>
      <c r="F1029" t="s">
        <v>1452</v>
      </c>
    </row>
    <row r="1030" spans="1:6" x14ac:dyDescent="0.35">
      <c r="A1030">
        <v>20260301</v>
      </c>
      <c r="B1030" t="s">
        <v>1164</v>
      </c>
      <c r="C1030">
        <v>6300</v>
      </c>
      <c r="D1030" t="s">
        <v>1131</v>
      </c>
      <c r="E1030">
        <v>88400</v>
      </c>
      <c r="F1030" t="s">
        <v>1452</v>
      </c>
    </row>
    <row r="1031" spans="1:6" x14ac:dyDescent="0.35">
      <c r="A1031">
        <v>20260301</v>
      </c>
      <c r="B1031" t="s">
        <v>1164</v>
      </c>
      <c r="C1031">
        <v>3900</v>
      </c>
      <c r="D1031" t="s">
        <v>1131</v>
      </c>
      <c r="E1031">
        <v>-676000</v>
      </c>
      <c r="F1031" t="s">
        <v>1452</v>
      </c>
    </row>
    <row r="1032" spans="1:6" x14ac:dyDescent="0.35">
      <c r="A1032">
        <v>20260301</v>
      </c>
      <c r="B1032" t="s">
        <v>1249</v>
      </c>
      <c r="C1032">
        <v>5100</v>
      </c>
      <c r="D1032" t="s">
        <v>485</v>
      </c>
      <c r="E1032">
        <v>93600</v>
      </c>
      <c r="F1032" t="s">
        <v>1452</v>
      </c>
    </row>
    <row r="1033" spans="1:6" x14ac:dyDescent="0.35">
      <c r="A1033">
        <v>20260301</v>
      </c>
      <c r="B1033" t="s">
        <v>1249</v>
      </c>
      <c r="C1033">
        <v>3400</v>
      </c>
      <c r="D1033" t="s">
        <v>485</v>
      </c>
      <c r="E1033">
        <v>-93600</v>
      </c>
      <c r="F1033" t="s">
        <v>1452</v>
      </c>
    </row>
    <row r="1034" spans="1:6" x14ac:dyDescent="0.35">
      <c r="A1034">
        <v>20260301</v>
      </c>
      <c r="B1034" t="s">
        <v>1169</v>
      </c>
      <c r="C1034">
        <v>5000</v>
      </c>
      <c r="D1034" t="s">
        <v>1131</v>
      </c>
      <c r="E1034">
        <v>478400</v>
      </c>
      <c r="F1034" t="s">
        <v>1452</v>
      </c>
    </row>
    <row r="1035" spans="1:6" x14ac:dyDescent="0.35">
      <c r="A1035">
        <v>20260301</v>
      </c>
      <c r="B1035" t="s">
        <v>1169</v>
      </c>
      <c r="C1035">
        <v>5400</v>
      </c>
      <c r="D1035" t="s">
        <v>1131</v>
      </c>
      <c r="E1035">
        <v>67454.399999999994</v>
      </c>
      <c r="F1035" t="s">
        <v>1452</v>
      </c>
    </row>
    <row r="1036" spans="1:6" x14ac:dyDescent="0.35">
      <c r="A1036">
        <v>20260301</v>
      </c>
      <c r="B1036" t="s">
        <v>1169</v>
      </c>
      <c r="C1036">
        <v>6300</v>
      </c>
      <c r="D1036" t="s">
        <v>1131</v>
      </c>
      <c r="E1036">
        <v>88400</v>
      </c>
      <c r="F1036" t="s">
        <v>1452</v>
      </c>
    </row>
    <row r="1037" spans="1:6" x14ac:dyDescent="0.35">
      <c r="A1037">
        <v>20260301</v>
      </c>
      <c r="B1037" t="s">
        <v>1169</v>
      </c>
      <c r="C1037">
        <v>3900</v>
      </c>
      <c r="D1037" t="s">
        <v>1131</v>
      </c>
      <c r="E1037">
        <v>-676000</v>
      </c>
      <c r="F1037" t="s">
        <v>1452</v>
      </c>
    </row>
    <row r="1038" spans="1:6" x14ac:dyDescent="0.35">
      <c r="A1038">
        <v>20260301</v>
      </c>
      <c r="B1038" t="s">
        <v>1260</v>
      </c>
      <c r="C1038">
        <v>5100</v>
      </c>
      <c r="D1038" t="s">
        <v>485</v>
      </c>
      <c r="E1038">
        <v>93600</v>
      </c>
      <c r="F1038" t="s">
        <v>1452</v>
      </c>
    </row>
    <row r="1039" spans="1:6" x14ac:dyDescent="0.35">
      <c r="A1039">
        <v>20260301</v>
      </c>
      <c r="B1039" t="s">
        <v>1260</v>
      </c>
      <c r="C1039">
        <v>3400</v>
      </c>
      <c r="D1039" t="s">
        <v>485</v>
      </c>
      <c r="E1039">
        <v>-93600</v>
      </c>
      <c r="F1039" t="s">
        <v>1452</v>
      </c>
    </row>
    <row r="1040" spans="1:6" x14ac:dyDescent="0.35">
      <c r="A1040">
        <v>20260301</v>
      </c>
      <c r="B1040" t="s">
        <v>1175</v>
      </c>
      <c r="C1040">
        <v>5000</v>
      </c>
      <c r="D1040" t="s">
        <v>1131</v>
      </c>
      <c r="E1040">
        <v>478400</v>
      </c>
      <c r="F1040" t="s">
        <v>1452</v>
      </c>
    </row>
    <row r="1041" spans="1:6" x14ac:dyDescent="0.35">
      <c r="A1041">
        <v>20260301</v>
      </c>
      <c r="B1041" t="s">
        <v>1175</v>
      </c>
      <c r="C1041">
        <v>5400</v>
      </c>
      <c r="D1041" t="s">
        <v>1131</v>
      </c>
      <c r="E1041">
        <v>67454.399999999994</v>
      </c>
      <c r="F1041" t="s">
        <v>1452</v>
      </c>
    </row>
    <row r="1042" spans="1:6" x14ac:dyDescent="0.35">
      <c r="A1042">
        <v>20260301</v>
      </c>
      <c r="B1042" t="s">
        <v>1175</v>
      </c>
      <c r="C1042">
        <v>6300</v>
      </c>
      <c r="D1042" t="s">
        <v>1131</v>
      </c>
      <c r="E1042">
        <v>88400</v>
      </c>
      <c r="F1042" t="s">
        <v>1452</v>
      </c>
    </row>
    <row r="1043" spans="1:6" x14ac:dyDescent="0.35">
      <c r="A1043">
        <v>20260301</v>
      </c>
      <c r="B1043" t="s">
        <v>1175</v>
      </c>
      <c r="C1043">
        <v>3900</v>
      </c>
      <c r="D1043" t="s">
        <v>1131</v>
      </c>
      <c r="E1043">
        <v>-676000</v>
      </c>
      <c r="F1043" t="s">
        <v>1452</v>
      </c>
    </row>
    <row r="1044" spans="1:6" x14ac:dyDescent="0.35">
      <c r="A1044">
        <v>20260301</v>
      </c>
      <c r="B1044" t="s">
        <v>1247</v>
      </c>
      <c r="C1044">
        <v>5100</v>
      </c>
      <c r="D1044" t="s">
        <v>485</v>
      </c>
      <c r="E1044">
        <v>93600</v>
      </c>
      <c r="F1044" t="s">
        <v>1452</v>
      </c>
    </row>
    <row r="1045" spans="1:6" x14ac:dyDescent="0.35">
      <c r="A1045">
        <v>20260301</v>
      </c>
      <c r="B1045" t="s">
        <v>1247</v>
      </c>
      <c r="C1045">
        <v>3400</v>
      </c>
      <c r="D1045" t="s">
        <v>485</v>
      </c>
      <c r="E1045">
        <v>-93600</v>
      </c>
      <c r="F1045" t="s">
        <v>1452</v>
      </c>
    </row>
    <row r="1046" spans="1:6" x14ac:dyDescent="0.35">
      <c r="A1046">
        <v>20260301</v>
      </c>
      <c r="B1046" t="s">
        <v>1130</v>
      </c>
      <c r="C1046">
        <v>5000</v>
      </c>
      <c r="D1046" t="s">
        <v>1131</v>
      </c>
      <c r="E1046">
        <v>478400</v>
      </c>
      <c r="F1046" t="s">
        <v>1452</v>
      </c>
    </row>
    <row r="1047" spans="1:6" x14ac:dyDescent="0.35">
      <c r="A1047">
        <v>20260301</v>
      </c>
      <c r="B1047" t="s">
        <v>1130</v>
      </c>
      <c r="C1047">
        <v>5400</v>
      </c>
      <c r="D1047" t="s">
        <v>1131</v>
      </c>
      <c r="E1047">
        <v>67454.399999999994</v>
      </c>
      <c r="F1047" t="s">
        <v>1452</v>
      </c>
    </row>
    <row r="1048" spans="1:6" x14ac:dyDescent="0.35">
      <c r="A1048">
        <v>20260301</v>
      </c>
      <c r="B1048" t="s">
        <v>1130</v>
      </c>
      <c r="C1048">
        <v>6300</v>
      </c>
      <c r="D1048" t="s">
        <v>1131</v>
      </c>
      <c r="E1048">
        <v>88400</v>
      </c>
      <c r="F1048" t="s">
        <v>1452</v>
      </c>
    </row>
    <row r="1049" spans="1:6" x14ac:dyDescent="0.35">
      <c r="A1049">
        <v>20260301</v>
      </c>
      <c r="B1049" t="s">
        <v>1130</v>
      </c>
      <c r="C1049">
        <v>3900</v>
      </c>
      <c r="D1049" t="s">
        <v>1131</v>
      </c>
      <c r="E1049">
        <v>-676000</v>
      </c>
      <c r="F1049" t="s">
        <v>1452</v>
      </c>
    </row>
    <row r="1050" spans="1:6" x14ac:dyDescent="0.35">
      <c r="A1050">
        <v>20260301</v>
      </c>
      <c r="B1050" t="s">
        <v>1265</v>
      </c>
      <c r="C1050">
        <v>5100</v>
      </c>
      <c r="D1050" t="s">
        <v>485</v>
      </c>
      <c r="E1050">
        <v>93600</v>
      </c>
      <c r="F1050" t="s">
        <v>1452</v>
      </c>
    </row>
    <row r="1051" spans="1:6" x14ac:dyDescent="0.35">
      <c r="A1051">
        <v>20260301</v>
      </c>
      <c r="B1051" t="s">
        <v>1265</v>
      </c>
      <c r="C1051">
        <v>3400</v>
      </c>
      <c r="D1051" t="s">
        <v>485</v>
      </c>
      <c r="E1051">
        <v>-93600</v>
      </c>
      <c r="F1051" t="s">
        <v>1452</v>
      </c>
    </row>
    <row r="1052" spans="1:6" x14ac:dyDescent="0.35">
      <c r="A1052">
        <v>20260301</v>
      </c>
      <c r="B1052" t="s">
        <v>1173</v>
      </c>
      <c r="C1052">
        <v>5000</v>
      </c>
      <c r="D1052" t="s">
        <v>1131</v>
      </c>
      <c r="E1052">
        <v>478400</v>
      </c>
      <c r="F1052" t="s">
        <v>1452</v>
      </c>
    </row>
    <row r="1053" spans="1:6" x14ac:dyDescent="0.35">
      <c r="A1053">
        <v>20260301</v>
      </c>
      <c r="B1053" t="s">
        <v>1173</v>
      </c>
      <c r="C1053">
        <v>5400</v>
      </c>
      <c r="D1053" t="s">
        <v>1131</v>
      </c>
      <c r="E1053">
        <v>67454.399999999994</v>
      </c>
      <c r="F1053" t="s">
        <v>1452</v>
      </c>
    </row>
    <row r="1054" spans="1:6" x14ac:dyDescent="0.35">
      <c r="A1054">
        <v>20260301</v>
      </c>
      <c r="B1054" t="s">
        <v>1173</v>
      </c>
      <c r="C1054">
        <v>6300</v>
      </c>
      <c r="D1054" t="s">
        <v>1131</v>
      </c>
      <c r="E1054">
        <v>88400</v>
      </c>
      <c r="F1054" t="s">
        <v>1452</v>
      </c>
    </row>
    <row r="1055" spans="1:6" x14ac:dyDescent="0.35">
      <c r="A1055">
        <v>20260301</v>
      </c>
      <c r="B1055" t="s">
        <v>1173</v>
      </c>
      <c r="C1055">
        <v>3900</v>
      </c>
      <c r="D1055" t="s">
        <v>1131</v>
      </c>
      <c r="E1055">
        <v>-676000</v>
      </c>
      <c r="F1055" t="s">
        <v>1452</v>
      </c>
    </row>
    <row r="1056" spans="1:6" x14ac:dyDescent="0.35">
      <c r="A1056">
        <v>20260301</v>
      </c>
      <c r="B1056" t="s">
        <v>1255</v>
      </c>
      <c r="C1056">
        <v>5100</v>
      </c>
      <c r="D1056" t="s">
        <v>485</v>
      </c>
      <c r="E1056">
        <v>93600</v>
      </c>
      <c r="F1056" t="s">
        <v>1452</v>
      </c>
    </row>
    <row r="1057" spans="1:6" x14ac:dyDescent="0.35">
      <c r="A1057">
        <v>20260301</v>
      </c>
      <c r="B1057" t="s">
        <v>1255</v>
      </c>
      <c r="C1057">
        <v>3400</v>
      </c>
      <c r="D1057" t="s">
        <v>485</v>
      </c>
      <c r="E1057">
        <v>-93600</v>
      </c>
      <c r="F1057" t="s">
        <v>1452</v>
      </c>
    </row>
    <row r="1058" spans="1:6" x14ac:dyDescent="0.35">
      <c r="A1058">
        <v>20260301</v>
      </c>
      <c r="B1058" t="s">
        <v>1155</v>
      </c>
      <c r="C1058">
        <v>5000</v>
      </c>
      <c r="D1058" t="s">
        <v>1131</v>
      </c>
      <c r="E1058">
        <v>478400</v>
      </c>
      <c r="F1058" t="s">
        <v>1452</v>
      </c>
    </row>
    <row r="1059" spans="1:6" x14ac:dyDescent="0.35">
      <c r="A1059">
        <v>20260301</v>
      </c>
      <c r="B1059" t="s">
        <v>1155</v>
      </c>
      <c r="C1059">
        <v>5400</v>
      </c>
      <c r="D1059" t="s">
        <v>1131</v>
      </c>
      <c r="E1059">
        <v>67454.399999999994</v>
      </c>
      <c r="F1059" t="s">
        <v>1452</v>
      </c>
    </row>
    <row r="1060" spans="1:6" x14ac:dyDescent="0.35">
      <c r="A1060">
        <v>20260301</v>
      </c>
      <c r="B1060" t="s">
        <v>1155</v>
      </c>
      <c r="C1060">
        <v>6300</v>
      </c>
      <c r="D1060" t="s">
        <v>1131</v>
      </c>
      <c r="E1060">
        <v>88400</v>
      </c>
      <c r="F1060" t="s">
        <v>1452</v>
      </c>
    </row>
    <row r="1061" spans="1:6" x14ac:dyDescent="0.35">
      <c r="A1061">
        <v>20260301</v>
      </c>
      <c r="B1061" t="s">
        <v>1155</v>
      </c>
      <c r="C1061">
        <v>3900</v>
      </c>
      <c r="D1061" t="s">
        <v>1131</v>
      </c>
      <c r="E1061">
        <v>-676000</v>
      </c>
      <c r="F1061" t="s">
        <v>1452</v>
      </c>
    </row>
    <row r="1062" spans="1:6" x14ac:dyDescent="0.35">
      <c r="A1062">
        <v>20260301</v>
      </c>
      <c r="B1062" t="s">
        <v>1138</v>
      </c>
      <c r="C1062">
        <v>5000</v>
      </c>
      <c r="D1062" t="s">
        <v>1131</v>
      </c>
      <c r="E1062">
        <v>478400</v>
      </c>
      <c r="F1062" t="s">
        <v>1452</v>
      </c>
    </row>
    <row r="1063" spans="1:6" x14ac:dyDescent="0.35">
      <c r="A1063">
        <v>20260301</v>
      </c>
      <c r="B1063" t="s">
        <v>1138</v>
      </c>
      <c r="C1063">
        <v>5400</v>
      </c>
      <c r="D1063" t="s">
        <v>1131</v>
      </c>
      <c r="E1063">
        <v>67454.399999999994</v>
      </c>
      <c r="F1063" t="s">
        <v>1452</v>
      </c>
    </row>
    <row r="1064" spans="1:6" x14ac:dyDescent="0.35">
      <c r="A1064">
        <v>20260301</v>
      </c>
      <c r="B1064" t="s">
        <v>1138</v>
      </c>
      <c r="C1064">
        <v>6300</v>
      </c>
      <c r="D1064" t="s">
        <v>1131</v>
      </c>
      <c r="E1064">
        <v>88400</v>
      </c>
      <c r="F1064" t="s">
        <v>1452</v>
      </c>
    </row>
    <row r="1065" spans="1:6" x14ac:dyDescent="0.35">
      <c r="A1065">
        <v>20260301</v>
      </c>
      <c r="B1065" t="s">
        <v>1138</v>
      </c>
      <c r="C1065">
        <v>3900</v>
      </c>
      <c r="D1065" t="s">
        <v>1131</v>
      </c>
      <c r="E1065">
        <v>-676000</v>
      </c>
      <c r="F1065" t="s">
        <v>1452</v>
      </c>
    </row>
    <row r="1066" spans="1:6" x14ac:dyDescent="0.35">
      <c r="A1066">
        <v>20260401</v>
      </c>
      <c r="B1066" t="s">
        <v>1150</v>
      </c>
      <c r="C1066">
        <v>5000</v>
      </c>
      <c r="D1066" t="s">
        <v>1131</v>
      </c>
      <c r="E1066">
        <v>478400</v>
      </c>
      <c r="F1066" t="s">
        <v>1452</v>
      </c>
    </row>
    <row r="1067" spans="1:6" x14ac:dyDescent="0.35">
      <c r="A1067">
        <v>20260401</v>
      </c>
      <c r="B1067" t="s">
        <v>1150</v>
      </c>
      <c r="C1067">
        <v>5400</v>
      </c>
      <c r="D1067" t="s">
        <v>1131</v>
      </c>
      <c r="E1067">
        <v>67454.399999999994</v>
      </c>
      <c r="F1067" t="s">
        <v>1452</v>
      </c>
    </row>
    <row r="1068" spans="1:6" x14ac:dyDescent="0.35">
      <c r="A1068">
        <v>20260401</v>
      </c>
      <c r="B1068" t="s">
        <v>1150</v>
      </c>
      <c r="C1068">
        <v>6300</v>
      </c>
      <c r="D1068" t="s">
        <v>1131</v>
      </c>
      <c r="E1068">
        <v>88400</v>
      </c>
      <c r="F1068" t="s">
        <v>1452</v>
      </c>
    </row>
    <row r="1069" spans="1:6" x14ac:dyDescent="0.35">
      <c r="A1069">
        <v>20260401</v>
      </c>
      <c r="B1069" t="s">
        <v>1150</v>
      </c>
      <c r="C1069">
        <v>3900</v>
      </c>
      <c r="D1069" t="s">
        <v>1131</v>
      </c>
      <c r="E1069">
        <v>-676000</v>
      </c>
      <c r="F1069" t="s">
        <v>1452</v>
      </c>
    </row>
    <row r="1070" spans="1:6" x14ac:dyDescent="0.35">
      <c r="A1070">
        <v>20260401</v>
      </c>
      <c r="B1070" t="s">
        <v>1272</v>
      </c>
      <c r="C1070">
        <v>5100</v>
      </c>
      <c r="D1070" t="s">
        <v>485</v>
      </c>
      <c r="E1070">
        <v>93600</v>
      </c>
      <c r="F1070" t="s">
        <v>1452</v>
      </c>
    </row>
    <row r="1071" spans="1:6" x14ac:dyDescent="0.35">
      <c r="A1071">
        <v>20260401</v>
      </c>
      <c r="B1071" t="s">
        <v>1272</v>
      </c>
      <c r="C1071">
        <v>3400</v>
      </c>
      <c r="D1071" t="s">
        <v>485</v>
      </c>
      <c r="E1071">
        <v>-93600</v>
      </c>
      <c r="F1071" t="s">
        <v>1452</v>
      </c>
    </row>
    <row r="1072" spans="1:6" x14ac:dyDescent="0.35">
      <c r="A1072">
        <v>20260401</v>
      </c>
      <c r="B1072" t="s">
        <v>1158</v>
      </c>
      <c r="C1072">
        <v>5000</v>
      </c>
      <c r="D1072" t="s">
        <v>1131</v>
      </c>
      <c r="E1072">
        <v>478400</v>
      </c>
      <c r="F1072" t="s">
        <v>1452</v>
      </c>
    </row>
    <row r="1073" spans="1:6" x14ac:dyDescent="0.35">
      <c r="A1073">
        <v>20260401</v>
      </c>
      <c r="B1073" t="s">
        <v>1158</v>
      </c>
      <c r="C1073">
        <v>5400</v>
      </c>
      <c r="D1073" t="s">
        <v>1131</v>
      </c>
      <c r="E1073">
        <v>67454.399999999994</v>
      </c>
      <c r="F1073" t="s">
        <v>1452</v>
      </c>
    </row>
    <row r="1074" spans="1:6" x14ac:dyDescent="0.35">
      <c r="A1074">
        <v>20260401</v>
      </c>
      <c r="B1074" t="s">
        <v>1158</v>
      </c>
      <c r="C1074">
        <v>6300</v>
      </c>
      <c r="D1074" t="s">
        <v>1131</v>
      </c>
      <c r="E1074">
        <v>88400</v>
      </c>
      <c r="F1074" t="s">
        <v>1452</v>
      </c>
    </row>
    <row r="1075" spans="1:6" x14ac:dyDescent="0.35">
      <c r="A1075">
        <v>20260401</v>
      </c>
      <c r="B1075" t="s">
        <v>1158</v>
      </c>
      <c r="C1075">
        <v>3900</v>
      </c>
      <c r="D1075" t="s">
        <v>1131</v>
      </c>
      <c r="E1075">
        <v>-676000</v>
      </c>
      <c r="F1075" t="s">
        <v>1452</v>
      </c>
    </row>
    <row r="1076" spans="1:6" x14ac:dyDescent="0.35">
      <c r="A1076">
        <v>20260401</v>
      </c>
      <c r="B1076" t="s">
        <v>1243</v>
      </c>
      <c r="C1076">
        <v>5100</v>
      </c>
      <c r="D1076" t="s">
        <v>485</v>
      </c>
      <c r="E1076">
        <v>93600</v>
      </c>
      <c r="F1076" t="s">
        <v>1452</v>
      </c>
    </row>
    <row r="1077" spans="1:6" x14ac:dyDescent="0.35">
      <c r="A1077">
        <v>20260401</v>
      </c>
      <c r="B1077" t="s">
        <v>1243</v>
      </c>
      <c r="C1077">
        <v>3400</v>
      </c>
      <c r="D1077" t="s">
        <v>485</v>
      </c>
      <c r="E1077">
        <v>-93600</v>
      </c>
      <c r="F1077" t="s">
        <v>1452</v>
      </c>
    </row>
    <row r="1078" spans="1:6" x14ac:dyDescent="0.35">
      <c r="A1078">
        <v>20260401</v>
      </c>
      <c r="B1078" t="s">
        <v>1205</v>
      </c>
      <c r="C1078">
        <v>5000</v>
      </c>
      <c r="D1078" t="s">
        <v>1131</v>
      </c>
      <c r="E1078">
        <v>478400</v>
      </c>
      <c r="F1078" t="s">
        <v>1452</v>
      </c>
    </row>
    <row r="1079" spans="1:6" x14ac:dyDescent="0.35">
      <c r="A1079">
        <v>20260401</v>
      </c>
      <c r="B1079" t="s">
        <v>1205</v>
      </c>
      <c r="C1079">
        <v>5400</v>
      </c>
      <c r="D1079" t="s">
        <v>1131</v>
      </c>
      <c r="E1079">
        <v>67454.399999999994</v>
      </c>
      <c r="F1079" t="s">
        <v>1452</v>
      </c>
    </row>
    <row r="1080" spans="1:6" x14ac:dyDescent="0.35">
      <c r="A1080">
        <v>20260401</v>
      </c>
      <c r="B1080" t="s">
        <v>1205</v>
      </c>
      <c r="C1080">
        <v>6300</v>
      </c>
      <c r="D1080" t="s">
        <v>1131</v>
      </c>
      <c r="E1080">
        <v>88400</v>
      </c>
      <c r="F1080" t="s">
        <v>1452</v>
      </c>
    </row>
    <row r="1081" spans="1:6" x14ac:dyDescent="0.35">
      <c r="A1081">
        <v>20260401</v>
      </c>
      <c r="B1081" t="s">
        <v>1205</v>
      </c>
      <c r="C1081">
        <v>3900</v>
      </c>
      <c r="D1081" t="s">
        <v>1131</v>
      </c>
      <c r="E1081">
        <v>-676000</v>
      </c>
      <c r="F1081" t="s">
        <v>1452</v>
      </c>
    </row>
    <row r="1082" spans="1:6" x14ac:dyDescent="0.35">
      <c r="A1082">
        <v>20260401</v>
      </c>
      <c r="B1082" t="s">
        <v>1257</v>
      </c>
      <c r="C1082">
        <v>5100</v>
      </c>
      <c r="D1082" t="s">
        <v>485</v>
      </c>
      <c r="E1082">
        <v>93600</v>
      </c>
      <c r="F1082" t="s">
        <v>1452</v>
      </c>
    </row>
    <row r="1083" spans="1:6" x14ac:dyDescent="0.35">
      <c r="A1083">
        <v>20260401</v>
      </c>
      <c r="B1083" t="s">
        <v>1257</v>
      </c>
      <c r="C1083">
        <v>3400</v>
      </c>
      <c r="D1083" t="s">
        <v>485</v>
      </c>
      <c r="E1083">
        <v>-93600</v>
      </c>
      <c r="F1083" t="s">
        <v>1452</v>
      </c>
    </row>
    <row r="1084" spans="1:6" x14ac:dyDescent="0.35">
      <c r="A1084">
        <v>20260401</v>
      </c>
      <c r="B1084" t="s">
        <v>1164</v>
      </c>
      <c r="C1084">
        <v>5000</v>
      </c>
      <c r="D1084" t="s">
        <v>1131</v>
      </c>
      <c r="E1084">
        <v>478400</v>
      </c>
      <c r="F1084" t="s">
        <v>1452</v>
      </c>
    </row>
    <row r="1085" spans="1:6" x14ac:dyDescent="0.35">
      <c r="A1085">
        <v>20260401</v>
      </c>
      <c r="B1085" t="s">
        <v>1164</v>
      </c>
      <c r="C1085">
        <v>5400</v>
      </c>
      <c r="D1085" t="s">
        <v>1131</v>
      </c>
      <c r="E1085">
        <v>67454.399999999994</v>
      </c>
      <c r="F1085" t="s">
        <v>1452</v>
      </c>
    </row>
    <row r="1086" spans="1:6" x14ac:dyDescent="0.35">
      <c r="A1086">
        <v>20260401</v>
      </c>
      <c r="B1086" t="s">
        <v>1164</v>
      </c>
      <c r="C1086">
        <v>6300</v>
      </c>
      <c r="D1086" t="s">
        <v>1131</v>
      </c>
      <c r="E1086">
        <v>88400</v>
      </c>
      <c r="F1086" t="s">
        <v>1452</v>
      </c>
    </row>
    <row r="1087" spans="1:6" x14ac:dyDescent="0.35">
      <c r="A1087">
        <v>20260401</v>
      </c>
      <c r="B1087" t="s">
        <v>1164</v>
      </c>
      <c r="C1087">
        <v>3900</v>
      </c>
      <c r="D1087" t="s">
        <v>1131</v>
      </c>
      <c r="E1087">
        <v>-676000</v>
      </c>
      <c r="F1087" t="s">
        <v>1452</v>
      </c>
    </row>
    <row r="1088" spans="1:6" x14ac:dyDescent="0.35">
      <c r="A1088">
        <v>20260401</v>
      </c>
      <c r="B1088" t="s">
        <v>1249</v>
      </c>
      <c r="C1088">
        <v>5100</v>
      </c>
      <c r="D1088" t="s">
        <v>485</v>
      </c>
      <c r="E1088">
        <v>93600</v>
      </c>
      <c r="F1088" t="s">
        <v>1452</v>
      </c>
    </row>
    <row r="1089" spans="1:6" x14ac:dyDescent="0.35">
      <c r="A1089">
        <v>20260401</v>
      </c>
      <c r="B1089" t="s">
        <v>1249</v>
      </c>
      <c r="C1089">
        <v>3400</v>
      </c>
      <c r="D1089" t="s">
        <v>485</v>
      </c>
      <c r="E1089">
        <v>-93600</v>
      </c>
      <c r="F1089" t="s">
        <v>1452</v>
      </c>
    </row>
    <row r="1090" spans="1:6" x14ac:dyDescent="0.35">
      <c r="A1090">
        <v>20260401</v>
      </c>
      <c r="B1090" t="s">
        <v>1169</v>
      </c>
      <c r="C1090">
        <v>5000</v>
      </c>
      <c r="D1090" t="s">
        <v>1131</v>
      </c>
      <c r="E1090">
        <v>478400</v>
      </c>
      <c r="F1090" t="s">
        <v>1452</v>
      </c>
    </row>
    <row r="1091" spans="1:6" x14ac:dyDescent="0.35">
      <c r="A1091">
        <v>20260401</v>
      </c>
      <c r="B1091" t="s">
        <v>1169</v>
      </c>
      <c r="C1091">
        <v>5400</v>
      </c>
      <c r="D1091" t="s">
        <v>1131</v>
      </c>
      <c r="E1091">
        <v>67454.399999999994</v>
      </c>
      <c r="F1091" t="s">
        <v>1452</v>
      </c>
    </row>
    <row r="1092" spans="1:6" x14ac:dyDescent="0.35">
      <c r="A1092">
        <v>20260401</v>
      </c>
      <c r="B1092" t="s">
        <v>1169</v>
      </c>
      <c r="C1092">
        <v>6300</v>
      </c>
      <c r="D1092" t="s">
        <v>1131</v>
      </c>
      <c r="E1092">
        <v>88400</v>
      </c>
      <c r="F1092" t="s">
        <v>1452</v>
      </c>
    </row>
    <row r="1093" spans="1:6" x14ac:dyDescent="0.35">
      <c r="A1093">
        <v>20260401</v>
      </c>
      <c r="B1093" t="s">
        <v>1169</v>
      </c>
      <c r="C1093">
        <v>3900</v>
      </c>
      <c r="D1093" t="s">
        <v>1131</v>
      </c>
      <c r="E1093">
        <v>-676000</v>
      </c>
      <c r="F1093" t="s">
        <v>1452</v>
      </c>
    </row>
    <row r="1094" spans="1:6" x14ac:dyDescent="0.35">
      <c r="A1094">
        <v>20260401</v>
      </c>
      <c r="B1094" t="s">
        <v>1260</v>
      </c>
      <c r="C1094">
        <v>5100</v>
      </c>
      <c r="D1094" t="s">
        <v>485</v>
      </c>
      <c r="E1094">
        <v>93600</v>
      </c>
      <c r="F1094" t="s">
        <v>1452</v>
      </c>
    </row>
    <row r="1095" spans="1:6" x14ac:dyDescent="0.35">
      <c r="A1095">
        <v>20260401</v>
      </c>
      <c r="B1095" t="s">
        <v>1260</v>
      </c>
      <c r="C1095">
        <v>3400</v>
      </c>
      <c r="D1095" t="s">
        <v>485</v>
      </c>
      <c r="E1095">
        <v>-93600</v>
      </c>
      <c r="F1095" t="s">
        <v>1452</v>
      </c>
    </row>
    <row r="1096" spans="1:6" x14ac:dyDescent="0.35">
      <c r="A1096">
        <v>20260401</v>
      </c>
      <c r="B1096" t="s">
        <v>1175</v>
      </c>
      <c r="C1096">
        <v>5000</v>
      </c>
      <c r="D1096" t="s">
        <v>1131</v>
      </c>
      <c r="E1096">
        <v>478400</v>
      </c>
      <c r="F1096" t="s">
        <v>1452</v>
      </c>
    </row>
    <row r="1097" spans="1:6" x14ac:dyDescent="0.35">
      <c r="A1097">
        <v>20260401</v>
      </c>
      <c r="B1097" t="s">
        <v>1175</v>
      </c>
      <c r="C1097">
        <v>5400</v>
      </c>
      <c r="D1097" t="s">
        <v>1131</v>
      </c>
      <c r="E1097">
        <v>67454.399999999994</v>
      </c>
      <c r="F1097" t="s">
        <v>1452</v>
      </c>
    </row>
    <row r="1098" spans="1:6" x14ac:dyDescent="0.35">
      <c r="A1098">
        <v>20260401</v>
      </c>
      <c r="B1098" t="s">
        <v>1175</v>
      </c>
      <c r="C1098">
        <v>6300</v>
      </c>
      <c r="D1098" t="s">
        <v>1131</v>
      </c>
      <c r="E1098">
        <v>88400</v>
      </c>
      <c r="F1098" t="s">
        <v>1452</v>
      </c>
    </row>
    <row r="1099" spans="1:6" x14ac:dyDescent="0.35">
      <c r="A1099">
        <v>20260401</v>
      </c>
      <c r="B1099" t="s">
        <v>1175</v>
      </c>
      <c r="C1099">
        <v>3900</v>
      </c>
      <c r="D1099" t="s">
        <v>1131</v>
      </c>
      <c r="E1099">
        <v>-676000</v>
      </c>
      <c r="F1099" t="s">
        <v>1452</v>
      </c>
    </row>
    <row r="1100" spans="1:6" x14ac:dyDescent="0.35">
      <c r="A1100">
        <v>20260401</v>
      </c>
      <c r="B1100" t="s">
        <v>1247</v>
      </c>
      <c r="C1100">
        <v>5100</v>
      </c>
      <c r="D1100" t="s">
        <v>485</v>
      </c>
      <c r="E1100">
        <v>93600</v>
      </c>
      <c r="F1100" t="s">
        <v>1452</v>
      </c>
    </row>
    <row r="1101" spans="1:6" x14ac:dyDescent="0.35">
      <c r="A1101">
        <v>20260401</v>
      </c>
      <c r="B1101" t="s">
        <v>1247</v>
      </c>
      <c r="C1101">
        <v>3400</v>
      </c>
      <c r="D1101" t="s">
        <v>485</v>
      </c>
      <c r="E1101">
        <v>-93600</v>
      </c>
      <c r="F1101" t="s">
        <v>1452</v>
      </c>
    </row>
    <row r="1102" spans="1:6" x14ac:dyDescent="0.35">
      <c r="A1102">
        <v>20260401</v>
      </c>
      <c r="B1102" t="s">
        <v>1130</v>
      </c>
      <c r="C1102">
        <v>5000</v>
      </c>
      <c r="D1102" t="s">
        <v>1131</v>
      </c>
      <c r="E1102">
        <v>478400</v>
      </c>
      <c r="F1102" t="s">
        <v>1452</v>
      </c>
    </row>
    <row r="1103" spans="1:6" x14ac:dyDescent="0.35">
      <c r="A1103">
        <v>20260401</v>
      </c>
      <c r="B1103" t="s">
        <v>1130</v>
      </c>
      <c r="C1103">
        <v>5400</v>
      </c>
      <c r="D1103" t="s">
        <v>1131</v>
      </c>
      <c r="E1103">
        <v>67454.399999999994</v>
      </c>
      <c r="F1103" t="s">
        <v>1452</v>
      </c>
    </row>
    <row r="1104" spans="1:6" x14ac:dyDescent="0.35">
      <c r="A1104">
        <v>20260401</v>
      </c>
      <c r="B1104" t="s">
        <v>1130</v>
      </c>
      <c r="C1104">
        <v>6300</v>
      </c>
      <c r="D1104" t="s">
        <v>1131</v>
      </c>
      <c r="E1104">
        <v>88400</v>
      </c>
      <c r="F1104" t="s">
        <v>1452</v>
      </c>
    </row>
    <row r="1105" spans="1:6" x14ac:dyDescent="0.35">
      <c r="A1105">
        <v>20260401</v>
      </c>
      <c r="B1105" t="s">
        <v>1130</v>
      </c>
      <c r="C1105">
        <v>3900</v>
      </c>
      <c r="D1105" t="s">
        <v>1131</v>
      </c>
      <c r="E1105">
        <v>-676000</v>
      </c>
      <c r="F1105" t="s">
        <v>1452</v>
      </c>
    </row>
    <row r="1106" spans="1:6" x14ac:dyDescent="0.35">
      <c r="A1106">
        <v>20260401</v>
      </c>
      <c r="B1106" t="s">
        <v>1265</v>
      </c>
      <c r="C1106">
        <v>5100</v>
      </c>
      <c r="D1106" t="s">
        <v>485</v>
      </c>
      <c r="E1106">
        <v>93600</v>
      </c>
      <c r="F1106" t="s">
        <v>1452</v>
      </c>
    </row>
    <row r="1107" spans="1:6" x14ac:dyDescent="0.35">
      <c r="A1107">
        <v>20260401</v>
      </c>
      <c r="B1107" t="s">
        <v>1265</v>
      </c>
      <c r="C1107">
        <v>3400</v>
      </c>
      <c r="D1107" t="s">
        <v>485</v>
      </c>
      <c r="E1107">
        <v>-93600</v>
      </c>
      <c r="F1107" t="s">
        <v>1452</v>
      </c>
    </row>
    <row r="1108" spans="1:6" x14ac:dyDescent="0.35">
      <c r="A1108">
        <v>20260401</v>
      </c>
      <c r="B1108" t="s">
        <v>1173</v>
      </c>
      <c r="C1108">
        <v>5000</v>
      </c>
      <c r="D1108" t="s">
        <v>1131</v>
      </c>
      <c r="E1108">
        <v>478400</v>
      </c>
      <c r="F1108" t="s">
        <v>1452</v>
      </c>
    </row>
    <row r="1109" spans="1:6" x14ac:dyDescent="0.35">
      <c r="A1109">
        <v>20260401</v>
      </c>
      <c r="B1109" t="s">
        <v>1173</v>
      </c>
      <c r="C1109">
        <v>5400</v>
      </c>
      <c r="D1109" t="s">
        <v>1131</v>
      </c>
      <c r="E1109">
        <v>67454.399999999994</v>
      </c>
      <c r="F1109" t="s">
        <v>1452</v>
      </c>
    </row>
    <row r="1110" spans="1:6" x14ac:dyDescent="0.35">
      <c r="A1110">
        <v>20260401</v>
      </c>
      <c r="B1110" t="s">
        <v>1173</v>
      </c>
      <c r="C1110">
        <v>6300</v>
      </c>
      <c r="D1110" t="s">
        <v>1131</v>
      </c>
      <c r="E1110">
        <v>88400</v>
      </c>
      <c r="F1110" t="s">
        <v>1452</v>
      </c>
    </row>
    <row r="1111" spans="1:6" x14ac:dyDescent="0.35">
      <c r="A1111">
        <v>20260401</v>
      </c>
      <c r="B1111" t="s">
        <v>1173</v>
      </c>
      <c r="C1111">
        <v>3900</v>
      </c>
      <c r="D1111" t="s">
        <v>1131</v>
      </c>
      <c r="E1111">
        <v>-676000</v>
      </c>
      <c r="F1111" t="s">
        <v>1452</v>
      </c>
    </row>
    <row r="1112" spans="1:6" x14ac:dyDescent="0.35">
      <c r="A1112">
        <v>20260401</v>
      </c>
      <c r="B1112" t="s">
        <v>1255</v>
      </c>
      <c r="C1112">
        <v>5100</v>
      </c>
      <c r="D1112" t="s">
        <v>485</v>
      </c>
      <c r="E1112">
        <v>93600</v>
      </c>
      <c r="F1112" t="s">
        <v>1452</v>
      </c>
    </row>
    <row r="1113" spans="1:6" x14ac:dyDescent="0.35">
      <c r="A1113">
        <v>20260401</v>
      </c>
      <c r="B1113" t="s">
        <v>1255</v>
      </c>
      <c r="C1113">
        <v>3400</v>
      </c>
      <c r="D1113" t="s">
        <v>485</v>
      </c>
      <c r="E1113">
        <v>-93600</v>
      </c>
      <c r="F1113" t="s">
        <v>1452</v>
      </c>
    </row>
    <row r="1114" spans="1:6" x14ac:dyDescent="0.35">
      <c r="A1114">
        <v>20260401</v>
      </c>
      <c r="B1114" t="s">
        <v>1155</v>
      </c>
      <c r="C1114">
        <v>5000</v>
      </c>
      <c r="D1114" t="s">
        <v>1131</v>
      </c>
      <c r="E1114">
        <v>478400</v>
      </c>
      <c r="F1114" t="s">
        <v>1452</v>
      </c>
    </row>
    <row r="1115" spans="1:6" x14ac:dyDescent="0.35">
      <c r="A1115">
        <v>20260401</v>
      </c>
      <c r="B1115" t="s">
        <v>1155</v>
      </c>
      <c r="C1115">
        <v>5400</v>
      </c>
      <c r="D1115" t="s">
        <v>1131</v>
      </c>
      <c r="E1115">
        <v>67454.399999999994</v>
      </c>
      <c r="F1115" t="s">
        <v>1452</v>
      </c>
    </row>
    <row r="1116" spans="1:6" x14ac:dyDescent="0.35">
      <c r="A1116">
        <v>20260401</v>
      </c>
      <c r="B1116" t="s">
        <v>1155</v>
      </c>
      <c r="C1116">
        <v>6300</v>
      </c>
      <c r="D1116" t="s">
        <v>1131</v>
      </c>
      <c r="E1116">
        <v>88400</v>
      </c>
      <c r="F1116" t="s">
        <v>1452</v>
      </c>
    </row>
    <row r="1117" spans="1:6" x14ac:dyDescent="0.35">
      <c r="A1117">
        <v>20260401</v>
      </c>
      <c r="B1117" t="s">
        <v>1155</v>
      </c>
      <c r="C1117">
        <v>3900</v>
      </c>
      <c r="D1117" t="s">
        <v>1131</v>
      </c>
      <c r="E1117">
        <v>-676000</v>
      </c>
      <c r="F1117" t="s">
        <v>1452</v>
      </c>
    </row>
    <row r="1118" spans="1:6" x14ac:dyDescent="0.35">
      <c r="A1118">
        <v>20260401</v>
      </c>
      <c r="B1118" t="s">
        <v>1138</v>
      </c>
      <c r="C1118">
        <v>5000</v>
      </c>
      <c r="D1118" t="s">
        <v>1131</v>
      </c>
      <c r="E1118">
        <v>478400</v>
      </c>
      <c r="F1118" t="s">
        <v>1452</v>
      </c>
    </row>
    <row r="1119" spans="1:6" x14ac:dyDescent="0.35">
      <c r="A1119">
        <v>20260401</v>
      </c>
      <c r="B1119" t="s">
        <v>1138</v>
      </c>
      <c r="C1119">
        <v>5400</v>
      </c>
      <c r="D1119" t="s">
        <v>1131</v>
      </c>
      <c r="E1119">
        <v>67454.399999999994</v>
      </c>
      <c r="F1119" t="s">
        <v>1452</v>
      </c>
    </row>
    <row r="1120" spans="1:6" x14ac:dyDescent="0.35">
      <c r="A1120">
        <v>20260401</v>
      </c>
      <c r="B1120" t="s">
        <v>1138</v>
      </c>
      <c r="C1120">
        <v>6300</v>
      </c>
      <c r="D1120" t="s">
        <v>1131</v>
      </c>
      <c r="E1120">
        <v>88400</v>
      </c>
      <c r="F1120" t="s">
        <v>1452</v>
      </c>
    </row>
    <row r="1121" spans="1:6" x14ac:dyDescent="0.35">
      <c r="A1121">
        <v>20260401</v>
      </c>
      <c r="B1121" t="s">
        <v>1138</v>
      </c>
      <c r="C1121">
        <v>3900</v>
      </c>
      <c r="D1121" t="s">
        <v>1131</v>
      </c>
      <c r="E1121">
        <v>-676000</v>
      </c>
      <c r="F1121" t="s">
        <v>1452</v>
      </c>
    </row>
    <row r="1122" spans="1:6" x14ac:dyDescent="0.35">
      <c r="A1122">
        <v>20260501</v>
      </c>
      <c r="B1122" t="s">
        <v>1150</v>
      </c>
      <c r="C1122">
        <v>5000</v>
      </c>
      <c r="D1122" t="s">
        <v>1131</v>
      </c>
      <c r="E1122">
        <v>478400</v>
      </c>
      <c r="F1122" t="s">
        <v>1452</v>
      </c>
    </row>
    <row r="1123" spans="1:6" x14ac:dyDescent="0.35">
      <c r="A1123">
        <v>20260501</v>
      </c>
      <c r="B1123" t="s">
        <v>1150</v>
      </c>
      <c r="C1123">
        <v>5400</v>
      </c>
      <c r="D1123" t="s">
        <v>1131</v>
      </c>
      <c r="E1123">
        <v>67454.399999999994</v>
      </c>
      <c r="F1123" t="s">
        <v>1452</v>
      </c>
    </row>
    <row r="1124" spans="1:6" x14ac:dyDescent="0.35">
      <c r="A1124">
        <v>20260501</v>
      </c>
      <c r="B1124" t="s">
        <v>1150</v>
      </c>
      <c r="C1124">
        <v>6300</v>
      </c>
      <c r="D1124" t="s">
        <v>1131</v>
      </c>
      <c r="E1124">
        <v>88400</v>
      </c>
      <c r="F1124" t="s">
        <v>1452</v>
      </c>
    </row>
    <row r="1125" spans="1:6" x14ac:dyDescent="0.35">
      <c r="A1125">
        <v>20260501</v>
      </c>
      <c r="B1125" t="s">
        <v>1150</v>
      </c>
      <c r="C1125">
        <v>3900</v>
      </c>
      <c r="D1125" t="s">
        <v>1131</v>
      </c>
      <c r="E1125">
        <v>-676000</v>
      </c>
      <c r="F1125" t="s">
        <v>1452</v>
      </c>
    </row>
    <row r="1126" spans="1:6" x14ac:dyDescent="0.35">
      <c r="A1126">
        <v>20260501</v>
      </c>
      <c r="B1126" t="s">
        <v>1272</v>
      </c>
      <c r="C1126">
        <v>5100</v>
      </c>
      <c r="D1126" t="s">
        <v>485</v>
      </c>
      <c r="E1126">
        <v>93600</v>
      </c>
      <c r="F1126" t="s">
        <v>1452</v>
      </c>
    </row>
    <row r="1127" spans="1:6" x14ac:dyDescent="0.35">
      <c r="A1127">
        <v>20260501</v>
      </c>
      <c r="B1127" t="s">
        <v>1272</v>
      </c>
      <c r="C1127">
        <v>3400</v>
      </c>
      <c r="D1127" t="s">
        <v>485</v>
      </c>
      <c r="E1127">
        <v>-93600</v>
      </c>
      <c r="F1127" t="s">
        <v>1452</v>
      </c>
    </row>
    <row r="1128" spans="1:6" x14ac:dyDescent="0.35">
      <c r="A1128">
        <v>20260501</v>
      </c>
      <c r="B1128" t="s">
        <v>1158</v>
      </c>
      <c r="C1128">
        <v>5000</v>
      </c>
      <c r="D1128" t="s">
        <v>1131</v>
      </c>
      <c r="E1128">
        <v>478400</v>
      </c>
      <c r="F1128" t="s">
        <v>1452</v>
      </c>
    </row>
    <row r="1129" spans="1:6" x14ac:dyDescent="0.35">
      <c r="A1129">
        <v>20260501</v>
      </c>
      <c r="B1129" t="s">
        <v>1158</v>
      </c>
      <c r="C1129">
        <v>5400</v>
      </c>
      <c r="D1129" t="s">
        <v>1131</v>
      </c>
      <c r="E1129">
        <v>67454.399999999994</v>
      </c>
      <c r="F1129" t="s">
        <v>1452</v>
      </c>
    </row>
    <row r="1130" spans="1:6" x14ac:dyDescent="0.35">
      <c r="A1130">
        <v>20260501</v>
      </c>
      <c r="B1130" t="s">
        <v>1158</v>
      </c>
      <c r="C1130">
        <v>6300</v>
      </c>
      <c r="D1130" t="s">
        <v>1131</v>
      </c>
      <c r="E1130">
        <v>88400</v>
      </c>
      <c r="F1130" t="s">
        <v>1452</v>
      </c>
    </row>
    <row r="1131" spans="1:6" x14ac:dyDescent="0.35">
      <c r="A1131">
        <v>20260501</v>
      </c>
      <c r="B1131" t="s">
        <v>1158</v>
      </c>
      <c r="C1131">
        <v>3900</v>
      </c>
      <c r="D1131" t="s">
        <v>1131</v>
      </c>
      <c r="E1131">
        <v>-676000</v>
      </c>
      <c r="F1131" t="s">
        <v>1452</v>
      </c>
    </row>
    <row r="1132" spans="1:6" x14ac:dyDescent="0.35">
      <c r="A1132">
        <v>20260501</v>
      </c>
      <c r="B1132" t="s">
        <v>1243</v>
      </c>
      <c r="C1132">
        <v>5100</v>
      </c>
      <c r="D1132" t="s">
        <v>485</v>
      </c>
      <c r="E1132">
        <v>93600</v>
      </c>
      <c r="F1132" t="s">
        <v>1452</v>
      </c>
    </row>
    <row r="1133" spans="1:6" x14ac:dyDescent="0.35">
      <c r="A1133">
        <v>20260501</v>
      </c>
      <c r="B1133" t="s">
        <v>1243</v>
      </c>
      <c r="C1133">
        <v>3400</v>
      </c>
      <c r="D1133" t="s">
        <v>485</v>
      </c>
      <c r="E1133">
        <v>-93600</v>
      </c>
      <c r="F1133" t="s">
        <v>1452</v>
      </c>
    </row>
    <row r="1134" spans="1:6" x14ac:dyDescent="0.35">
      <c r="A1134">
        <v>20260501</v>
      </c>
      <c r="B1134" t="s">
        <v>1205</v>
      </c>
      <c r="C1134">
        <v>5000</v>
      </c>
      <c r="D1134" t="s">
        <v>1131</v>
      </c>
      <c r="E1134">
        <v>478400</v>
      </c>
      <c r="F1134" t="s">
        <v>1452</v>
      </c>
    </row>
    <row r="1135" spans="1:6" x14ac:dyDescent="0.35">
      <c r="A1135">
        <v>20260501</v>
      </c>
      <c r="B1135" t="s">
        <v>1205</v>
      </c>
      <c r="C1135">
        <v>5400</v>
      </c>
      <c r="D1135" t="s">
        <v>1131</v>
      </c>
      <c r="E1135">
        <v>67454.399999999994</v>
      </c>
      <c r="F1135" t="s">
        <v>1452</v>
      </c>
    </row>
    <row r="1136" spans="1:6" x14ac:dyDescent="0.35">
      <c r="A1136">
        <v>20260501</v>
      </c>
      <c r="B1136" t="s">
        <v>1205</v>
      </c>
      <c r="C1136">
        <v>6300</v>
      </c>
      <c r="D1136" t="s">
        <v>1131</v>
      </c>
      <c r="E1136">
        <v>88400</v>
      </c>
      <c r="F1136" t="s">
        <v>1452</v>
      </c>
    </row>
    <row r="1137" spans="1:6" x14ac:dyDescent="0.35">
      <c r="A1137">
        <v>20260501</v>
      </c>
      <c r="B1137" t="s">
        <v>1205</v>
      </c>
      <c r="C1137">
        <v>3900</v>
      </c>
      <c r="D1137" t="s">
        <v>1131</v>
      </c>
      <c r="E1137">
        <v>-676000</v>
      </c>
      <c r="F1137" t="s">
        <v>1452</v>
      </c>
    </row>
    <row r="1138" spans="1:6" x14ac:dyDescent="0.35">
      <c r="A1138">
        <v>20260501</v>
      </c>
      <c r="B1138" t="s">
        <v>1257</v>
      </c>
      <c r="C1138">
        <v>5100</v>
      </c>
      <c r="D1138" t="s">
        <v>485</v>
      </c>
      <c r="E1138">
        <v>93600</v>
      </c>
      <c r="F1138" t="s">
        <v>1452</v>
      </c>
    </row>
    <row r="1139" spans="1:6" x14ac:dyDescent="0.35">
      <c r="A1139">
        <v>20260501</v>
      </c>
      <c r="B1139" t="s">
        <v>1257</v>
      </c>
      <c r="C1139">
        <v>3400</v>
      </c>
      <c r="D1139" t="s">
        <v>485</v>
      </c>
      <c r="E1139">
        <v>-93600</v>
      </c>
      <c r="F1139" t="s">
        <v>1452</v>
      </c>
    </row>
    <row r="1140" spans="1:6" x14ac:dyDescent="0.35">
      <c r="A1140">
        <v>20260501</v>
      </c>
      <c r="B1140" t="s">
        <v>1164</v>
      </c>
      <c r="C1140">
        <v>5000</v>
      </c>
      <c r="D1140" t="s">
        <v>1131</v>
      </c>
      <c r="E1140">
        <v>478400</v>
      </c>
      <c r="F1140" t="s">
        <v>1452</v>
      </c>
    </row>
    <row r="1141" spans="1:6" x14ac:dyDescent="0.35">
      <c r="A1141">
        <v>20260501</v>
      </c>
      <c r="B1141" t="s">
        <v>1164</v>
      </c>
      <c r="C1141">
        <v>5400</v>
      </c>
      <c r="D1141" t="s">
        <v>1131</v>
      </c>
      <c r="E1141">
        <v>67454.399999999994</v>
      </c>
      <c r="F1141" t="s">
        <v>1452</v>
      </c>
    </row>
    <row r="1142" spans="1:6" x14ac:dyDescent="0.35">
      <c r="A1142">
        <v>20260501</v>
      </c>
      <c r="B1142" t="s">
        <v>1164</v>
      </c>
      <c r="C1142">
        <v>6300</v>
      </c>
      <c r="D1142" t="s">
        <v>1131</v>
      </c>
      <c r="E1142">
        <v>88400</v>
      </c>
      <c r="F1142" t="s">
        <v>1452</v>
      </c>
    </row>
    <row r="1143" spans="1:6" x14ac:dyDescent="0.35">
      <c r="A1143">
        <v>20260501</v>
      </c>
      <c r="B1143" t="s">
        <v>1164</v>
      </c>
      <c r="C1143">
        <v>3900</v>
      </c>
      <c r="D1143" t="s">
        <v>1131</v>
      </c>
      <c r="E1143">
        <v>-676000</v>
      </c>
      <c r="F1143" t="s">
        <v>1452</v>
      </c>
    </row>
    <row r="1144" spans="1:6" x14ac:dyDescent="0.35">
      <c r="A1144">
        <v>20260501</v>
      </c>
      <c r="B1144" t="s">
        <v>1249</v>
      </c>
      <c r="C1144">
        <v>5100</v>
      </c>
      <c r="D1144" t="s">
        <v>485</v>
      </c>
      <c r="E1144">
        <v>93600</v>
      </c>
      <c r="F1144" t="s">
        <v>1452</v>
      </c>
    </row>
    <row r="1145" spans="1:6" x14ac:dyDescent="0.35">
      <c r="A1145">
        <v>20260501</v>
      </c>
      <c r="B1145" t="s">
        <v>1249</v>
      </c>
      <c r="C1145">
        <v>3400</v>
      </c>
      <c r="D1145" t="s">
        <v>485</v>
      </c>
      <c r="E1145">
        <v>-93600</v>
      </c>
      <c r="F1145" t="s">
        <v>1452</v>
      </c>
    </row>
    <row r="1146" spans="1:6" x14ac:dyDescent="0.35">
      <c r="A1146">
        <v>20260501</v>
      </c>
      <c r="B1146" t="s">
        <v>1169</v>
      </c>
      <c r="C1146">
        <v>5000</v>
      </c>
      <c r="D1146" t="s">
        <v>1131</v>
      </c>
      <c r="E1146">
        <v>478400</v>
      </c>
      <c r="F1146" t="s">
        <v>1452</v>
      </c>
    </row>
    <row r="1147" spans="1:6" x14ac:dyDescent="0.35">
      <c r="A1147">
        <v>20260501</v>
      </c>
      <c r="B1147" t="s">
        <v>1169</v>
      </c>
      <c r="C1147">
        <v>5400</v>
      </c>
      <c r="D1147" t="s">
        <v>1131</v>
      </c>
      <c r="E1147">
        <v>67454.399999999994</v>
      </c>
      <c r="F1147" t="s">
        <v>1452</v>
      </c>
    </row>
    <row r="1148" spans="1:6" x14ac:dyDescent="0.35">
      <c r="A1148">
        <v>20260501</v>
      </c>
      <c r="B1148" t="s">
        <v>1169</v>
      </c>
      <c r="C1148">
        <v>6300</v>
      </c>
      <c r="D1148" t="s">
        <v>1131</v>
      </c>
      <c r="E1148">
        <v>88400</v>
      </c>
      <c r="F1148" t="s">
        <v>1452</v>
      </c>
    </row>
    <row r="1149" spans="1:6" x14ac:dyDescent="0.35">
      <c r="A1149">
        <v>20260501</v>
      </c>
      <c r="B1149" t="s">
        <v>1169</v>
      </c>
      <c r="C1149">
        <v>3900</v>
      </c>
      <c r="D1149" t="s">
        <v>1131</v>
      </c>
      <c r="E1149">
        <v>-676000</v>
      </c>
      <c r="F1149" t="s">
        <v>1452</v>
      </c>
    </row>
    <row r="1150" spans="1:6" x14ac:dyDescent="0.35">
      <c r="A1150">
        <v>20260501</v>
      </c>
      <c r="B1150" t="s">
        <v>1260</v>
      </c>
      <c r="C1150">
        <v>5100</v>
      </c>
      <c r="D1150" t="s">
        <v>485</v>
      </c>
      <c r="E1150">
        <v>93600</v>
      </c>
      <c r="F1150" t="s">
        <v>1452</v>
      </c>
    </row>
    <row r="1151" spans="1:6" x14ac:dyDescent="0.35">
      <c r="A1151">
        <v>20260501</v>
      </c>
      <c r="B1151" t="s">
        <v>1260</v>
      </c>
      <c r="C1151">
        <v>3400</v>
      </c>
      <c r="D1151" t="s">
        <v>485</v>
      </c>
      <c r="E1151">
        <v>-93600</v>
      </c>
      <c r="F1151" t="s">
        <v>1452</v>
      </c>
    </row>
    <row r="1152" spans="1:6" x14ac:dyDescent="0.35">
      <c r="A1152">
        <v>20260501</v>
      </c>
      <c r="B1152" t="s">
        <v>1175</v>
      </c>
      <c r="C1152">
        <v>5000</v>
      </c>
      <c r="D1152" t="s">
        <v>1131</v>
      </c>
      <c r="E1152">
        <v>478400</v>
      </c>
      <c r="F1152" t="s">
        <v>1452</v>
      </c>
    </row>
    <row r="1153" spans="1:6" x14ac:dyDescent="0.35">
      <c r="A1153">
        <v>20260501</v>
      </c>
      <c r="B1153" t="s">
        <v>1175</v>
      </c>
      <c r="C1153">
        <v>5400</v>
      </c>
      <c r="D1153" t="s">
        <v>1131</v>
      </c>
      <c r="E1153">
        <v>67454.399999999994</v>
      </c>
      <c r="F1153" t="s">
        <v>1452</v>
      </c>
    </row>
    <row r="1154" spans="1:6" x14ac:dyDescent="0.35">
      <c r="A1154">
        <v>20260501</v>
      </c>
      <c r="B1154" t="s">
        <v>1175</v>
      </c>
      <c r="C1154">
        <v>6300</v>
      </c>
      <c r="D1154" t="s">
        <v>1131</v>
      </c>
      <c r="E1154">
        <v>88400</v>
      </c>
      <c r="F1154" t="s">
        <v>1452</v>
      </c>
    </row>
    <row r="1155" spans="1:6" x14ac:dyDescent="0.35">
      <c r="A1155">
        <v>20260501</v>
      </c>
      <c r="B1155" t="s">
        <v>1175</v>
      </c>
      <c r="C1155">
        <v>3900</v>
      </c>
      <c r="D1155" t="s">
        <v>1131</v>
      </c>
      <c r="E1155">
        <v>-676000</v>
      </c>
      <c r="F1155" t="s">
        <v>1452</v>
      </c>
    </row>
    <row r="1156" spans="1:6" x14ac:dyDescent="0.35">
      <c r="A1156">
        <v>20260501</v>
      </c>
      <c r="B1156" t="s">
        <v>1247</v>
      </c>
      <c r="C1156">
        <v>5100</v>
      </c>
      <c r="D1156" t="s">
        <v>485</v>
      </c>
      <c r="E1156">
        <v>93600</v>
      </c>
      <c r="F1156" t="s">
        <v>1452</v>
      </c>
    </row>
    <row r="1157" spans="1:6" x14ac:dyDescent="0.35">
      <c r="A1157">
        <v>20260501</v>
      </c>
      <c r="B1157" t="s">
        <v>1247</v>
      </c>
      <c r="C1157">
        <v>3400</v>
      </c>
      <c r="D1157" t="s">
        <v>485</v>
      </c>
      <c r="E1157">
        <v>-93600</v>
      </c>
      <c r="F1157" t="s">
        <v>1452</v>
      </c>
    </row>
    <row r="1158" spans="1:6" x14ac:dyDescent="0.35">
      <c r="A1158">
        <v>20260501</v>
      </c>
      <c r="B1158" t="s">
        <v>1130</v>
      </c>
      <c r="C1158">
        <v>5000</v>
      </c>
      <c r="D1158" t="s">
        <v>1131</v>
      </c>
      <c r="E1158">
        <v>478400</v>
      </c>
      <c r="F1158" t="s">
        <v>1452</v>
      </c>
    </row>
    <row r="1159" spans="1:6" x14ac:dyDescent="0.35">
      <c r="A1159">
        <v>20260501</v>
      </c>
      <c r="B1159" t="s">
        <v>1130</v>
      </c>
      <c r="C1159">
        <v>5400</v>
      </c>
      <c r="D1159" t="s">
        <v>1131</v>
      </c>
      <c r="E1159">
        <v>67454.399999999994</v>
      </c>
      <c r="F1159" t="s">
        <v>1452</v>
      </c>
    </row>
    <row r="1160" spans="1:6" x14ac:dyDescent="0.35">
      <c r="A1160">
        <v>20260501</v>
      </c>
      <c r="B1160" t="s">
        <v>1130</v>
      </c>
      <c r="C1160">
        <v>6300</v>
      </c>
      <c r="D1160" t="s">
        <v>1131</v>
      </c>
      <c r="E1160">
        <v>88400</v>
      </c>
      <c r="F1160" t="s">
        <v>1452</v>
      </c>
    </row>
    <row r="1161" spans="1:6" x14ac:dyDescent="0.35">
      <c r="A1161">
        <v>20260501</v>
      </c>
      <c r="B1161" t="s">
        <v>1130</v>
      </c>
      <c r="C1161">
        <v>3900</v>
      </c>
      <c r="D1161" t="s">
        <v>1131</v>
      </c>
      <c r="E1161">
        <v>-676000</v>
      </c>
      <c r="F1161" t="s">
        <v>1452</v>
      </c>
    </row>
    <row r="1162" spans="1:6" x14ac:dyDescent="0.35">
      <c r="A1162">
        <v>20260501</v>
      </c>
      <c r="B1162" t="s">
        <v>1265</v>
      </c>
      <c r="C1162">
        <v>5100</v>
      </c>
      <c r="D1162" t="s">
        <v>485</v>
      </c>
      <c r="E1162">
        <v>93600</v>
      </c>
      <c r="F1162" t="s">
        <v>1452</v>
      </c>
    </row>
    <row r="1163" spans="1:6" x14ac:dyDescent="0.35">
      <c r="A1163">
        <v>20260501</v>
      </c>
      <c r="B1163" t="s">
        <v>1265</v>
      </c>
      <c r="C1163">
        <v>3400</v>
      </c>
      <c r="D1163" t="s">
        <v>485</v>
      </c>
      <c r="E1163">
        <v>-93600</v>
      </c>
      <c r="F1163" t="s">
        <v>1452</v>
      </c>
    </row>
    <row r="1164" spans="1:6" x14ac:dyDescent="0.35">
      <c r="A1164">
        <v>20260501</v>
      </c>
      <c r="B1164" t="s">
        <v>1173</v>
      </c>
      <c r="C1164">
        <v>5000</v>
      </c>
      <c r="D1164" t="s">
        <v>1131</v>
      </c>
      <c r="E1164">
        <v>478400</v>
      </c>
      <c r="F1164" t="s">
        <v>1452</v>
      </c>
    </row>
    <row r="1165" spans="1:6" x14ac:dyDescent="0.35">
      <c r="A1165">
        <v>20260501</v>
      </c>
      <c r="B1165" t="s">
        <v>1173</v>
      </c>
      <c r="C1165">
        <v>5400</v>
      </c>
      <c r="D1165" t="s">
        <v>1131</v>
      </c>
      <c r="E1165">
        <v>67454.399999999994</v>
      </c>
      <c r="F1165" t="s">
        <v>1452</v>
      </c>
    </row>
    <row r="1166" spans="1:6" x14ac:dyDescent="0.35">
      <c r="A1166">
        <v>20260501</v>
      </c>
      <c r="B1166" t="s">
        <v>1173</v>
      </c>
      <c r="C1166">
        <v>6300</v>
      </c>
      <c r="D1166" t="s">
        <v>1131</v>
      </c>
      <c r="E1166">
        <v>88400</v>
      </c>
      <c r="F1166" t="s">
        <v>1452</v>
      </c>
    </row>
    <row r="1167" spans="1:6" x14ac:dyDescent="0.35">
      <c r="A1167">
        <v>20260501</v>
      </c>
      <c r="B1167" t="s">
        <v>1173</v>
      </c>
      <c r="C1167">
        <v>3900</v>
      </c>
      <c r="D1167" t="s">
        <v>1131</v>
      </c>
      <c r="E1167">
        <v>-676000</v>
      </c>
      <c r="F1167" t="s">
        <v>1452</v>
      </c>
    </row>
    <row r="1168" spans="1:6" x14ac:dyDescent="0.35">
      <c r="A1168">
        <v>20260501</v>
      </c>
      <c r="B1168" t="s">
        <v>1255</v>
      </c>
      <c r="C1168">
        <v>5100</v>
      </c>
      <c r="D1168" t="s">
        <v>485</v>
      </c>
      <c r="E1168">
        <v>93600</v>
      </c>
      <c r="F1168" t="s">
        <v>1452</v>
      </c>
    </row>
    <row r="1169" spans="1:6" x14ac:dyDescent="0.35">
      <c r="A1169">
        <v>20260501</v>
      </c>
      <c r="B1169" t="s">
        <v>1255</v>
      </c>
      <c r="C1169">
        <v>3400</v>
      </c>
      <c r="D1169" t="s">
        <v>485</v>
      </c>
      <c r="E1169">
        <v>-93600</v>
      </c>
      <c r="F1169" t="s">
        <v>1452</v>
      </c>
    </row>
    <row r="1170" spans="1:6" x14ac:dyDescent="0.35">
      <c r="A1170">
        <v>20260501</v>
      </c>
      <c r="B1170" t="s">
        <v>1155</v>
      </c>
      <c r="C1170">
        <v>5000</v>
      </c>
      <c r="D1170" t="s">
        <v>1131</v>
      </c>
      <c r="E1170">
        <v>478400</v>
      </c>
      <c r="F1170" t="s">
        <v>1452</v>
      </c>
    </row>
    <row r="1171" spans="1:6" x14ac:dyDescent="0.35">
      <c r="A1171">
        <v>20260501</v>
      </c>
      <c r="B1171" t="s">
        <v>1155</v>
      </c>
      <c r="C1171">
        <v>5400</v>
      </c>
      <c r="D1171" t="s">
        <v>1131</v>
      </c>
      <c r="E1171">
        <v>67454.399999999994</v>
      </c>
      <c r="F1171" t="s">
        <v>1452</v>
      </c>
    </row>
    <row r="1172" spans="1:6" x14ac:dyDescent="0.35">
      <c r="A1172">
        <v>20260501</v>
      </c>
      <c r="B1172" t="s">
        <v>1155</v>
      </c>
      <c r="C1172">
        <v>6300</v>
      </c>
      <c r="D1172" t="s">
        <v>1131</v>
      </c>
      <c r="E1172">
        <v>88400</v>
      </c>
      <c r="F1172" t="s">
        <v>1452</v>
      </c>
    </row>
    <row r="1173" spans="1:6" x14ac:dyDescent="0.35">
      <c r="A1173">
        <v>20260501</v>
      </c>
      <c r="B1173" t="s">
        <v>1155</v>
      </c>
      <c r="C1173">
        <v>3900</v>
      </c>
      <c r="D1173" t="s">
        <v>1131</v>
      </c>
      <c r="E1173">
        <v>-676000</v>
      </c>
      <c r="F1173" t="s">
        <v>1452</v>
      </c>
    </row>
    <row r="1174" spans="1:6" x14ac:dyDescent="0.35">
      <c r="A1174">
        <v>20260501</v>
      </c>
      <c r="B1174" t="s">
        <v>1138</v>
      </c>
      <c r="C1174">
        <v>5000</v>
      </c>
      <c r="D1174" t="s">
        <v>1131</v>
      </c>
      <c r="E1174">
        <v>478400</v>
      </c>
      <c r="F1174" t="s">
        <v>1452</v>
      </c>
    </row>
    <row r="1175" spans="1:6" x14ac:dyDescent="0.35">
      <c r="A1175">
        <v>20260501</v>
      </c>
      <c r="B1175" t="s">
        <v>1138</v>
      </c>
      <c r="C1175">
        <v>5400</v>
      </c>
      <c r="D1175" t="s">
        <v>1131</v>
      </c>
      <c r="E1175">
        <v>67454.399999999994</v>
      </c>
      <c r="F1175" t="s">
        <v>1452</v>
      </c>
    </row>
    <row r="1176" spans="1:6" x14ac:dyDescent="0.35">
      <c r="A1176">
        <v>20260501</v>
      </c>
      <c r="B1176" t="s">
        <v>1138</v>
      </c>
      <c r="C1176">
        <v>6300</v>
      </c>
      <c r="D1176" t="s">
        <v>1131</v>
      </c>
      <c r="E1176">
        <v>88400</v>
      </c>
      <c r="F1176" t="s">
        <v>1452</v>
      </c>
    </row>
    <row r="1177" spans="1:6" x14ac:dyDescent="0.35">
      <c r="A1177">
        <v>20260501</v>
      </c>
      <c r="B1177" t="s">
        <v>1138</v>
      </c>
      <c r="C1177">
        <v>3900</v>
      </c>
      <c r="D1177" t="s">
        <v>1131</v>
      </c>
      <c r="E1177">
        <v>-676000</v>
      </c>
      <c r="F1177" t="s">
        <v>1452</v>
      </c>
    </row>
    <row r="1178" spans="1:6" x14ac:dyDescent="0.35">
      <c r="A1178">
        <v>20260601</v>
      </c>
      <c r="B1178" t="s">
        <v>1150</v>
      </c>
      <c r="C1178">
        <v>5000</v>
      </c>
      <c r="D1178" t="s">
        <v>1131</v>
      </c>
      <c r="E1178">
        <v>478400</v>
      </c>
      <c r="F1178" t="s">
        <v>1452</v>
      </c>
    </row>
    <row r="1179" spans="1:6" x14ac:dyDescent="0.35">
      <c r="A1179">
        <v>20260601</v>
      </c>
      <c r="B1179" t="s">
        <v>1150</v>
      </c>
      <c r="C1179">
        <v>5400</v>
      </c>
      <c r="D1179" t="s">
        <v>1131</v>
      </c>
      <c r="E1179">
        <v>67454.399999999994</v>
      </c>
      <c r="F1179" t="s">
        <v>1452</v>
      </c>
    </row>
    <row r="1180" spans="1:6" x14ac:dyDescent="0.35">
      <c r="A1180">
        <v>20260601</v>
      </c>
      <c r="B1180" t="s">
        <v>1150</v>
      </c>
      <c r="C1180">
        <v>6300</v>
      </c>
      <c r="D1180" t="s">
        <v>1131</v>
      </c>
      <c r="E1180">
        <v>88400</v>
      </c>
      <c r="F1180" t="s">
        <v>1452</v>
      </c>
    </row>
    <row r="1181" spans="1:6" x14ac:dyDescent="0.35">
      <c r="A1181">
        <v>20260601</v>
      </c>
      <c r="B1181" t="s">
        <v>1150</v>
      </c>
      <c r="C1181">
        <v>3900</v>
      </c>
      <c r="D1181" t="s">
        <v>1131</v>
      </c>
      <c r="E1181">
        <v>-676000</v>
      </c>
      <c r="F1181" t="s">
        <v>1452</v>
      </c>
    </row>
    <row r="1182" spans="1:6" x14ac:dyDescent="0.35">
      <c r="A1182">
        <v>20260601</v>
      </c>
      <c r="B1182" t="s">
        <v>1272</v>
      </c>
      <c r="C1182">
        <v>5100</v>
      </c>
      <c r="D1182" t="s">
        <v>485</v>
      </c>
      <c r="E1182">
        <v>93600</v>
      </c>
      <c r="F1182" t="s">
        <v>1452</v>
      </c>
    </row>
    <row r="1183" spans="1:6" x14ac:dyDescent="0.35">
      <c r="A1183">
        <v>20260601</v>
      </c>
      <c r="B1183" t="s">
        <v>1272</v>
      </c>
      <c r="C1183">
        <v>3400</v>
      </c>
      <c r="D1183" t="s">
        <v>485</v>
      </c>
      <c r="E1183">
        <v>-93600</v>
      </c>
      <c r="F1183" t="s">
        <v>1452</v>
      </c>
    </row>
    <row r="1184" spans="1:6" x14ac:dyDescent="0.35">
      <c r="A1184">
        <v>20260601</v>
      </c>
      <c r="B1184" t="s">
        <v>1158</v>
      </c>
      <c r="C1184">
        <v>5000</v>
      </c>
      <c r="D1184" t="s">
        <v>1131</v>
      </c>
      <c r="E1184">
        <v>478400</v>
      </c>
      <c r="F1184" t="s">
        <v>1452</v>
      </c>
    </row>
    <row r="1185" spans="1:6" x14ac:dyDescent="0.35">
      <c r="A1185">
        <v>20260601</v>
      </c>
      <c r="B1185" t="s">
        <v>1158</v>
      </c>
      <c r="C1185">
        <v>5400</v>
      </c>
      <c r="D1185" t="s">
        <v>1131</v>
      </c>
      <c r="E1185">
        <v>67454.399999999994</v>
      </c>
      <c r="F1185" t="s">
        <v>1452</v>
      </c>
    </row>
    <row r="1186" spans="1:6" x14ac:dyDescent="0.35">
      <c r="A1186">
        <v>20260601</v>
      </c>
      <c r="B1186" t="s">
        <v>1158</v>
      </c>
      <c r="C1186">
        <v>6300</v>
      </c>
      <c r="D1186" t="s">
        <v>1131</v>
      </c>
      <c r="E1186">
        <v>88400</v>
      </c>
      <c r="F1186" t="s">
        <v>1452</v>
      </c>
    </row>
    <row r="1187" spans="1:6" x14ac:dyDescent="0.35">
      <c r="A1187">
        <v>20260601</v>
      </c>
      <c r="B1187" t="s">
        <v>1158</v>
      </c>
      <c r="C1187">
        <v>3900</v>
      </c>
      <c r="D1187" t="s">
        <v>1131</v>
      </c>
      <c r="E1187">
        <v>-676000</v>
      </c>
      <c r="F1187" t="s">
        <v>1452</v>
      </c>
    </row>
    <row r="1188" spans="1:6" x14ac:dyDescent="0.35">
      <c r="A1188">
        <v>20260601</v>
      </c>
      <c r="B1188" t="s">
        <v>1243</v>
      </c>
      <c r="C1188">
        <v>5100</v>
      </c>
      <c r="D1188" t="s">
        <v>485</v>
      </c>
      <c r="E1188">
        <v>93600</v>
      </c>
      <c r="F1188" t="s">
        <v>1452</v>
      </c>
    </row>
    <row r="1189" spans="1:6" x14ac:dyDescent="0.35">
      <c r="A1189">
        <v>20260601</v>
      </c>
      <c r="B1189" t="s">
        <v>1243</v>
      </c>
      <c r="C1189">
        <v>3400</v>
      </c>
      <c r="D1189" t="s">
        <v>485</v>
      </c>
      <c r="E1189">
        <v>-93600</v>
      </c>
      <c r="F1189" t="s">
        <v>1452</v>
      </c>
    </row>
    <row r="1190" spans="1:6" x14ac:dyDescent="0.35">
      <c r="A1190">
        <v>20260601</v>
      </c>
      <c r="B1190" t="s">
        <v>1205</v>
      </c>
      <c r="C1190">
        <v>5000</v>
      </c>
      <c r="D1190" t="s">
        <v>1131</v>
      </c>
      <c r="E1190">
        <v>478400</v>
      </c>
      <c r="F1190" t="s">
        <v>1452</v>
      </c>
    </row>
    <row r="1191" spans="1:6" x14ac:dyDescent="0.35">
      <c r="A1191">
        <v>20260601</v>
      </c>
      <c r="B1191" t="s">
        <v>1205</v>
      </c>
      <c r="C1191">
        <v>5400</v>
      </c>
      <c r="D1191" t="s">
        <v>1131</v>
      </c>
      <c r="E1191">
        <v>67454.399999999994</v>
      </c>
      <c r="F1191" t="s">
        <v>1452</v>
      </c>
    </row>
    <row r="1192" spans="1:6" x14ac:dyDescent="0.35">
      <c r="A1192">
        <v>20260601</v>
      </c>
      <c r="B1192" t="s">
        <v>1205</v>
      </c>
      <c r="C1192">
        <v>6300</v>
      </c>
      <c r="D1192" t="s">
        <v>1131</v>
      </c>
      <c r="E1192">
        <v>88400</v>
      </c>
      <c r="F1192" t="s">
        <v>1452</v>
      </c>
    </row>
    <row r="1193" spans="1:6" x14ac:dyDescent="0.35">
      <c r="A1193">
        <v>20260601</v>
      </c>
      <c r="B1193" t="s">
        <v>1205</v>
      </c>
      <c r="C1193">
        <v>3900</v>
      </c>
      <c r="D1193" t="s">
        <v>1131</v>
      </c>
      <c r="E1193">
        <v>-676000</v>
      </c>
      <c r="F1193" t="s">
        <v>1452</v>
      </c>
    </row>
    <row r="1194" spans="1:6" x14ac:dyDescent="0.35">
      <c r="A1194">
        <v>20260601</v>
      </c>
      <c r="B1194" t="s">
        <v>1257</v>
      </c>
      <c r="C1194">
        <v>5100</v>
      </c>
      <c r="D1194" t="s">
        <v>485</v>
      </c>
      <c r="E1194">
        <v>93600</v>
      </c>
      <c r="F1194" t="s">
        <v>1452</v>
      </c>
    </row>
    <row r="1195" spans="1:6" x14ac:dyDescent="0.35">
      <c r="A1195">
        <v>20260601</v>
      </c>
      <c r="B1195" t="s">
        <v>1257</v>
      </c>
      <c r="C1195">
        <v>3400</v>
      </c>
      <c r="D1195" t="s">
        <v>485</v>
      </c>
      <c r="E1195">
        <v>-93600</v>
      </c>
      <c r="F1195" t="s">
        <v>1452</v>
      </c>
    </row>
    <row r="1196" spans="1:6" x14ac:dyDescent="0.35">
      <c r="A1196">
        <v>20260601</v>
      </c>
      <c r="B1196" t="s">
        <v>1164</v>
      </c>
      <c r="C1196">
        <v>5000</v>
      </c>
      <c r="D1196" t="s">
        <v>1131</v>
      </c>
      <c r="E1196">
        <v>478400</v>
      </c>
      <c r="F1196" t="s">
        <v>1452</v>
      </c>
    </row>
    <row r="1197" spans="1:6" x14ac:dyDescent="0.35">
      <c r="A1197">
        <v>20260601</v>
      </c>
      <c r="B1197" t="s">
        <v>1164</v>
      </c>
      <c r="C1197">
        <v>5400</v>
      </c>
      <c r="D1197" t="s">
        <v>1131</v>
      </c>
      <c r="E1197">
        <v>67454.399999999994</v>
      </c>
      <c r="F1197" t="s">
        <v>1452</v>
      </c>
    </row>
    <row r="1198" spans="1:6" x14ac:dyDescent="0.35">
      <c r="A1198">
        <v>20260601</v>
      </c>
      <c r="B1198" t="s">
        <v>1164</v>
      </c>
      <c r="C1198">
        <v>6300</v>
      </c>
      <c r="D1198" t="s">
        <v>1131</v>
      </c>
      <c r="E1198">
        <v>88400</v>
      </c>
      <c r="F1198" t="s">
        <v>1452</v>
      </c>
    </row>
    <row r="1199" spans="1:6" x14ac:dyDescent="0.35">
      <c r="A1199">
        <v>20260601</v>
      </c>
      <c r="B1199" t="s">
        <v>1164</v>
      </c>
      <c r="C1199">
        <v>3900</v>
      </c>
      <c r="D1199" t="s">
        <v>1131</v>
      </c>
      <c r="E1199">
        <v>-676000</v>
      </c>
      <c r="F1199" t="s">
        <v>1452</v>
      </c>
    </row>
    <row r="1200" spans="1:6" x14ac:dyDescent="0.35">
      <c r="A1200">
        <v>20260601</v>
      </c>
      <c r="B1200" t="s">
        <v>1249</v>
      </c>
      <c r="C1200">
        <v>5100</v>
      </c>
      <c r="D1200" t="s">
        <v>485</v>
      </c>
      <c r="E1200">
        <v>93600</v>
      </c>
      <c r="F1200" t="s">
        <v>1452</v>
      </c>
    </row>
    <row r="1201" spans="1:6" x14ac:dyDescent="0.35">
      <c r="A1201">
        <v>20260601</v>
      </c>
      <c r="B1201" t="s">
        <v>1249</v>
      </c>
      <c r="C1201">
        <v>3400</v>
      </c>
      <c r="D1201" t="s">
        <v>485</v>
      </c>
      <c r="E1201">
        <v>-93600</v>
      </c>
      <c r="F1201" t="s">
        <v>1452</v>
      </c>
    </row>
    <row r="1202" spans="1:6" x14ac:dyDescent="0.35">
      <c r="A1202">
        <v>20260601</v>
      </c>
      <c r="B1202" t="s">
        <v>1169</v>
      </c>
      <c r="C1202">
        <v>5000</v>
      </c>
      <c r="D1202" t="s">
        <v>1131</v>
      </c>
      <c r="E1202">
        <v>478400</v>
      </c>
      <c r="F1202" t="s">
        <v>1452</v>
      </c>
    </row>
    <row r="1203" spans="1:6" x14ac:dyDescent="0.35">
      <c r="A1203">
        <v>20260601</v>
      </c>
      <c r="B1203" t="s">
        <v>1169</v>
      </c>
      <c r="C1203">
        <v>5400</v>
      </c>
      <c r="D1203" t="s">
        <v>1131</v>
      </c>
      <c r="E1203">
        <v>67454.399999999994</v>
      </c>
      <c r="F1203" t="s">
        <v>1452</v>
      </c>
    </row>
    <row r="1204" spans="1:6" x14ac:dyDescent="0.35">
      <c r="A1204">
        <v>20260601</v>
      </c>
      <c r="B1204" t="s">
        <v>1169</v>
      </c>
      <c r="C1204">
        <v>6300</v>
      </c>
      <c r="D1204" t="s">
        <v>1131</v>
      </c>
      <c r="E1204">
        <v>88400</v>
      </c>
      <c r="F1204" t="s">
        <v>1452</v>
      </c>
    </row>
    <row r="1205" spans="1:6" x14ac:dyDescent="0.35">
      <c r="A1205">
        <v>20260601</v>
      </c>
      <c r="B1205" t="s">
        <v>1169</v>
      </c>
      <c r="C1205">
        <v>3900</v>
      </c>
      <c r="D1205" t="s">
        <v>1131</v>
      </c>
      <c r="E1205">
        <v>-676000</v>
      </c>
      <c r="F1205" t="s">
        <v>1452</v>
      </c>
    </row>
    <row r="1206" spans="1:6" x14ac:dyDescent="0.35">
      <c r="A1206">
        <v>20260601</v>
      </c>
      <c r="B1206" t="s">
        <v>1260</v>
      </c>
      <c r="C1206">
        <v>5100</v>
      </c>
      <c r="D1206" t="s">
        <v>485</v>
      </c>
      <c r="E1206">
        <v>93600</v>
      </c>
      <c r="F1206" t="s">
        <v>1452</v>
      </c>
    </row>
    <row r="1207" spans="1:6" x14ac:dyDescent="0.35">
      <c r="A1207">
        <v>20260601</v>
      </c>
      <c r="B1207" t="s">
        <v>1260</v>
      </c>
      <c r="C1207">
        <v>3400</v>
      </c>
      <c r="D1207" t="s">
        <v>485</v>
      </c>
      <c r="E1207">
        <v>-93600</v>
      </c>
      <c r="F1207" t="s">
        <v>1452</v>
      </c>
    </row>
    <row r="1208" spans="1:6" x14ac:dyDescent="0.35">
      <c r="A1208">
        <v>20260601</v>
      </c>
      <c r="B1208" t="s">
        <v>1175</v>
      </c>
      <c r="C1208">
        <v>5000</v>
      </c>
      <c r="D1208" t="s">
        <v>1131</v>
      </c>
      <c r="E1208">
        <v>478400</v>
      </c>
      <c r="F1208" t="s">
        <v>1452</v>
      </c>
    </row>
    <row r="1209" spans="1:6" x14ac:dyDescent="0.35">
      <c r="A1209">
        <v>20260601</v>
      </c>
      <c r="B1209" t="s">
        <v>1175</v>
      </c>
      <c r="C1209">
        <v>5400</v>
      </c>
      <c r="D1209" t="s">
        <v>1131</v>
      </c>
      <c r="E1209">
        <v>67454.399999999994</v>
      </c>
      <c r="F1209" t="s">
        <v>1452</v>
      </c>
    </row>
    <row r="1210" spans="1:6" x14ac:dyDescent="0.35">
      <c r="A1210">
        <v>20260601</v>
      </c>
      <c r="B1210" t="s">
        <v>1175</v>
      </c>
      <c r="C1210">
        <v>6300</v>
      </c>
      <c r="D1210" t="s">
        <v>1131</v>
      </c>
      <c r="E1210">
        <v>88400</v>
      </c>
      <c r="F1210" t="s">
        <v>1452</v>
      </c>
    </row>
    <row r="1211" spans="1:6" x14ac:dyDescent="0.35">
      <c r="A1211">
        <v>20260601</v>
      </c>
      <c r="B1211" t="s">
        <v>1175</v>
      </c>
      <c r="C1211">
        <v>3900</v>
      </c>
      <c r="D1211" t="s">
        <v>1131</v>
      </c>
      <c r="E1211">
        <v>-676000</v>
      </c>
      <c r="F1211" t="s">
        <v>1452</v>
      </c>
    </row>
    <row r="1212" spans="1:6" x14ac:dyDescent="0.35">
      <c r="A1212">
        <v>20260601</v>
      </c>
      <c r="B1212" t="s">
        <v>1247</v>
      </c>
      <c r="C1212">
        <v>5100</v>
      </c>
      <c r="D1212" t="s">
        <v>485</v>
      </c>
      <c r="E1212">
        <v>93600</v>
      </c>
      <c r="F1212" t="s">
        <v>1452</v>
      </c>
    </row>
    <row r="1213" spans="1:6" x14ac:dyDescent="0.35">
      <c r="A1213">
        <v>20260601</v>
      </c>
      <c r="B1213" t="s">
        <v>1247</v>
      </c>
      <c r="C1213">
        <v>3400</v>
      </c>
      <c r="D1213" t="s">
        <v>485</v>
      </c>
      <c r="E1213">
        <v>-93600</v>
      </c>
      <c r="F1213" t="s">
        <v>1452</v>
      </c>
    </row>
    <row r="1214" spans="1:6" x14ac:dyDescent="0.35">
      <c r="A1214">
        <v>20260601</v>
      </c>
      <c r="B1214" t="s">
        <v>1130</v>
      </c>
      <c r="C1214">
        <v>5000</v>
      </c>
      <c r="D1214" t="s">
        <v>1131</v>
      </c>
      <c r="E1214">
        <v>478400</v>
      </c>
      <c r="F1214" t="s">
        <v>1452</v>
      </c>
    </row>
    <row r="1215" spans="1:6" x14ac:dyDescent="0.35">
      <c r="A1215">
        <v>20260601</v>
      </c>
      <c r="B1215" t="s">
        <v>1130</v>
      </c>
      <c r="C1215">
        <v>5400</v>
      </c>
      <c r="D1215" t="s">
        <v>1131</v>
      </c>
      <c r="E1215">
        <v>67454.399999999994</v>
      </c>
      <c r="F1215" t="s">
        <v>1452</v>
      </c>
    </row>
    <row r="1216" spans="1:6" x14ac:dyDescent="0.35">
      <c r="A1216">
        <v>20260601</v>
      </c>
      <c r="B1216" t="s">
        <v>1130</v>
      </c>
      <c r="C1216">
        <v>6300</v>
      </c>
      <c r="D1216" t="s">
        <v>1131</v>
      </c>
      <c r="E1216">
        <v>88400</v>
      </c>
      <c r="F1216" t="s">
        <v>1452</v>
      </c>
    </row>
    <row r="1217" spans="1:6" x14ac:dyDescent="0.35">
      <c r="A1217">
        <v>20260601</v>
      </c>
      <c r="B1217" t="s">
        <v>1130</v>
      </c>
      <c r="C1217">
        <v>3900</v>
      </c>
      <c r="D1217" t="s">
        <v>1131</v>
      </c>
      <c r="E1217">
        <v>-676000</v>
      </c>
      <c r="F1217" t="s">
        <v>1452</v>
      </c>
    </row>
    <row r="1218" spans="1:6" x14ac:dyDescent="0.35">
      <c r="A1218">
        <v>20260601</v>
      </c>
      <c r="B1218" t="s">
        <v>1265</v>
      </c>
      <c r="C1218">
        <v>5100</v>
      </c>
      <c r="D1218" t="s">
        <v>485</v>
      </c>
      <c r="E1218">
        <v>93600</v>
      </c>
      <c r="F1218" t="s">
        <v>1452</v>
      </c>
    </row>
    <row r="1219" spans="1:6" x14ac:dyDescent="0.35">
      <c r="A1219">
        <v>20260601</v>
      </c>
      <c r="B1219" t="s">
        <v>1265</v>
      </c>
      <c r="C1219">
        <v>3400</v>
      </c>
      <c r="D1219" t="s">
        <v>485</v>
      </c>
      <c r="E1219">
        <v>-93600</v>
      </c>
      <c r="F1219" t="s">
        <v>1452</v>
      </c>
    </row>
    <row r="1220" spans="1:6" x14ac:dyDescent="0.35">
      <c r="A1220">
        <v>20260601</v>
      </c>
      <c r="B1220" t="s">
        <v>1173</v>
      </c>
      <c r="C1220">
        <v>5000</v>
      </c>
      <c r="D1220" t="s">
        <v>1131</v>
      </c>
      <c r="E1220">
        <v>478400</v>
      </c>
      <c r="F1220" t="s">
        <v>1452</v>
      </c>
    </row>
    <row r="1221" spans="1:6" x14ac:dyDescent="0.35">
      <c r="A1221">
        <v>20260601</v>
      </c>
      <c r="B1221" t="s">
        <v>1173</v>
      </c>
      <c r="C1221">
        <v>5400</v>
      </c>
      <c r="D1221" t="s">
        <v>1131</v>
      </c>
      <c r="E1221">
        <v>67454.399999999994</v>
      </c>
      <c r="F1221" t="s">
        <v>1452</v>
      </c>
    </row>
    <row r="1222" spans="1:6" x14ac:dyDescent="0.35">
      <c r="A1222">
        <v>20260601</v>
      </c>
      <c r="B1222" t="s">
        <v>1173</v>
      </c>
      <c r="C1222">
        <v>6300</v>
      </c>
      <c r="D1222" t="s">
        <v>1131</v>
      </c>
      <c r="E1222">
        <v>88400</v>
      </c>
      <c r="F1222" t="s">
        <v>1452</v>
      </c>
    </row>
    <row r="1223" spans="1:6" x14ac:dyDescent="0.35">
      <c r="A1223">
        <v>20260601</v>
      </c>
      <c r="B1223" t="s">
        <v>1173</v>
      </c>
      <c r="C1223">
        <v>3900</v>
      </c>
      <c r="D1223" t="s">
        <v>1131</v>
      </c>
      <c r="E1223">
        <v>-676000</v>
      </c>
      <c r="F1223" t="s">
        <v>1452</v>
      </c>
    </row>
    <row r="1224" spans="1:6" x14ac:dyDescent="0.35">
      <c r="A1224">
        <v>20260601</v>
      </c>
      <c r="B1224" t="s">
        <v>1255</v>
      </c>
      <c r="C1224">
        <v>5100</v>
      </c>
      <c r="D1224" t="s">
        <v>485</v>
      </c>
      <c r="E1224">
        <v>93600</v>
      </c>
      <c r="F1224" t="s">
        <v>1452</v>
      </c>
    </row>
    <row r="1225" spans="1:6" x14ac:dyDescent="0.35">
      <c r="A1225">
        <v>20260601</v>
      </c>
      <c r="B1225" t="s">
        <v>1255</v>
      </c>
      <c r="C1225">
        <v>3400</v>
      </c>
      <c r="D1225" t="s">
        <v>485</v>
      </c>
      <c r="E1225">
        <v>-93600</v>
      </c>
      <c r="F1225" t="s">
        <v>1452</v>
      </c>
    </row>
    <row r="1226" spans="1:6" x14ac:dyDescent="0.35">
      <c r="A1226">
        <v>20260601</v>
      </c>
      <c r="B1226" t="s">
        <v>1155</v>
      </c>
      <c r="C1226">
        <v>5000</v>
      </c>
      <c r="D1226" t="s">
        <v>1131</v>
      </c>
      <c r="E1226">
        <v>478400</v>
      </c>
      <c r="F1226" t="s">
        <v>1452</v>
      </c>
    </row>
    <row r="1227" spans="1:6" x14ac:dyDescent="0.35">
      <c r="A1227">
        <v>20260601</v>
      </c>
      <c r="B1227" t="s">
        <v>1155</v>
      </c>
      <c r="C1227">
        <v>5400</v>
      </c>
      <c r="D1227" t="s">
        <v>1131</v>
      </c>
      <c r="E1227">
        <v>67454.399999999994</v>
      </c>
      <c r="F1227" t="s">
        <v>1452</v>
      </c>
    </row>
    <row r="1228" spans="1:6" x14ac:dyDescent="0.35">
      <c r="A1228">
        <v>20260601</v>
      </c>
      <c r="B1228" t="s">
        <v>1155</v>
      </c>
      <c r="C1228">
        <v>6300</v>
      </c>
      <c r="D1228" t="s">
        <v>1131</v>
      </c>
      <c r="E1228">
        <v>88400</v>
      </c>
      <c r="F1228" t="s">
        <v>1452</v>
      </c>
    </row>
    <row r="1229" spans="1:6" x14ac:dyDescent="0.35">
      <c r="A1229">
        <v>20260601</v>
      </c>
      <c r="B1229" t="s">
        <v>1155</v>
      </c>
      <c r="C1229">
        <v>3900</v>
      </c>
      <c r="D1229" t="s">
        <v>1131</v>
      </c>
      <c r="E1229">
        <v>-676000</v>
      </c>
      <c r="F1229" t="s">
        <v>1452</v>
      </c>
    </row>
    <row r="1230" spans="1:6" x14ac:dyDescent="0.35">
      <c r="A1230">
        <v>20260601</v>
      </c>
      <c r="B1230" t="s">
        <v>1138</v>
      </c>
      <c r="C1230">
        <v>5000</v>
      </c>
      <c r="D1230" t="s">
        <v>1131</v>
      </c>
      <c r="E1230">
        <v>478400</v>
      </c>
      <c r="F1230" t="s">
        <v>1452</v>
      </c>
    </row>
    <row r="1231" spans="1:6" x14ac:dyDescent="0.35">
      <c r="A1231">
        <v>20260601</v>
      </c>
      <c r="B1231" t="s">
        <v>1138</v>
      </c>
      <c r="C1231">
        <v>5400</v>
      </c>
      <c r="D1231" t="s">
        <v>1131</v>
      </c>
      <c r="E1231">
        <v>67454.399999999994</v>
      </c>
      <c r="F1231" t="s">
        <v>1452</v>
      </c>
    </row>
    <row r="1232" spans="1:6" x14ac:dyDescent="0.35">
      <c r="A1232">
        <v>20260601</v>
      </c>
      <c r="B1232" t="s">
        <v>1138</v>
      </c>
      <c r="C1232">
        <v>6300</v>
      </c>
      <c r="D1232" t="s">
        <v>1131</v>
      </c>
      <c r="E1232">
        <v>88400</v>
      </c>
      <c r="F1232" t="s">
        <v>1452</v>
      </c>
    </row>
    <row r="1233" spans="1:6" x14ac:dyDescent="0.35">
      <c r="A1233">
        <v>20260601</v>
      </c>
      <c r="B1233" t="s">
        <v>1138</v>
      </c>
      <c r="C1233">
        <v>3900</v>
      </c>
      <c r="D1233" t="s">
        <v>1131</v>
      </c>
      <c r="E1233">
        <v>-676000</v>
      </c>
      <c r="F1233" t="s">
        <v>1452</v>
      </c>
    </row>
    <row r="1234" spans="1:6" x14ac:dyDescent="0.35">
      <c r="A1234">
        <v>20260701</v>
      </c>
      <c r="B1234" t="s">
        <v>1150</v>
      </c>
      <c r="C1234">
        <v>5000</v>
      </c>
      <c r="D1234" t="s">
        <v>1131</v>
      </c>
      <c r="E1234">
        <v>478400</v>
      </c>
      <c r="F1234" t="s">
        <v>1452</v>
      </c>
    </row>
    <row r="1235" spans="1:6" x14ac:dyDescent="0.35">
      <c r="A1235">
        <v>20260701</v>
      </c>
      <c r="B1235" t="s">
        <v>1150</v>
      </c>
      <c r="C1235">
        <v>5400</v>
      </c>
      <c r="D1235" t="s">
        <v>1131</v>
      </c>
      <c r="E1235">
        <v>67454.399999999994</v>
      </c>
      <c r="F1235" t="s">
        <v>1452</v>
      </c>
    </row>
    <row r="1236" spans="1:6" x14ac:dyDescent="0.35">
      <c r="A1236">
        <v>20260701</v>
      </c>
      <c r="B1236" t="s">
        <v>1150</v>
      </c>
      <c r="C1236">
        <v>6300</v>
      </c>
      <c r="D1236" t="s">
        <v>1131</v>
      </c>
      <c r="E1236">
        <v>88400</v>
      </c>
      <c r="F1236" t="s">
        <v>1452</v>
      </c>
    </row>
    <row r="1237" spans="1:6" x14ac:dyDescent="0.35">
      <c r="A1237">
        <v>20260701</v>
      </c>
      <c r="B1237" t="s">
        <v>1150</v>
      </c>
      <c r="C1237">
        <v>3900</v>
      </c>
      <c r="D1237" t="s">
        <v>1131</v>
      </c>
      <c r="E1237">
        <v>-676000</v>
      </c>
      <c r="F1237" t="s">
        <v>1452</v>
      </c>
    </row>
    <row r="1238" spans="1:6" x14ac:dyDescent="0.35">
      <c r="A1238">
        <v>20260701</v>
      </c>
      <c r="B1238" t="s">
        <v>1272</v>
      </c>
      <c r="C1238">
        <v>5100</v>
      </c>
      <c r="D1238" t="s">
        <v>485</v>
      </c>
      <c r="E1238">
        <v>93600</v>
      </c>
      <c r="F1238" t="s">
        <v>1452</v>
      </c>
    </row>
    <row r="1239" spans="1:6" x14ac:dyDescent="0.35">
      <c r="A1239">
        <v>20260701</v>
      </c>
      <c r="B1239" t="s">
        <v>1272</v>
      </c>
      <c r="C1239">
        <v>3400</v>
      </c>
      <c r="D1239" t="s">
        <v>485</v>
      </c>
      <c r="E1239">
        <v>-93600</v>
      </c>
      <c r="F1239" t="s">
        <v>1452</v>
      </c>
    </row>
    <row r="1240" spans="1:6" x14ac:dyDescent="0.35">
      <c r="A1240">
        <v>20260701</v>
      </c>
      <c r="B1240" t="s">
        <v>1158</v>
      </c>
      <c r="C1240">
        <v>5000</v>
      </c>
      <c r="D1240" t="s">
        <v>1131</v>
      </c>
      <c r="E1240">
        <v>478400</v>
      </c>
      <c r="F1240" t="s">
        <v>1452</v>
      </c>
    </row>
    <row r="1241" spans="1:6" x14ac:dyDescent="0.35">
      <c r="A1241">
        <v>20260701</v>
      </c>
      <c r="B1241" t="s">
        <v>1158</v>
      </c>
      <c r="C1241">
        <v>5400</v>
      </c>
      <c r="D1241" t="s">
        <v>1131</v>
      </c>
      <c r="E1241">
        <v>67454.399999999994</v>
      </c>
      <c r="F1241" t="s">
        <v>1452</v>
      </c>
    </row>
    <row r="1242" spans="1:6" x14ac:dyDescent="0.35">
      <c r="A1242">
        <v>20260701</v>
      </c>
      <c r="B1242" t="s">
        <v>1158</v>
      </c>
      <c r="C1242">
        <v>6300</v>
      </c>
      <c r="D1242" t="s">
        <v>1131</v>
      </c>
      <c r="E1242">
        <v>88400</v>
      </c>
      <c r="F1242" t="s">
        <v>1452</v>
      </c>
    </row>
    <row r="1243" spans="1:6" x14ac:dyDescent="0.35">
      <c r="A1243">
        <v>20260701</v>
      </c>
      <c r="B1243" t="s">
        <v>1158</v>
      </c>
      <c r="C1243">
        <v>3900</v>
      </c>
      <c r="D1243" t="s">
        <v>1131</v>
      </c>
      <c r="E1243">
        <v>-676000</v>
      </c>
      <c r="F1243" t="s">
        <v>1452</v>
      </c>
    </row>
    <row r="1244" spans="1:6" x14ac:dyDescent="0.35">
      <c r="A1244">
        <v>20260701</v>
      </c>
      <c r="B1244" t="s">
        <v>1243</v>
      </c>
      <c r="C1244">
        <v>5100</v>
      </c>
      <c r="D1244" t="s">
        <v>485</v>
      </c>
      <c r="E1244">
        <v>93600</v>
      </c>
      <c r="F1244" t="s">
        <v>1452</v>
      </c>
    </row>
    <row r="1245" spans="1:6" x14ac:dyDescent="0.35">
      <c r="A1245">
        <v>20260701</v>
      </c>
      <c r="B1245" t="s">
        <v>1243</v>
      </c>
      <c r="C1245">
        <v>3400</v>
      </c>
      <c r="D1245" t="s">
        <v>485</v>
      </c>
      <c r="E1245">
        <v>-93600</v>
      </c>
      <c r="F1245" t="s">
        <v>1452</v>
      </c>
    </row>
    <row r="1246" spans="1:6" x14ac:dyDescent="0.35">
      <c r="A1246">
        <v>20260701</v>
      </c>
      <c r="B1246" t="s">
        <v>1205</v>
      </c>
      <c r="C1246">
        <v>5000</v>
      </c>
      <c r="D1246" t="s">
        <v>1131</v>
      </c>
      <c r="E1246">
        <v>478400</v>
      </c>
      <c r="F1246" t="s">
        <v>1452</v>
      </c>
    </row>
    <row r="1247" spans="1:6" x14ac:dyDescent="0.35">
      <c r="A1247">
        <v>20260701</v>
      </c>
      <c r="B1247" t="s">
        <v>1205</v>
      </c>
      <c r="C1247">
        <v>5400</v>
      </c>
      <c r="D1247" t="s">
        <v>1131</v>
      </c>
      <c r="E1247">
        <v>67454.399999999994</v>
      </c>
      <c r="F1247" t="s">
        <v>1452</v>
      </c>
    </row>
    <row r="1248" spans="1:6" x14ac:dyDescent="0.35">
      <c r="A1248">
        <v>20260701</v>
      </c>
      <c r="B1248" t="s">
        <v>1205</v>
      </c>
      <c r="C1248">
        <v>6300</v>
      </c>
      <c r="D1248" t="s">
        <v>1131</v>
      </c>
      <c r="E1248">
        <v>88400</v>
      </c>
      <c r="F1248" t="s">
        <v>1452</v>
      </c>
    </row>
    <row r="1249" spans="1:6" x14ac:dyDescent="0.35">
      <c r="A1249">
        <v>20260701</v>
      </c>
      <c r="B1249" t="s">
        <v>1205</v>
      </c>
      <c r="C1249">
        <v>3900</v>
      </c>
      <c r="D1249" t="s">
        <v>1131</v>
      </c>
      <c r="E1249">
        <v>-676000</v>
      </c>
      <c r="F1249" t="s">
        <v>1452</v>
      </c>
    </row>
    <row r="1250" spans="1:6" x14ac:dyDescent="0.35">
      <c r="A1250">
        <v>20260701</v>
      </c>
      <c r="B1250" t="s">
        <v>1257</v>
      </c>
      <c r="C1250">
        <v>5100</v>
      </c>
      <c r="D1250" t="s">
        <v>485</v>
      </c>
      <c r="E1250">
        <v>93600</v>
      </c>
      <c r="F1250" t="s">
        <v>1452</v>
      </c>
    </row>
    <row r="1251" spans="1:6" x14ac:dyDescent="0.35">
      <c r="A1251">
        <v>20260701</v>
      </c>
      <c r="B1251" t="s">
        <v>1257</v>
      </c>
      <c r="C1251">
        <v>3400</v>
      </c>
      <c r="D1251" t="s">
        <v>485</v>
      </c>
      <c r="E1251">
        <v>-93600</v>
      </c>
      <c r="F1251" t="s">
        <v>1452</v>
      </c>
    </row>
    <row r="1252" spans="1:6" x14ac:dyDescent="0.35">
      <c r="A1252">
        <v>20260701</v>
      </c>
      <c r="B1252" t="s">
        <v>1164</v>
      </c>
      <c r="C1252">
        <v>5000</v>
      </c>
      <c r="D1252" t="s">
        <v>1131</v>
      </c>
      <c r="E1252">
        <v>478400</v>
      </c>
      <c r="F1252" t="s">
        <v>1452</v>
      </c>
    </row>
    <row r="1253" spans="1:6" x14ac:dyDescent="0.35">
      <c r="A1253">
        <v>20260701</v>
      </c>
      <c r="B1253" t="s">
        <v>1164</v>
      </c>
      <c r="C1253">
        <v>5400</v>
      </c>
      <c r="D1253" t="s">
        <v>1131</v>
      </c>
      <c r="E1253">
        <v>67454.399999999994</v>
      </c>
      <c r="F1253" t="s">
        <v>1452</v>
      </c>
    </row>
    <row r="1254" spans="1:6" x14ac:dyDescent="0.35">
      <c r="A1254">
        <v>20260701</v>
      </c>
      <c r="B1254" t="s">
        <v>1164</v>
      </c>
      <c r="C1254">
        <v>6300</v>
      </c>
      <c r="D1254" t="s">
        <v>1131</v>
      </c>
      <c r="E1254">
        <v>88400</v>
      </c>
      <c r="F1254" t="s">
        <v>1452</v>
      </c>
    </row>
    <row r="1255" spans="1:6" x14ac:dyDescent="0.35">
      <c r="A1255">
        <v>20260701</v>
      </c>
      <c r="B1255" t="s">
        <v>1164</v>
      </c>
      <c r="C1255">
        <v>3900</v>
      </c>
      <c r="D1255" t="s">
        <v>1131</v>
      </c>
      <c r="E1255">
        <v>-676000</v>
      </c>
      <c r="F1255" t="s">
        <v>1452</v>
      </c>
    </row>
    <row r="1256" spans="1:6" x14ac:dyDescent="0.35">
      <c r="A1256">
        <v>20260701</v>
      </c>
      <c r="B1256" t="s">
        <v>1249</v>
      </c>
      <c r="C1256">
        <v>5100</v>
      </c>
      <c r="D1256" t="s">
        <v>485</v>
      </c>
      <c r="E1256">
        <v>93600</v>
      </c>
      <c r="F1256" t="s">
        <v>1452</v>
      </c>
    </row>
    <row r="1257" spans="1:6" x14ac:dyDescent="0.35">
      <c r="A1257">
        <v>20260701</v>
      </c>
      <c r="B1257" t="s">
        <v>1249</v>
      </c>
      <c r="C1257">
        <v>3400</v>
      </c>
      <c r="D1257" t="s">
        <v>485</v>
      </c>
      <c r="E1257">
        <v>-93600</v>
      </c>
      <c r="F1257" t="s">
        <v>1452</v>
      </c>
    </row>
    <row r="1258" spans="1:6" x14ac:dyDescent="0.35">
      <c r="A1258">
        <v>20260701</v>
      </c>
      <c r="B1258" t="s">
        <v>1169</v>
      </c>
      <c r="C1258">
        <v>5000</v>
      </c>
      <c r="D1258" t="s">
        <v>1131</v>
      </c>
      <c r="E1258">
        <v>478400</v>
      </c>
      <c r="F1258" t="s">
        <v>1452</v>
      </c>
    </row>
    <row r="1259" spans="1:6" x14ac:dyDescent="0.35">
      <c r="A1259">
        <v>20260701</v>
      </c>
      <c r="B1259" t="s">
        <v>1169</v>
      </c>
      <c r="C1259">
        <v>5400</v>
      </c>
      <c r="D1259" t="s">
        <v>1131</v>
      </c>
      <c r="E1259">
        <v>67454.399999999994</v>
      </c>
      <c r="F1259" t="s">
        <v>1452</v>
      </c>
    </row>
    <row r="1260" spans="1:6" x14ac:dyDescent="0.35">
      <c r="A1260">
        <v>20260701</v>
      </c>
      <c r="B1260" t="s">
        <v>1169</v>
      </c>
      <c r="C1260">
        <v>6300</v>
      </c>
      <c r="D1260" t="s">
        <v>1131</v>
      </c>
      <c r="E1260">
        <v>88400</v>
      </c>
      <c r="F1260" t="s">
        <v>1452</v>
      </c>
    </row>
    <row r="1261" spans="1:6" x14ac:dyDescent="0.35">
      <c r="A1261">
        <v>20260701</v>
      </c>
      <c r="B1261" t="s">
        <v>1169</v>
      </c>
      <c r="C1261">
        <v>3900</v>
      </c>
      <c r="D1261" t="s">
        <v>1131</v>
      </c>
      <c r="E1261">
        <v>-676000</v>
      </c>
      <c r="F1261" t="s">
        <v>1452</v>
      </c>
    </row>
    <row r="1262" spans="1:6" x14ac:dyDescent="0.35">
      <c r="A1262">
        <v>20260701</v>
      </c>
      <c r="B1262" t="s">
        <v>1260</v>
      </c>
      <c r="C1262">
        <v>5100</v>
      </c>
      <c r="D1262" t="s">
        <v>485</v>
      </c>
      <c r="E1262">
        <v>93600</v>
      </c>
      <c r="F1262" t="s">
        <v>1452</v>
      </c>
    </row>
    <row r="1263" spans="1:6" x14ac:dyDescent="0.35">
      <c r="A1263">
        <v>20260701</v>
      </c>
      <c r="B1263" t="s">
        <v>1260</v>
      </c>
      <c r="C1263">
        <v>3400</v>
      </c>
      <c r="D1263" t="s">
        <v>485</v>
      </c>
      <c r="E1263">
        <v>-93600</v>
      </c>
      <c r="F1263" t="s">
        <v>1452</v>
      </c>
    </row>
    <row r="1264" spans="1:6" x14ac:dyDescent="0.35">
      <c r="A1264">
        <v>20260701</v>
      </c>
      <c r="B1264" t="s">
        <v>1175</v>
      </c>
      <c r="C1264">
        <v>5000</v>
      </c>
      <c r="D1264" t="s">
        <v>1131</v>
      </c>
      <c r="E1264">
        <v>478400</v>
      </c>
      <c r="F1264" t="s">
        <v>1452</v>
      </c>
    </row>
    <row r="1265" spans="1:6" x14ac:dyDescent="0.35">
      <c r="A1265">
        <v>20260701</v>
      </c>
      <c r="B1265" t="s">
        <v>1175</v>
      </c>
      <c r="C1265">
        <v>5400</v>
      </c>
      <c r="D1265" t="s">
        <v>1131</v>
      </c>
      <c r="E1265">
        <v>67454.399999999994</v>
      </c>
      <c r="F1265" t="s">
        <v>1452</v>
      </c>
    </row>
    <row r="1266" spans="1:6" x14ac:dyDescent="0.35">
      <c r="A1266">
        <v>20260701</v>
      </c>
      <c r="B1266" t="s">
        <v>1175</v>
      </c>
      <c r="C1266">
        <v>6300</v>
      </c>
      <c r="D1266" t="s">
        <v>1131</v>
      </c>
      <c r="E1266">
        <v>88400</v>
      </c>
      <c r="F1266" t="s">
        <v>1452</v>
      </c>
    </row>
    <row r="1267" spans="1:6" x14ac:dyDescent="0.35">
      <c r="A1267">
        <v>20260701</v>
      </c>
      <c r="B1267" t="s">
        <v>1175</v>
      </c>
      <c r="C1267">
        <v>3900</v>
      </c>
      <c r="D1267" t="s">
        <v>1131</v>
      </c>
      <c r="E1267">
        <v>-676000</v>
      </c>
      <c r="F1267" t="s">
        <v>1452</v>
      </c>
    </row>
    <row r="1268" spans="1:6" x14ac:dyDescent="0.35">
      <c r="A1268">
        <v>20260701</v>
      </c>
      <c r="B1268" t="s">
        <v>1247</v>
      </c>
      <c r="C1268">
        <v>5100</v>
      </c>
      <c r="D1268" t="s">
        <v>485</v>
      </c>
      <c r="E1268">
        <v>93600</v>
      </c>
      <c r="F1268" t="s">
        <v>1452</v>
      </c>
    </row>
    <row r="1269" spans="1:6" x14ac:dyDescent="0.35">
      <c r="A1269">
        <v>20260701</v>
      </c>
      <c r="B1269" t="s">
        <v>1247</v>
      </c>
      <c r="C1269">
        <v>3400</v>
      </c>
      <c r="D1269" t="s">
        <v>485</v>
      </c>
      <c r="E1269">
        <v>-93600</v>
      </c>
      <c r="F1269" t="s">
        <v>1452</v>
      </c>
    </row>
    <row r="1270" spans="1:6" x14ac:dyDescent="0.35">
      <c r="A1270">
        <v>20260701</v>
      </c>
      <c r="B1270" t="s">
        <v>1130</v>
      </c>
      <c r="C1270">
        <v>5000</v>
      </c>
      <c r="D1270" t="s">
        <v>1131</v>
      </c>
      <c r="E1270">
        <v>478400</v>
      </c>
      <c r="F1270" t="s">
        <v>1452</v>
      </c>
    </row>
    <row r="1271" spans="1:6" x14ac:dyDescent="0.35">
      <c r="A1271">
        <v>20260701</v>
      </c>
      <c r="B1271" t="s">
        <v>1130</v>
      </c>
      <c r="C1271">
        <v>5400</v>
      </c>
      <c r="D1271" t="s">
        <v>1131</v>
      </c>
      <c r="E1271">
        <v>67454.399999999994</v>
      </c>
      <c r="F1271" t="s">
        <v>1452</v>
      </c>
    </row>
    <row r="1272" spans="1:6" x14ac:dyDescent="0.35">
      <c r="A1272">
        <v>20260701</v>
      </c>
      <c r="B1272" t="s">
        <v>1130</v>
      </c>
      <c r="C1272">
        <v>6300</v>
      </c>
      <c r="D1272" t="s">
        <v>1131</v>
      </c>
      <c r="E1272">
        <v>88400</v>
      </c>
      <c r="F1272" t="s">
        <v>1452</v>
      </c>
    </row>
    <row r="1273" spans="1:6" x14ac:dyDescent="0.35">
      <c r="A1273">
        <v>20260701</v>
      </c>
      <c r="B1273" t="s">
        <v>1130</v>
      </c>
      <c r="C1273">
        <v>3900</v>
      </c>
      <c r="D1273" t="s">
        <v>1131</v>
      </c>
      <c r="E1273">
        <v>-676000</v>
      </c>
      <c r="F1273" t="s">
        <v>1452</v>
      </c>
    </row>
    <row r="1274" spans="1:6" x14ac:dyDescent="0.35">
      <c r="A1274">
        <v>20260701</v>
      </c>
      <c r="B1274" t="s">
        <v>1265</v>
      </c>
      <c r="C1274">
        <v>5100</v>
      </c>
      <c r="D1274" t="s">
        <v>485</v>
      </c>
      <c r="E1274">
        <v>93600</v>
      </c>
      <c r="F1274" t="s">
        <v>1452</v>
      </c>
    </row>
    <row r="1275" spans="1:6" x14ac:dyDescent="0.35">
      <c r="A1275">
        <v>20260701</v>
      </c>
      <c r="B1275" t="s">
        <v>1265</v>
      </c>
      <c r="C1275">
        <v>3400</v>
      </c>
      <c r="D1275" t="s">
        <v>485</v>
      </c>
      <c r="E1275">
        <v>-93600</v>
      </c>
      <c r="F1275" t="s">
        <v>1452</v>
      </c>
    </row>
    <row r="1276" spans="1:6" x14ac:dyDescent="0.35">
      <c r="A1276">
        <v>20260701</v>
      </c>
      <c r="B1276" t="s">
        <v>1173</v>
      </c>
      <c r="C1276">
        <v>5000</v>
      </c>
      <c r="D1276" t="s">
        <v>1131</v>
      </c>
      <c r="E1276">
        <v>478400</v>
      </c>
      <c r="F1276" t="s">
        <v>1452</v>
      </c>
    </row>
    <row r="1277" spans="1:6" x14ac:dyDescent="0.35">
      <c r="A1277">
        <v>20260701</v>
      </c>
      <c r="B1277" t="s">
        <v>1173</v>
      </c>
      <c r="C1277">
        <v>5400</v>
      </c>
      <c r="D1277" t="s">
        <v>1131</v>
      </c>
      <c r="E1277">
        <v>67454.399999999994</v>
      </c>
      <c r="F1277" t="s">
        <v>1452</v>
      </c>
    </row>
    <row r="1278" spans="1:6" x14ac:dyDescent="0.35">
      <c r="A1278">
        <v>20260701</v>
      </c>
      <c r="B1278" t="s">
        <v>1173</v>
      </c>
      <c r="C1278">
        <v>6300</v>
      </c>
      <c r="D1278" t="s">
        <v>1131</v>
      </c>
      <c r="E1278">
        <v>88400</v>
      </c>
      <c r="F1278" t="s">
        <v>1452</v>
      </c>
    </row>
    <row r="1279" spans="1:6" x14ac:dyDescent="0.35">
      <c r="A1279">
        <v>20260701</v>
      </c>
      <c r="B1279" t="s">
        <v>1173</v>
      </c>
      <c r="C1279">
        <v>3900</v>
      </c>
      <c r="D1279" t="s">
        <v>1131</v>
      </c>
      <c r="E1279">
        <v>-676000</v>
      </c>
      <c r="F1279" t="s">
        <v>1452</v>
      </c>
    </row>
    <row r="1280" spans="1:6" x14ac:dyDescent="0.35">
      <c r="A1280">
        <v>20260701</v>
      </c>
      <c r="B1280" t="s">
        <v>1255</v>
      </c>
      <c r="C1280">
        <v>5100</v>
      </c>
      <c r="D1280" t="s">
        <v>485</v>
      </c>
      <c r="E1280">
        <v>93600</v>
      </c>
      <c r="F1280" t="s">
        <v>1452</v>
      </c>
    </row>
    <row r="1281" spans="1:6" x14ac:dyDescent="0.35">
      <c r="A1281">
        <v>20260701</v>
      </c>
      <c r="B1281" t="s">
        <v>1255</v>
      </c>
      <c r="C1281">
        <v>3400</v>
      </c>
      <c r="D1281" t="s">
        <v>485</v>
      </c>
      <c r="E1281">
        <v>-93600</v>
      </c>
      <c r="F1281" t="s">
        <v>1452</v>
      </c>
    </row>
    <row r="1282" spans="1:6" x14ac:dyDescent="0.35">
      <c r="A1282">
        <v>20260701</v>
      </c>
      <c r="B1282" t="s">
        <v>1155</v>
      </c>
      <c r="C1282">
        <v>5000</v>
      </c>
      <c r="D1282" t="s">
        <v>1131</v>
      </c>
      <c r="E1282">
        <v>478400</v>
      </c>
      <c r="F1282" t="s">
        <v>1452</v>
      </c>
    </row>
    <row r="1283" spans="1:6" x14ac:dyDescent="0.35">
      <c r="A1283">
        <v>20260701</v>
      </c>
      <c r="B1283" t="s">
        <v>1155</v>
      </c>
      <c r="C1283">
        <v>5400</v>
      </c>
      <c r="D1283" t="s">
        <v>1131</v>
      </c>
      <c r="E1283">
        <v>67454.399999999994</v>
      </c>
      <c r="F1283" t="s">
        <v>1452</v>
      </c>
    </row>
    <row r="1284" spans="1:6" x14ac:dyDescent="0.35">
      <c r="A1284">
        <v>20260701</v>
      </c>
      <c r="B1284" t="s">
        <v>1155</v>
      </c>
      <c r="C1284">
        <v>6300</v>
      </c>
      <c r="D1284" t="s">
        <v>1131</v>
      </c>
      <c r="E1284">
        <v>88400</v>
      </c>
      <c r="F1284" t="s">
        <v>1452</v>
      </c>
    </row>
    <row r="1285" spans="1:6" x14ac:dyDescent="0.35">
      <c r="A1285">
        <v>20260701</v>
      </c>
      <c r="B1285" t="s">
        <v>1155</v>
      </c>
      <c r="C1285">
        <v>3900</v>
      </c>
      <c r="D1285" t="s">
        <v>1131</v>
      </c>
      <c r="E1285">
        <v>-676000</v>
      </c>
      <c r="F1285" t="s">
        <v>1452</v>
      </c>
    </row>
    <row r="1286" spans="1:6" x14ac:dyDescent="0.35">
      <c r="A1286">
        <v>20260701</v>
      </c>
      <c r="B1286" t="s">
        <v>1138</v>
      </c>
      <c r="C1286">
        <v>5000</v>
      </c>
      <c r="D1286" t="s">
        <v>1131</v>
      </c>
      <c r="E1286">
        <v>478400</v>
      </c>
      <c r="F1286" t="s">
        <v>1452</v>
      </c>
    </row>
    <row r="1287" spans="1:6" x14ac:dyDescent="0.35">
      <c r="A1287">
        <v>20260701</v>
      </c>
      <c r="B1287" t="s">
        <v>1138</v>
      </c>
      <c r="C1287">
        <v>5400</v>
      </c>
      <c r="D1287" t="s">
        <v>1131</v>
      </c>
      <c r="E1287">
        <v>67454.399999999994</v>
      </c>
      <c r="F1287" t="s">
        <v>1452</v>
      </c>
    </row>
    <row r="1288" spans="1:6" x14ac:dyDescent="0.35">
      <c r="A1288">
        <v>20260701</v>
      </c>
      <c r="B1288" t="s">
        <v>1138</v>
      </c>
      <c r="C1288">
        <v>6300</v>
      </c>
      <c r="D1288" t="s">
        <v>1131</v>
      </c>
      <c r="E1288">
        <v>88400</v>
      </c>
      <c r="F1288" t="s">
        <v>1452</v>
      </c>
    </row>
    <row r="1289" spans="1:6" x14ac:dyDescent="0.35">
      <c r="A1289">
        <v>20260701</v>
      </c>
      <c r="B1289" t="s">
        <v>1138</v>
      </c>
      <c r="C1289">
        <v>3900</v>
      </c>
      <c r="D1289" t="s">
        <v>1131</v>
      </c>
      <c r="E1289">
        <v>-676000</v>
      </c>
      <c r="F1289" t="s">
        <v>1452</v>
      </c>
    </row>
    <row r="1290" spans="1:6" x14ac:dyDescent="0.35">
      <c r="A1290">
        <v>20260801</v>
      </c>
      <c r="B1290" t="s">
        <v>1150</v>
      </c>
      <c r="C1290">
        <v>5000</v>
      </c>
      <c r="D1290" t="s">
        <v>1131</v>
      </c>
      <c r="E1290">
        <v>478400</v>
      </c>
      <c r="F1290" t="s">
        <v>1452</v>
      </c>
    </row>
    <row r="1291" spans="1:6" x14ac:dyDescent="0.35">
      <c r="A1291">
        <v>20260801</v>
      </c>
      <c r="B1291" t="s">
        <v>1150</v>
      </c>
      <c r="C1291">
        <v>5400</v>
      </c>
      <c r="D1291" t="s">
        <v>1131</v>
      </c>
      <c r="E1291">
        <v>67454.399999999994</v>
      </c>
      <c r="F1291" t="s">
        <v>1452</v>
      </c>
    </row>
    <row r="1292" spans="1:6" x14ac:dyDescent="0.35">
      <c r="A1292">
        <v>20260801</v>
      </c>
      <c r="B1292" t="s">
        <v>1150</v>
      </c>
      <c r="C1292">
        <v>6300</v>
      </c>
      <c r="D1292" t="s">
        <v>1131</v>
      </c>
      <c r="E1292">
        <v>88400</v>
      </c>
      <c r="F1292" t="s">
        <v>1452</v>
      </c>
    </row>
    <row r="1293" spans="1:6" x14ac:dyDescent="0.35">
      <c r="A1293">
        <v>20260801</v>
      </c>
      <c r="B1293" t="s">
        <v>1150</v>
      </c>
      <c r="C1293">
        <v>3900</v>
      </c>
      <c r="D1293" t="s">
        <v>1131</v>
      </c>
      <c r="E1293">
        <v>-676000</v>
      </c>
      <c r="F1293" t="s">
        <v>1452</v>
      </c>
    </row>
    <row r="1294" spans="1:6" x14ac:dyDescent="0.35">
      <c r="A1294">
        <v>20260801</v>
      </c>
      <c r="B1294" t="s">
        <v>1272</v>
      </c>
      <c r="C1294">
        <v>5100</v>
      </c>
      <c r="D1294" t="s">
        <v>485</v>
      </c>
      <c r="E1294">
        <v>93600</v>
      </c>
      <c r="F1294" t="s">
        <v>1452</v>
      </c>
    </row>
    <row r="1295" spans="1:6" x14ac:dyDescent="0.35">
      <c r="A1295">
        <v>20260801</v>
      </c>
      <c r="B1295" t="s">
        <v>1272</v>
      </c>
      <c r="C1295">
        <v>3400</v>
      </c>
      <c r="D1295" t="s">
        <v>485</v>
      </c>
      <c r="E1295">
        <v>-93600</v>
      </c>
      <c r="F1295" t="s">
        <v>1452</v>
      </c>
    </row>
    <row r="1296" spans="1:6" x14ac:dyDescent="0.35">
      <c r="A1296">
        <v>20260801</v>
      </c>
      <c r="B1296" t="s">
        <v>1158</v>
      </c>
      <c r="C1296">
        <v>5000</v>
      </c>
      <c r="D1296" t="s">
        <v>1131</v>
      </c>
      <c r="E1296">
        <v>478400</v>
      </c>
      <c r="F1296" t="s">
        <v>1452</v>
      </c>
    </row>
    <row r="1297" spans="1:6" x14ac:dyDescent="0.35">
      <c r="A1297">
        <v>20260801</v>
      </c>
      <c r="B1297" t="s">
        <v>1158</v>
      </c>
      <c r="C1297">
        <v>5400</v>
      </c>
      <c r="D1297" t="s">
        <v>1131</v>
      </c>
      <c r="E1297">
        <v>67454.399999999994</v>
      </c>
      <c r="F1297" t="s">
        <v>1452</v>
      </c>
    </row>
    <row r="1298" spans="1:6" x14ac:dyDescent="0.35">
      <c r="A1298">
        <v>20260801</v>
      </c>
      <c r="B1298" t="s">
        <v>1158</v>
      </c>
      <c r="C1298">
        <v>6300</v>
      </c>
      <c r="D1298" t="s">
        <v>1131</v>
      </c>
      <c r="E1298">
        <v>88400</v>
      </c>
      <c r="F1298" t="s">
        <v>1452</v>
      </c>
    </row>
    <row r="1299" spans="1:6" x14ac:dyDescent="0.35">
      <c r="A1299">
        <v>20260801</v>
      </c>
      <c r="B1299" t="s">
        <v>1158</v>
      </c>
      <c r="C1299">
        <v>3900</v>
      </c>
      <c r="D1299" t="s">
        <v>1131</v>
      </c>
      <c r="E1299">
        <v>-676000</v>
      </c>
      <c r="F1299" t="s">
        <v>1452</v>
      </c>
    </row>
    <row r="1300" spans="1:6" x14ac:dyDescent="0.35">
      <c r="A1300">
        <v>20260801</v>
      </c>
      <c r="B1300" t="s">
        <v>1243</v>
      </c>
      <c r="C1300">
        <v>5100</v>
      </c>
      <c r="D1300" t="s">
        <v>485</v>
      </c>
      <c r="E1300">
        <v>93600</v>
      </c>
      <c r="F1300" t="s">
        <v>1452</v>
      </c>
    </row>
    <row r="1301" spans="1:6" x14ac:dyDescent="0.35">
      <c r="A1301">
        <v>20260801</v>
      </c>
      <c r="B1301" t="s">
        <v>1243</v>
      </c>
      <c r="C1301">
        <v>3400</v>
      </c>
      <c r="D1301" t="s">
        <v>485</v>
      </c>
      <c r="E1301">
        <v>-93600</v>
      </c>
      <c r="F1301" t="s">
        <v>1452</v>
      </c>
    </row>
    <row r="1302" spans="1:6" x14ac:dyDescent="0.35">
      <c r="A1302">
        <v>20260801</v>
      </c>
      <c r="B1302" t="s">
        <v>1205</v>
      </c>
      <c r="C1302">
        <v>5000</v>
      </c>
      <c r="D1302" t="s">
        <v>1131</v>
      </c>
      <c r="E1302">
        <v>478400</v>
      </c>
      <c r="F1302" t="s">
        <v>1452</v>
      </c>
    </row>
    <row r="1303" spans="1:6" x14ac:dyDescent="0.35">
      <c r="A1303">
        <v>20260801</v>
      </c>
      <c r="B1303" t="s">
        <v>1205</v>
      </c>
      <c r="C1303">
        <v>5400</v>
      </c>
      <c r="D1303" t="s">
        <v>1131</v>
      </c>
      <c r="E1303">
        <v>67454.399999999994</v>
      </c>
      <c r="F1303" t="s">
        <v>1452</v>
      </c>
    </row>
    <row r="1304" spans="1:6" x14ac:dyDescent="0.35">
      <c r="A1304">
        <v>20260801</v>
      </c>
      <c r="B1304" t="s">
        <v>1205</v>
      </c>
      <c r="C1304">
        <v>6300</v>
      </c>
      <c r="D1304" t="s">
        <v>1131</v>
      </c>
      <c r="E1304">
        <v>88400</v>
      </c>
      <c r="F1304" t="s">
        <v>1452</v>
      </c>
    </row>
    <row r="1305" spans="1:6" x14ac:dyDescent="0.35">
      <c r="A1305">
        <v>20260801</v>
      </c>
      <c r="B1305" t="s">
        <v>1205</v>
      </c>
      <c r="C1305">
        <v>3900</v>
      </c>
      <c r="D1305" t="s">
        <v>1131</v>
      </c>
      <c r="E1305">
        <v>-676000</v>
      </c>
      <c r="F1305" t="s">
        <v>1452</v>
      </c>
    </row>
    <row r="1306" spans="1:6" x14ac:dyDescent="0.35">
      <c r="A1306">
        <v>20260801</v>
      </c>
      <c r="B1306" t="s">
        <v>1257</v>
      </c>
      <c r="C1306">
        <v>5100</v>
      </c>
      <c r="D1306" t="s">
        <v>485</v>
      </c>
      <c r="E1306">
        <v>93600</v>
      </c>
      <c r="F1306" t="s">
        <v>1452</v>
      </c>
    </row>
    <row r="1307" spans="1:6" x14ac:dyDescent="0.35">
      <c r="A1307">
        <v>20260801</v>
      </c>
      <c r="B1307" t="s">
        <v>1257</v>
      </c>
      <c r="C1307">
        <v>3400</v>
      </c>
      <c r="D1307" t="s">
        <v>485</v>
      </c>
      <c r="E1307">
        <v>-93600</v>
      </c>
      <c r="F1307" t="s">
        <v>1452</v>
      </c>
    </row>
    <row r="1308" spans="1:6" x14ac:dyDescent="0.35">
      <c r="A1308">
        <v>20260801</v>
      </c>
      <c r="B1308" t="s">
        <v>1164</v>
      </c>
      <c r="C1308">
        <v>5000</v>
      </c>
      <c r="D1308" t="s">
        <v>1131</v>
      </c>
      <c r="E1308">
        <v>478400</v>
      </c>
      <c r="F1308" t="s">
        <v>1452</v>
      </c>
    </row>
    <row r="1309" spans="1:6" x14ac:dyDescent="0.35">
      <c r="A1309">
        <v>20260801</v>
      </c>
      <c r="B1309" t="s">
        <v>1164</v>
      </c>
      <c r="C1309">
        <v>5400</v>
      </c>
      <c r="D1309" t="s">
        <v>1131</v>
      </c>
      <c r="E1309">
        <v>67454.399999999994</v>
      </c>
      <c r="F1309" t="s">
        <v>1452</v>
      </c>
    </row>
    <row r="1310" spans="1:6" x14ac:dyDescent="0.35">
      <c r="A1310">
        <v>20260801</v>
      </c>
      <c r="B1310" t="s">
        <v>1164</v>
      </c>
      <c r="C1310">
        <v>6300</v>
      </c>
      <c r="D1310" t="s">
        <v>1131</v>
      </c>
      <c r="E1310">
        <v>88400</v>
      </c>
      <c r="F1310" t="s">
        <v>1452</v>
      </c>
    </row>
    <row r="1311" spans="1:6" x14ac:dyDescent="0.35">
      <c r="A1311">
        <v>20260801</v>
      </c>
      <c r="B1311" t="s">
        <v>1164</v>
      </c>
      <c r="C1311">
        <v>3900</v>
      </c>
      <c r="D1311" t="s">
        <v>1131</v>
      </c>
      <c r="E1311">
        <v>-676000</v>
      </c>
      <c r="F1311" t="s">
        <v>1452</v>
      </c>
    </row>
    <row r="1312" spans="1:6" x14ac:dyDescent="0.35">
      <c r="A1312">
        <v>20260801</v>
      </c>
      <c r="B1312" t="s">
        <v>1249</v>
      </c>
      <c r="C1312">
        <v>5100</v>
      </c>
      <c r="D1312" t="s">
        <v>485</v>
      </c>
      <c r="E1312">
        <v>93600</v>
      </c>
      <c r="F1312" t="s">
        <v>1452</v>
      </c>
    </row>
    <row r="1313" spans="1:6" x14ac:dyDescent="0.35">
      <c r="A1313">
        <v>20260801</v>
      </c>
      <c r="B1313" t="s">
        <v>1249</v>
      </c>
      <c r="C1313">
        <v>3400</v>
      </c>
      <c r="D1313" t="s">
        <v>485</v>
      </c>
      <c r="E1313">
        <v>-93600</v>
      </c>
      <c r="F1313" t="s">
        <v>1452</v>
      </c>
    </row>
    <row r="1314" spans="1:6" x14ac:dyDescent="0.35">
      <c r="A1314">
        <v>20260801</v>
      </c>
      <c r="B1314" t="s">
        <v>1169</v>
      </c>
      <c r="C1314">
        <v>5000</v>
      </c>
      <c r="D1314" t="s">
        <v>1131</v>
      </c>
      <c r="E1314">
        <v>478400</v>
      </c>
      <c r="F1314" t="s">
        <v>1452</v>
      </c>
    </row>
    <row r="1315" spans="1:6" x14ac:dyDescent="0.35">
      <c r="A1315">
        <v>20260801</v>
      </c>
      <c r="B1315" t="s">
        <v>1169</v>
      </c>
      <c r="C1315">
        <v>5400</v>
      </c>
      <c r="D1315" t="s">
        <v>1131</v>
      </c>
      <c r="E1315">
        <v>67454.399999999994</v>
      </c>
      <c r="F1315" t="s">
        <v>1452</v>
      </c>
    </row>
    <row r="1316" spans="1:6" x14ac:dyDescent="0.35">
      <c r="A1316">
        <v>20260801</v>
      </c>
      <c r="B1316" t="s">
        <v>1169</v>
      </c>
      <c r="C1316">
        <v>6300</v>
      </c>
      <c r="D1316" t="s">
        <v>1131</v>
      </c>
      <c r="E1316">
        <v>88400</v>
      </c>
      <c r="F1316" t="s">
        <v>1452</v>
      </c>
    </row>
    <row r="1317" spans="1:6" x14ac:dyDescent="0.35">
      <c r="A1317">
        <v>20260801</v>
      </c>
      <c r="B1317" t="s">
        <v>1169</v>
      </c>
      <c r="C1317">
        <v>3900</v>
      </c>
      <c r="D1317" t="s">
        <v>1131</v>
      </c>
      <c r="E1317">
        <v>-676000</v>
      </c>
      <c r="F1317" t="s">
        <v>1452</v>
      </c>
    </row>
    <row r="1318" spans="1:6" x14ac:dyDescent="0.35">
      <c r="A1318">
        <v>20260801</v>
      </c>
      <c r="B1318" t="s">
        <v>1260</v>
      </c>
      <c r="C1318">
        <v>5100</v>
      </c>
      <c r="D1318" t="s">
        <v>485</v>
      </c>
      <c r="E1318">
        <v>93600</v>
      </c>
      <c r="F1318" t="s">
        <v>1452</v>
      </c>
    </row>
    <row r="1319" spans="1:6" x14ac:dyDescent="0.35">
      <c r="A1319">
        <v>20260801</v>
      </c>
      <c r="B1319" t="s">
        <v>1260</v>
      </c>
      <c r="C1319">
        <v>3400</v>
      </c>
      <c r="D1319" t="s">
        <v>485</v>
      </c>
      <c r="E1319">
        <v>-93600</v>
      </c>
      <c r="F1319" t="s">
        <v>1452</v>
      </c>
    </row>
    <row r="1320" spans="1:6" x14ac:dyDescent="0.35">
      <c r="A1320">
        <v>20260801</v>
      </c>
      <c r="B1320" t="s">
        <v>1175</v>
      </c>
      <c r="C1320">
        <v>5000</v>
      </c>
      <c r="D1320" t="s">
        <v>1131</v>
      </c>
      <c r="E1320">
        <v>478400</v>
      </c>
      <c r="F1320" t="s">
        <v>1452</v>
      </c>
    </row>
    <row r="1321" spans="1:6" x14ac:dyDescent="0.35">
      <c r="A1321">
        <v>20260801</v>
      </c>
      <c r="B1321" t="s">
        <v>1175</v>
      </c>
      <c r="C1321">
        <v>5400</v>
      </c>
      <c r="D1321" t="s">
        <v>1131</v>
      </c>
      <c r="E1321">
        <v>67454.399999999994</v>
      </c>
      <c r="F1321" t="s">
        <v>1452</v>
      </c>
    </row>
    <row r="1322" spans="1:6" x14ac:dyDescent="0.35">
      <c r="A1322">
        <v>20260801</v>
      </c>
      <c r="B1322" t="s">
        <v>1175</v>
      </c>
      <c r="C1322">
        <v>6300</v>
      </c>
      <c r="D1322" t="s">
        <v>1131</v>
      </c>
      <c r="E1322">
        <v>88400</v>
      </c>
      <c r="F1322" t="s">
        <v>1452</v>
      </c>
    </row>
    <row r="1323" spans="1:6" x14ac:dyDescent="0.35">
      <c r="A1323">
        <v>20260801</v>
      </c>
      <c r="B1323" t="s">
        <v>1175</v>
      </c>
      <c r="C1323">
        <v>3900</v>
      </c>
      <c r="D1323" t="s">
        <v>1131</v>
      </c>
      <c r="E1323">
        <v>-676000</v>
      </c>
      <c r="F1323" t="s">
        <v>1452</v>
      </c>
    </row>
    <row r="1324" spans="1:6" x14ac:dyDescent="0.35">
      <c r="A1324">
        <v>20260801</v>
      </c>
      <c r="B1324" t="s">
        <v>1247</v>
      </c>
      <c r="C1324">
        <v>5100</v>
      </c>
      <c r="D1324" t="s">
        <v>485</v>
      </c>
      <c r="E1324">
        <v>93600</v>
      </c>
      <c r="F1324" t="s">
        <v>1452</v>
      </c>
    </row>
    <row r="1325" spans="1:6" x14ac:dyDescent="0.35">
      <c r="A1325">
        <v>20260801</v>
      </c>
      <c r="B1325" t="s">
        <v>1247</v>
      </c>
      <c r="C1325">
        <v>3400</v>
      </c>
      <c r="D1325" t="s">
        <v>485</v>
      </c>
      <c r="E1325">
        <v>-93600</v>
      </c>
      <c r="F1325" t="s">
        <v>1452</v>
      </c>
    </row>
    <row r="1326" spans="1:6" x14ac:dyDescent="0.35">
      <c r="A1326">
        <v>20260801</v>
      </c>
      <c r="B1326" t="s">
        <v>1130</v>
      </c>
      <c r="C1326">
        <v>5000</v>
      </c>
      <c r="D1326" t="s">
        <v>1131</v>
      </c>
      <c r="E1326">
        <v>478400</v>
      </c>
      <c r="F1326" t="s">
        <v>1452</v>
      </c>
    </row>
    <row r="1327" spans="1:6" x14ac:dyDescent="0.35">
      <c r="A1327">
        <v>20260801</v>
      </c>
      <c r="B1327" t="s">
        <v>1130</v>
      </c>
      <c r="C1327">
        <v>5400</v>
      </c>
      <c r="D1327" t="s">
        <v>1131</v>
      </c>
      <c r="E1327">
        <v>67454.399999999994</v>
      </c>
      <c r="F1327" t="s">
        <v>1452</v>
      </c>
    </row>
    <row r="1328" spans="1:6" x14ac:dyDescent="0.35">
      <c r="A1328">
        <v>20260801</v>
      </c>
      <c r="B1328" t="s">
        <v>1130</v>
      </c>
      <c r="C1328">
        <v>6300</v>
      </c>
      <c r="D1328" t="s">
        <v>1131</v>
      </c>
      <c r="E1328">
        <v>88400</v>
      </c>
      <c r="F1328" t="s">
        <v>1452</v>
      </c>
    </row>
    <row r="1329" spans="1:6" x14ac:dyDescent="0.35">
      <c r="A1329">
        <v>20260801</v>
      </c>
      <c r="B1329" t="s">
        <v>1130</v>
      </c>
      <c r="C1329">
        <v>3900</v>
      </c>
      <c r="D1329" t="s">
        <v>1131</v>
      </c>
      <c r="E1329">
        <v>-676000</v>
      </c>
      <c r="F1329" t="s">
        <v>1452</v>
      </c>
    </row>
    <row r="1330" spans="1:6" x14ac:dyDescent="0.35">
      <c r="A1330">
        <v>20260801</v>
      </c>
      <c r="B1330" t="s">
        <v>1265</v>
      </c>
      <c r="C1330">
        <v>5100</v>
      </c>
      <c r="D1330" t="s">
        <v>485</v>
      </c>
      <c r="E1330">
        <v>93600</v>
      </c>
      <c r="F1330" t="s">
        <v>1452</v>
      </c>
    </row>
    <row r="1331" spans="1:6" x14ac:dyDescent="0.35">
      <c r="A1331">
        <v>20260801</v>
      </c>
      <c r="B1331" t="s">
        <v>1265</v>
      </c>
      <c r="C1331">
        <v>3400</v>
      </c>
      <c r="D1331" t="s">
        <v>485</v>
      </c>
      <c r="E1331">
        <v>-93600</v>
      </c>
      <c r="F1331" t="s">
        <v>1452</v>
      </c>
    </row>
    <row r="1332" spans="1:6" x14ac:dyDescent="0.35">
      <c r="A1332">
        <v>20260801</v>
      </c>
      <c r="B1332" t="s">
        <v>1173</v>
      </c>
      <c r="C1332">
        <v>5000</v>
      </c>
      <c r="D1332" t="s">
        <v>1131</v>
      </c>
      <c r="E1332">
        <v>478400</v>
      </c>
      <c r="F1332" t="s">
        <v>1452</v>
      </c>
    </row>
    <row r="1333" spans="1:6" x14ac:dyDescent="0.35">
      <c r="A1333">
        <v>20260801</v>
      </c>
      <c r="B1333" t="s">
        <v>1173</v>
      </c>
      <c r="C1333">
        <v>5400</v>
      </c>
      <c r="D1333" t="s">
        <v>1131</v>
      </c>
      <c r="E1333">
        <v>67454.399999999994</v>
      </c>
      <c r="F1333" t="s">
        <v>1452</v>
      </c>
    </row>
    <row r="1334" spans="1:6" x14ac:dyDescent="0.35">
      <c r="A1334">
        <v>20260801</v>
      </c>
      <c r="B1334" t="s">
        <v>1173</v>
      </c>
      <c r="C1334">
        <v>6300</v>
      </c>
      <c r="D1334" t="s">
        <v>1131</v>
      </c>
      <c r="E1334">
        <v>88400</v>
      </c>
      <c r="F1334" t="s">
        <v>1452</v>
      </c>
    </row>
    <row r="1335" spans="1:6" x14ac:dyDescent="0.35">
      <c r="A1335">
        <v>20260801</v>
      </c>
      <c r="B1335" t="s">
        <v>1173</v>
      </c>
      <c r="C1335">
        <v>3900</v>
      </c>
      <c r="D1335" t="s">
        <v>1131</v>
      </c>
      <c r="E1335">
        <v>-676000</v>
      </c>
      <c r="F1335" t="s">
        <v>1452</v>
      </c>
    </row>
    <row r="1336" spans="1:6" x14ac:dyDescent="0.35">
      <c r="A1336">
        <v>20260801</v>
      </c>
      <c r="B1336" t="s">
        <v>1255</v>
      </c>
      <c r="C1336">
        <v>5100</v>
      </c>
      <c r="D1336" t="s">
        <v>485</v>
      </c>
      <c r="E1336">
        <v>93600</v>
      </c>
      <c r="F1336" t="s">
        <v>1452</v>
      </c>
    </row>
    <row r="1337" spans="1:6" x14ac:dyDescent="0.35">
      <c r="A1337">
        <v>20260801</v>
      </c>
      <c r="B1337" t="s">
        <v>1255</v>
      </c>
      <c r="C1337">
        <v>3400</v>
      </c>
      <c r="D1337" t="s">
        <v>485</v>
      </c>
      <c r="E1337">
        <v>-93600</v>
      </c>
      <c r="F1337" t="s">
        <v>1452</v>
      </c>
    </row>
    <row r="1338" spans="1:6" x14ac:dyDescent="0.35">
      <c r="A1338">
        <v>20260801</v>
      </c>
      <c r="B1338" t="s">
        <v>1155</v>
      </c>
      <c r="C1338">
        <v>5000</v>
      </c>
      <c r="D1338" t="s">
        <v>1131</v>
      </c>
      <c r="E1338">
        <v>478400</v>
      </c>
      <c r="F1338" t="s">
        <v>1452</v>
      </c>
    </row>
    <row r="1339" spans="1:6" x14ac:dyDescent="0.35">
      <c r="A1339">
        <v>20260801</v>
      </c>
      <c r="B1339" t="s">
        <v>1155</v>
      </c>
      <c r="C1339">
        <v>5400</v>
      </c>
      <c r="D1339" t="s">
        <v>1131</v>
      </c>
      <c r="E1339">
        <v>67454.399999999994</v>
      </c>
      <c r="F1339" t="s">
        <v>1452</v>
      </c>
    </row>
    <row r="1340" spans="1:6" x14ac:dyDescent="0.35">
      <c r="A1340">
        <v>20260801</v>
      </c>
      <c r="B1340" t="s">
        <v>1155</v>
      </c>
      <c r="C1340">
        <v>6300</v>
      </c>
      <c r="D1340" t="s">
        <v>1131</v>
      </c>
      <c r="E1340">
        <v>88400</v>
      </c>
      <c r="F1340" t="s">
        <v>1452</v>
      </c>
    </row>
    <row r="1341" spans="1:6" x14ac:dyDescent="0.35">
      <c r="A1341">
        <v>20260801</v>
      </c>
      <c r="B1341" t="s">
        <v>1155</v>
      </c>
      <c r="C1341">
        <v>3900</v>
      </c>
      <c r="D1341" t="s">
        <v>1131</v>
      </c>
      <c r="E1341">
        <v>-676000</v>
      </c>
      <c r="F1341" t="s">
        <v>1452</v>
      </c>
    </row>
    <row r="1342" spans="1:6" x14ac:dyDescent="0.35">
      <c r="A1342">
        <v>20260801</v>
      </c>
      <c r="B1342" t="s">
        <v>1138</v>
      </c>
      <c r="C1342">
        <v>5000</v>
      </c>
      <c r="D1342" t="s">
        <v>1131</v>
      </c>
      <c r="E1342">
        <v>478400</v>
      </c>
      <c r="F1342" t="s">
        <v>1452</v>
      </c>
    </row>
    <row r="1343" spans="1:6" x14ac:dyDescent="0.35">
      <c r="A1343">
        <v>20260801</v>
      </c>
      <c r="B1343" t="s">
        <v>1138</v>
      </c>
      <c r="C1343">
        <v>5400</v>
      </c>
      <c r="D1343" t="s">
        <v>1131</v>
      </c>
      <c r="E1343">
        <v>67454.399999999994</v>
      </c>
      <c r="F1343" t="s">
        <v>1452</v>
      </c>
    </row>
    <row r="1344" spans="1:6" x14ac:dyDescent="0.35">
      <c r="A1344">
        <v>20260801</v>
      </c>
      <c r="B1344" t="s">
        <v>1138</v>
      </c>
      <c r="C1344">
        <v>6300</v>
      </c>
      <c r="D1344" t="s">
        <v>1131</v>
      </c>
      <c r="E1344">
        <v>88400</v>
      </c>
      <c r="F1344" t="s">
        <v>1452</v>
      </c>
    </row>
    <row r="1345" spans="1:6" x14ac:dyDescent="0.35">
      <c r="A1345">
        <v>20260801</v>
      </c>
      <c r="B1345" t="s">
        <v>1138</v>
      </c>
      <c r="C1345">
        <v>3900</v>
      </c>
      <c r="D1345" t="s">
        <v>1131</v>
      </c>
      <c r="E1345">
        <v>-676000</v>
      </c>
      <c r="F1345" t="s">
        <v>1452</v>
      </c>
    </row>
    <row r="1346" spans="1:6" x14ac:dyDescent="0.35">
      <c r="A1346">
        <v>20260101</v>
      </c>
      <c r="B1346" t="s">
        <v>1150</v>
      </c>
      <c r="C1346">
        <v>5000</v>
      </c>
      <c r="D1346" t="s">
        <v>1131</v>
      </c>
      <c r="E1346">
        <v>473800</v>
      </c>
      <c r="F1346" t="s">
        <v>1453</v>
      </c>
    </row>
    <row r="1347" spans="1:6" x14ac:dyDescent="0.35">
      <c r="A1347">
        <v>20260101</v>
      </c>
      <c r="B1347" t="s">
        <v>1150</v>
      </c>
      <c r="C1347">
        <v>5400</v>
      </c>
      <c r="D1347" t="s">
        <v>1131</v>
      </c>
      <c r="E1347">
        <v>66805.8</v>
      </c>
      <c r="F1347" t="s">
        <v>1453</v>
      </c>
    </row>
    <row r="1348" spans="1:6" x14ac:dyDescent="0.35">
      <c r="A1348">
        <v>20260101</v>
      </c>
      <c r="B1348" t="s">
        <v>1150</v>
      </c>
      <c r="C1348">
        <v>6300</v>
      </c>
      <c r="D1348" t="s">
        <v>1131</v>
      </c>
      <c r="E1348">
        <v>87550</v>
      </c>
      <c r="F1348" t="s">
        <v>1453</v>
      </c>
    </row>
    <row r="1349" spans="1:6" x14ac:dyDescent="0.35">
      <c r="A1349">
        <v>20260101</v>
      </c>
      <c r="B1349" t="s">
        <v>1150</v>
      </c>
      <c r="C1349">
        <v>3900</v>
      </c>
      <c r="D1349" t="s">
        <v>1131</v>
      </c>
      <c r="E1349">
        <v>-669500</v>
      </c>
      <c r="F1349" t="s">
        <v>1453</v>
      </c>
    </row>
    <row r="1350" spans="1:6" x14ac:dyDescent="0.35">
      <c r="A1350">
        <v>20260101</v>
      </c>
      <c r="B1350" t="s">
        <v>1272</v>
      </c>
      <c r="C1350">
        <v>5100</v>
      </c>
      <c r="D1350" t="s">
        <v>485</v>
      </c>
      <c r="E1350">
        <v>92700</v>
      </c>
      <c r="F1350" t="s">
        <v>1453</v>
      </c>
    </row>
    <row r="1351" spans="1:6" x14ac:dyDescent="0.35">
      <c r="A1351">
        <v>20260101</v>
      </c>
      <c r="B1351" t="s">
        <v>1272</v>
      </c>
      <c r="C1351">
        <v>3400</v>
      </c>
      <c r="D1351" t="s">
        <v>485</v>
      </c>
      <c r="E1351">
        <v>-92700</v>
      </c>
      <c r="F1351" t="s">
        <v>1453</v>
      </c>
    </row>
    <row r="1352" spans="1:6" x14ac:dyDescent="0.35">
      <c r="A1352">
        <v>20260101</v>
      </c>
      <c r="B1352" t="s">
        <v>1158</v>
      </c>
      <c r="C1352">
        <v>5000</v>
      </c>
      <c r="D1352" t="s">
        <v>1131</v>
      </c>
      <c r="E1352">
        <v>473800</v>
      </c>
      <c r="F1352" t="s">
        <v>1453</v>
      </c>
    </row>
    <row r="1353" spans="1:6" x14ac:dyDescent="0.35">
      <c r="A1353">
        <v>20260101</v>
      </c>
      <c r="B1353" t="s">
        <v>1158</v>
      </c>
      <c r="C1353">
        <v>5400</v>
      </c>
      <c r="D1353" t="s">
        <v>1131</v>
      </c>
      <c r="E1353">
        <v>66805.8</v>
      </c>
      <c r="F1353" t="s">
        <v>1453</v>
      </c>
    </row>
    <row r="1354" spans="1:6" x14ac:dyDescent="0.35">
      <c r="A1354">
        <v>20260101</v>
      </c>
      <c r="B1354" t="s">
        <v>1158</v>
      </c>
      <c r="C1354">
        <v>6300</v>
      </c>
      <c r="D1354" t="s">
        <v>1131</v>
      </c>
      <c r="E1354">
        <v>87550</v>
      </c>
      <c r="F1354" t="s">
        <v>1453</v>
      </c>
    </row>
    <row r="1355" spans="1:6" x14ac:dyDescent="0.35">
      <c r="A1355">
        <v>20260101</v>
      </c>
      <c r="B1355" t="s">
        <v>1158</v>
      </c>
      <c r="C1355">
        <v>3900</v>
      </c>
      <c r="D1355" t="s">
        <v>1131</v>
      </c>
      <c r="E1355">
        <v>-669500</v>
      </c>
      <c r="F1355" t="s">
        <v>1453</v>
      </c>
    </row>
    <row r="1356" spans="1:6" x14ac:dyDescent="0.35">
      <c r="A1356">
        <v>20260101</v>
      </c>
      <c r="B1356" t="s">
        <v>1243</v>
      </c>
      <c r="C1356">
        <v>5100</v>
      </c>
      <c r="D1356" t="s">
        <v>485</v>
      </c>
      <c r="E1356">
        <v>92700</v>
      </c>
      <c r="F1356" t="s">
        <v>1453</v>
      </c>
    </row>
    <row r="1357" spans="1:6" x14ac:dyDescent="0.35">
      <c r="A1357">
        <v>20260101</v>
      </c>
      <c r="B1357" t="s">
        <v>1243</v>
      </c>
      <c r="C1357">
        <v>3400</v>
      </c>
      <c r="D1357" t="s">
        <v>485</v>
      </c>
      <c r="E1357">
        <v>-92700</v>
      </c>
      <c r="F1357" t="s">
        <v>1453</v>
      </c>
    </row>
    <row r="1358" spans="1:6" x14ac:dyDescent="0.35">
      <c r="A1358">
        <v>20260101</v>
      </c>
      <c r="B1358" t="s">
        <v>1205</v>
      </c>
      <c r="C1358">
        <v>5000</v>
      </c>
      <c r="D1358" t="s">
        <v>1131</v>
      </c>
      <c r="E1358">
        <v>473800</v>
      </c>
      <c r="F1358" t="s">
        <v>1453</v>
      </c>
    </row>
    <row r="1359" spans="1:6" x14ac:dyDescent="0.35">
      <c r="A1359">
        <v>20260101</v>
      </c>
      <c r="B1359" t="s">
        <v>1205</v>
      </c>
      <c r="C1359">
        <v>5400</v>
      </c>
      <c r="D1359" t="s">
        <v>1131</v>
      </c>
      <c r="E1359">
        <v>66805.8</v>
      </c>
      <c r="F1359" t="s">
        <v>1453</v>
      </c>
    </row>
    <row r="1360" spans="1:6" x14ac:dyDescent="0.35">
      <c r="A1360">
        <v>20260101</v>
      </c>
      <c r="B1360" t="s">
        <v>1205</v>
      </c>
      <c r="C1360">
        <v>6300</v>
      </c>
      <c r="D1360" t="s">
        <v>1131</v>
      </c>
      <c r="E1360">
        <v>87550</v>
      </c>
      <c r="F1360" t="s">
        <v>1453</v>
      </c>
    </row>
    <row r="1361" spans="1:6" x14ac:dyDescent="0.35">
      <c r="A1361">
        <v>20260101</v>
      </c>
      <c r="B1361" t="s">
        <v>1205</v>
      </c>
      <c r="C1361">
        <v>3900</v>
      </c>
      <c r="D1361" t="s">
        <v>1131</v>
      </c>
      <c r="E1361">
        <v>-669500</v>
      </c>
      <c r="F1361" t="s">
        <v>1453</v>
      </c>
    </row>
    <row r="1362" spans="1:6" x14ac:dyDescent="0.35">
      <c r="A1362">
        <v>20260101</v>
      </c>
      <c r="B1362" t="s">
        <v>1257</v>
      </c>
      <c r="C1362">
        <v>5100</v>
      </c>
      <c r="D1362" t="s">
        <v>485</v>
      </c>
      <c r="E1362">
        <v>92700</v>
      </c>
      <c r="F1362" t="s">
        <v>1453</v>
      </c>
    </row>
    <row r="1363" spans="1:6" x14ac:dyDescent="0.35">
      <c r="A1363">
        <v>20260101</v>
      </c>
      <c r="B1363" t="s">
        <v>1257</v>
      </c>
      <c r="C1363">
        <v>3400</v>
      </c>
      <c r="D1363" t="s">
        <v>485</v>
      </c>
      <c r="E1363">
        <v>-92700</v>
      </c>
      <c r="F1363" t="s">
        <v>1453</v>
      </c>
    </row>
    <row r="1364" spans="1:6" x14ac:dyDescent="0.35">
      <c r="A1364">
        <v>20260101</v>
      </c>
      <c r="B1364" t="s">
        <v>1164</v>
      </c>
      <c r="C1364">
        <v>5000</v>
      </c>
      <c r="D1364" t="s">
        <v>1131</v>
      </c>
      <c r="E1364">
        <v>473800</v>
      </c>
      <c r="F1364" t="s">
        <v>1453</v>
      </c>
    </row>
    <row r="1365" spans="1:6" x14ac:dyDescent="0.35">
      <c r="A1365">
        <v>20260101</v>
      </c>
      <c r="B1365" t="s">
        <v>1164</v>
      </c>
      <c r="C1365">
        <v>5400</v>
      </c>
      <c r="D1365" t="s">
        <v>1131</v>
      </c>
      <c r="E1365">
        <v>66805.8</v>
      </c>
      <c r="F1365" t="s">
        <v>1453</v>
      </c>
    </row>
    <row r="1366" spans="1:6" x14ac:dyDescent="0.35">
      <c r="A1366">
        <v>20260101</v>
      </c>
      <c r="B1366" t="s">
        <v>1164</v>
      </c>
      <c r="C1366">
        <v>6300</v>
      </c>
      <c r="D1366" t="s">
        <v>1131</v>
      </c>
      <c r="E1366">
        <v>87550</v>
      </c>
      <c r="F1366" t="s">
        <v>1453</v>
      </c>
    </row>
    <row r="1367" spans="1:6" x14ac:dyDescent="0.35">
      <c r="A1367">
        <v>20260101</v>
      </c>
      <c r="B1367" t="s">
        <v>1164</v>
      </c>
      <c r="C1367">
        <v>3900</v>
      </c>
      <c r="D1367" t="s">
        <v>1131</v>
      </c>
      <c r="E1367">
        <v>-669500</v>
      </c>
      <c r="F1367" t="s">
        <v>1453</v>
      </c>
    </row>
    <row r="1368" spans="1:6" x14ac:dyDescent="0.35">
      <c r="A1368">
        <v>20260101</v>
      </c>
      <c r="B1368" t="s">
        <v>1249</v>
      </c>
      <c r="C1368">
        <v>5100</v>
      </c>
      <c r="D1368" t="s">
        <v>485</v>
      </c>
      <c r="E1368">
        <v>92700</v>
      </c>
      <c r="F1368" t="s">
        <v>1453</v>
      </c>
    </row>
    <row r="1369" spans="1:6" x14ac:dyDescent="0.35">
      <c r="A1369">
        <v>20260101</v>
      </c>
      <c r="B1369" t="s">
        <v>1249</v>
      </c>
      <c r="C1369">
        <v>3400</v>
      </c>
      <c r="D1369" t="s">
        <v>485</v>
      </c>
      <c r="E1369">
        <v>-92700</v>
      </c>
      <c r="F1369" t="s">
        <v>1453</v>
      </c>
    </row>
    <row r="1370" spans="1:6" x14ac:dyDescent="0.35">
      <c r="A1370">
        <v>20260101</v>
      </c>
      <c r="B1370" t="s">
        <v>1169</v>
      </c>
      <c r="C1370">
        <v>5000</v>
      </c>
      <c r="D1370" t="s">
        <v>1131</v>
      </c>
      <c r="E1370">
        <v>473800</v>
      </c>
      <c r="F1370" t="s">
        <v>1453</v>
      </c>
    </row>
    <row r="1371" spans="1:6" x14ac:dyDescent="0.35">
      <c r="A1371">
        <v>20260101</v>
      </c>
      <c r="B1371" t="s">
        <v>1169</v>
      </c>
      <c r="C1371">
        <v>5400</v>
      </c>
      <c r="D1371" t="s">
        <v>1131</v>
      </c>
      <c r="E1371">
        <v>66805.8</v>
      </c>
      <c r="F1371" t="s">
        <v>1453</v>
      </c>
    </row>
    <row r="1372" spans="1:6" x14ac:dyDescent="0.35">
      <c r="A1372">
        <v>20260101</v>
      </c>
      <c r="B1372" t="s">
        <v>1169</v>
      </c>
      <c r="C1372">
        <v>6300</v>
      </c>
      <c r="D1372" t="s">
        <v>1131</v>
      </c>
      <c r="E1372">
        <v>87550</v>
      </c>
      <c r="F1372" t="s">
        <v>1453</v>
      </c>
    </row>
    <row r="1373" spans="1:6" x14ac:dyDescent="0.35">
      <c r="A1373">
        <v>20260101</v>
      </c>
      <c r="B1373" t="s">
        <v>1169</v>
      </c>
      <c r="C1373">
        <v>3900</v>
      </c>
      <c r="D1373" t="s">
        <v>1131</v>
      </c>
      <c r="E1373">
        <v>-669500</v>
      </c>
      <c r="F1373" t="s">
        <v>1453</v>
      </c>
    </row>
    <row r="1374" spans="1:6" x14ac:dyDescent="0.35">
      <c r="A1374">
        <v>20260101</v>
      </c>
      <c r="B1374" t="s">
        <v>1260</v>
      </c>
      <c r="C1374">
        <v>5100</v>
      </c>
      <c r="D1374" t="s">
        <v>485</v>
      </c>
      <c r="E1374">
        <v>92700</v>
      </c>
      <c r="F1374" t="s">
        <v>1453</v>
      </c>
    </row>
    <row r="1375" spans="1:6" x14ac:dyDescent="0.35">
      <c r="A1375">
        <v>20260101</v>
      </c>
      <c r="B1375" t="s">
        <v>1260</v>
      </c>
      <c r="C1375">
        <v>3400</v>
      </c>
      <c r="D1375" t="s">
        <v>485</v>
      </c>
      <c r="E1375">
        <v>-92700</v>
      </c>
      <c r="F1375" t="s">
        <v>1453</v>
      </c>
    </row>
    <row r="1376" spans="1:6" x14ac:dyDescent="0.35">
      <c r="A1376">
        <v>20260101</v>
      </c>
      <c r="B1376" t="s">
        <v>1175</v>
      </c>
      <c r="C1376">
        <v>5000</v>
      </c>
      <c r="D1376" t="s">
        <v>1131</v>
      </c>
      <c r="E1376">
        <v>473800</v>
      </c>
      <c r="F1376" t="s">
        <v>1453</v>
      </c>
    </row>
    <row r="1377" spans="1:6" x14ac:dyDescent="0.35">
      <c r="A1377">
        <v>20260101</v>
      </c>
      <c r="B1377" t="s">
        <v>1175</v>
      </c>
      <c r="C1377">
        <v>5400</v>
      </c>
      <c r="D1377" t="s">
        <v>1131</v>
      </c>
      <c r="E1377">
        <v>66805.8</v>
      </c>
      <c r="F1377" t="s">
        <v>1453</v>
      </c>
    </row>
    <row r="1378" spans="1:6" x14ac:dyDescent="0.35">
      <c r="A1378">
        <v>20260101</v>
      </c>
      <c r="B1378" t="s">
        <v>1175</v>
      </c>
      <c r="C1378">
        <v>6300</v>
      </c>
      <c r="D1378" t="s">
        <v>1131</v>
      </c>
      <c r="E1378">
        <v>87550</v>
      </c>
      <c r="F1378" t="s">
        <v>1453</v>
      </c>
    </row>
    <row r="1379" spans="1:6" x14ac:dyDescent="0.35">
      <c r="A1379">
        <v>20260101</v>
      </c>
      <c r="B1379" t="s">
        <v>1175</v>
      </c>
      <c r="C1379">
        <v>3900</v>
      </c>
      <c r="D1379" t="s">
        <v>1131</v>
      </c>
      <c r="E1379">
        <v>-669500</v>
      </c>
      <c r="F1379" t="s">
        <v>1453</v>
      </c>
    </row>
    <row r="1380" spans="1:6" x14ac:dyDescent="0.35">
      <c r="A1380">
        <v>20260101</v>
      </c>
      <c r="B1380" t="s">
        <v>1247</v>
      </c>
      <c r="C1380">
        <v>5100</v>
      </c>
      <c r="D1380" t="s">
        <v>485</v>
      </c>
      <c r="E1380">
        <v>92700</v>
      </c>
      <c r="F1380" t="s">
        <v>1453</v>
      </c>
    </row>
    <row r="1381" spans="1:6" x14ac:dyDescent="0.35">
      <c r="A1381">
        <v>20260101</v>
      </c>
      <c r="B1381" t="s">
        <v>1247</v>
      </c>
      <c r="C1381">
        <v>3400</v>
      </c>
      <c r="D1381" t="s">
        <v>485</v>
      </c>
      <c r="E1381">
        <v>-92700</v>
      </c>
      <c r="F1381" t="s">
        <v>1453</v>
      </c>
    </row>
    <row r="1382" spans="1:6" x14ac:dyDescent="0.35">
      <c r="A1382">
        <v>20260101</v>
      </c>
      <c r="B1382" t="s">
        <v>1130</v>
      </c>
      <c r="C1382">
        <v>5000</v>
      </c>
      <c r="D1382" t="s">
        <v>1131</v>
      </c>
      <c r="E1382">
        <v>473800</v>
      </c>
      <c r="F1382" t="s">
        <v>1453</v>
      </c>
    </row>
    <row r="1383" spans="1:6" x14ac:dyDescent="0.35">
      <c r="A1383">
        <v>20260101</v>
      </c>
      <c r="B1383" t="s">
        <v>1130</v>
      </c>
      <c r="C1383">
        <v>5400</v>
      </c>
      <c r="D1383" t="s">
        <v>1131</v>
      </c>
      <c r="E1383">
        <v>66805.8</v>
      </c>
      <c r="F1383" t="s">
        <v>1453</v>
      </c>
    </row>
    <row r="1384" spans="1:6" x14ac:dyDescent="0.35">
      <c r="A1384">
        <v>20260101</v>
      </c>
      <c r="B1384" t="s">
        <v>1130</v>
      </c>
      <c r="C1384">
        <v>6300</v>
      </c>
      <c r="D1384" t="s">
        <v>1131</v>
      </c>
      <c r="E1384">
        <v>87550</v>
      </c>
      <c r="F1384" t="s">
        <v>1453</v>
      </c>
    </row>
    <row r="1385" spans="1:6" x14ac:dyDescent="0.35">
      <c r="A1385">
        <v>20260101</v>
      </c>
      <c r="B1385" t="s">
        <v>1130</v>
      </c>
      <c r="C1385">
        <v>3900</v>
      </c>
      <c r="D1385" t="s">
        <v>1131</v>
      </c>
      <c r="E1385">
        <v>-669500</v>
      </c>
      <c r="F1385" t="s">
        <v>1453</v>
      </c>
    </row>
    <row r="1386" spans="1:6" x14ac:dyDescent="0.35">
      <c r="A1386">
        <v>20260101</v>
      </c>
      <c r="B1386" t="s">
        <v>1265</v>
      </c>
      <c r="C1386">
        <v>5100</v>
      </c>
      <c r="D1386" t="s">
        <v>485</v>
      </c>
      <c r="E1386">
        <v>92700</v>
      </c>
      <c r="F1386" t="s">
        <v>1453</v>
      </c>
    </row>
    <row r="1387" spans="1:6" x14ac:dyDescent="0.35">
      <c r="A1387">
        <v>20260101</v>
      </c>
      <c r="B1387" t="s">
        <v>1265</v>
      </c>
      <c r="C1387">
        <v>3400</v>
      </c>
      <c r="D1387" t="s">
        <v>485</v>
      </c>
      <c r="E1387">
        <v>-92700</v>
      </c>
      <c r="F1387" t="s">
        <v>1453</v>
      </c>
    </row>
    <row r="1388" spans="1:6" x14ac:dyDescent="0.35">
      <c r="A1388">
        <v>20260101</v>
      </c>
      <c r="B1388" t="s">
        <v>1173</v>
      </c>
      <c r="C1388">
        <v>5000</v>
      </c>
      <c r="D1388" t="s">
        <v>1131</v>
      </c>
      <c r="E1388">
        <v>473800</v>
      </c>
      <c r="F1388" t="s">
        <v>1453</v>
      </c>
    </row>
    <row r="1389" spans="1:6" x14ac:dyDescent="0.35">
      <c r="A1389">
        <v>20260101</v>
      </c>
      <c r="B1389" t="s">
        <v>1173</v>
      </c>
      <c r="C1389">
        <v>5400</v>
      </c>
      <c r="D1389" t="s">
        <v>1131</v>
      </c>
      <c r="E1389">
        <v>66805.8</v>
      </c>
      <c r="F1389" t="s">
        <v>1453</v>
      </c>
    </row>
    <row r="1390" spans="1:6" x14ac:dyDescent="0.35">
      <c r="A1390">
        <v>20260101</v>
      </c>
      <c r="B1390" t="s">
        <v>1173</v>
      </c>
      <c r="C1390">
        <v>6300</v>
      </c>
      <c r="D1390" t="s">
        <v>1131</v>
      </c>
      <c r="E1390">
        <v>87550</v>
      </c>
      <c r="F1390" t="s">
        <v>1453</v>
      </c>
    </row>
    <row r="1391" spans="1:6" x14ac:dyDescent="0.35">
      <c r="A1391">
        <v>20260101</v>
      </c>
      <c r="B1391" t="s">
        <v>1173</v>
      </c>
      <c r="C1391">
        <v>3900</v>
      </c>
      <c r="D1391" t="s">
        <v>1131</v>
      </c>
      <c r="E1391">
        <v>-669500</v>
      </c>
      <c r="F1391" t="s">
        <v>1453</v>
      </c>
    </row>
    <row r="1392" spans="1:6" x14ac:dyDescent="0.35">
      <c r="A1392">
        <v>20260101</v>
      </c>
      <c r="B1392" t="s">
        <v>1255</v>
      </c>
      <c r="C1392">
        <v>5100</v>
      </c>
      <c r="D1392" t="s">
        <v>485</v>
      </c>
      <c r="E1392">
        <v>92700</v>
      </c>
      <c r="F1392" t="s">
        <v>1453</v>
      </c>
    </row>
    <row r="1393" spans="1:6" x14ac:dyDescent="0.35">
      <c r="A1393">
        <v>20260101</v>
      </c>
      <c r="B1393" t="s">
        <v>1255</v>
      </c>
      <c r="C1393">
        <v>3400</v>
      </c>
      <c r="D1393" t="s">
        <v>485</v>
      </c>
      <c r="E1393">
        <v>-92700</v>
      </c>
      <c r="F1393" t="s">
        <v>1453</v>
      </c>
    </row>
    <row r="1394" spans="1:6" x14ac:dyDescent="0.35">
      <c r="A1394">
        <v>20260101</v>
      </c>
      <c r="B1394" t="s">
        <v>1155</v>
      </c>
      <c r="C1394">
        <v>5000</v>
      </c>
      <c r="D1394" t="s">
        <v>1131</v>
      </c>
      <c r="E1394">
        <v>473800</v>
      </c>
      <c r="F1394" t="s">
        <v>1453</v>
      </c>
    </row>
    <row r="1395" spans="1:6" x14ac:dyDescent="0.35">
      <c r="A1395">
        <v>20260101</v>
      </c>
      <c r="B1395" t="s">
        <v>1155</v>
      </c>
      <c r="C1395">
        <v>5400</v>
      </c>
      <c r="D1395" t="s">
        <v>1131</v>
      </c>
      <c r="E1395">
        <v>66805.8</v>
      </c>
      <c r="F1395" t="s">
        <v>1453</v>
      </c>
    </row>
    <row r="1396" spans="1:6" x14ac:dyDescent="0.35">
      <c r="A1396">
        <v>20260101</v>
      </c>
      <c r="B1396" t="s">
        <v>1155</v>
      </c>
      <c r="C1396">
        <v>6300</v>
      </c>
      <c r="D1396" t="s">
        <v>1131</v>
      </c>
      <c r="E1396">
        <v>87550</v>
      </c>
      <c r="F1396" t="s">
        <v>1453</v>
      </c>
    </row>
    <row r="1397" spans="1:6" x14ac:dyDescent="0.35">
      <c r="A1397">
        <v>20260101</v>
      </c>
      <c r="B1397" t="s">
        <v>1155</v>
      </c>
      <c r="C1397">
        <v>3900</v>
      </c>
      <c r="D1397" t="s">
        <v>1131</v>
      </c>
      <c r="E1397">
        <v>-669500</v>
      </c>
      <c r="F1397" t="s">
        <v>1453</v>
      </c>
    </row>
    <row r="1398" spans="1:6" x14ac:dyDescent="0.35">
      <c r="A1398">
        <v>20260101</v>
      </c>
      <c r="B1398" t="s">
        <v>1138</v>
      </c>
      <c r="C1398">
        <v>5000</v>
      </c>
      <c r="D1398" t="s">
        <v>1131</v>
      </c>
      <c r="E1398">
        <v>473800</v>
      </c>
      <c r="F1398" t="s">
        <v>1453</v>
      </c>
    </row>
    <row r="1399" spans="1:6" x14ac:dyDescent="0.35">
      <c r="A1399">
        <v>20260101</v>
      </c>
      <c r="B1399" t="s">
        <v>1138</v>
      </c>
      <c r="C1399">
        <v>5400</v>
      </c>
      <c r="D1399" t="s">
        <v>1131</v>
      </c>
      <c r="E1399">
        <v>66805.8</v>
      </c>
      <c r="F1399" t="s">
        <v>1453</v>
      </c>
    </row>
    <row r="1400" spans="1:6" x14ac:dyDescent="0.35">
      <c r="A1400">
        <v>20260101</v>
      </c>
      <c r="B1400" t="s">
        <v>1138</v>
      </c>
      <c r="C1400">
        <v>6300</v>
      </c>
      <c r="D1400" t="s">
        <v>1131</v>
      </c>
      <c r="E1400">
        <v>87550</v>
      </c>
      <c r="F1400" t="s">
        <v>1453</v>
      </c>
    </row>
    <row r="1401" spans="1:6" x14ac:dyDescent="0.35">
      <c r="A1401">
        <v>20260101</v>
      </c>
      <c r="B1401" t="s">
        <v>1138</v>
      </c>
      <c r="C1401">
        <v>3900</v>
      </c>
      <c r="D1401" t="s">
        <v>1131</v>
      </c>
      <c r="E1401">
        <v>-669500</v>
      </c>
      <c r="F1401" t="s">
        <v>1453</v>
      </c>
    </row>
    <row r="1402" spans="1:6" x14ac:dyDescent="0.35">
      <c r="A1402">
        <v>20260201</v>
      </c>
      <c r="B1402" t="s">
        <v>1150</v>
      </c>
      <c r="C1402">
        <v>5000</v>
      </c>
      <c r="D1402" t="s">
        <v>1131</v>
      </c>
      <c r="E1402">
        <v>473800</v>
      </c>
      <c r="F1402" t="s">
        <v>1453</v>
      </c>
    </row>
    <row r="1403" spans="1:6" x14ac:dyDescent="0.35">
      <c r="A1403">
        <v>20260201</v>
      </c>
      <c r="B1403" t="s">
        <v>1150</v>
      </c>
      <c r="C1403">
        <v>5400</v>
      </c>
      <c r="D1403" t="s">
        <v>1131</v>
      </c>
      <c r="E1403">
        <v>66805.8</v>
      </c>
      <c r="F1403" t="s">
        <v>1453</v>
      </c>
    </row>
    <row r="1404" spans="1:6" x14ac:dyDescent="0.35">
      <c r="A1404">
        <v>20260201</v>
      </c>
      <c r="B1404" t="s">
        <v>1150</v>
      </c>
      <c r="C1404">
        <v>6300</v>
      </c>
      <c r="D1404" t="s">
        <v>1131</v>
      </c>
      <c r="E1404">
        <v>87550</v>
      </c>
      <c r="F1404" t="s">
        <v>1453</v>
      </c>
    </row>
    <row r="1405" spans="1:6" x14ac:dyDescent="0.35">
      <c r="A1405">
        <v>20260201</v>
      </c>
      <c r="B1405" t="s">
        <v>1150</v>
      </c>
      <c r="C1405">
        <v>3900</v>
      </c>
      <c r="D1405" t="s">
        <v>1131</v>
      </c>
      <c r="E1405">
        <v>-669500</v>
      </c>
      <c r="F1405" t="s">
        <v>1453</v>
      </c>
    </row>
    <row r="1406" spans="1:6" x14ac:dyDescent="0.35">
      <c r="A1406">
        <v>20260201</v>
      </c>
      <c r="B1406" t="s">
        <v>1272</v>
      </c>
      <c r="C1406">
        <v>5100</v>
      </c>
      <c r="D1406" t="s">
        <v>485</v>
      </c>
      <c r="E1406">
        <v>92700</v>
      </c>
      <c r="F1406" t="s">
        <v>1453</v>
      </c>
    </row>
    <row r="1407" spans="1:6" x14ac:dyDescent="0.35">
      <c r="A1407">
        <v>20260201</v>
      </c>
      <c r="B1407" t="s">
        <v>1272</v>
      </c>
      <c r="C1407">
        <v>3400</v>
      </c>
      <c r="D1407" t="s">
        <v>485</v>
      </c>
      <c r="E1407">
        <v>-92700</v>
      </c>
      <c r="F1407" t="s">
        <v>1453</v>
      </c>
    </row>
    <row r="1408" spans="1:6" x14ac:dyDescent="0.35">
      <c r="A1408">
        <v>20260201</v>
      </c>
      <c r="B1408" t="s">
        <v>1158</v>
      </c>
      <c r="C1408">
        <v>5000</v>
      </c>
      <c r="D1408" t="s">
        <v>1131</v>
      </c>
      <c r="E1408">
        <v>473800</v>
      </c>
      <c r="F1408" t="s">
        <v>1453</v>
      </c>
    </row>
    <row r="1409" spans="1:6" x14ac:dyDescent="0.35">
      <c r="A1409">
        <v>20260201</v>
      </c>
      <c r="B1409" t="s">
        <v>1158</v>
      </c>
      <c r="C1409">
        <v>5400</v>
      </c>
      <c r="D1409" t="s">
        <v>1131</v>
      </c>
      <c r="E1409">
        <v>66805.8</v>
      </c>
      <c r="F1409" t="s">
        <v>1453</v>
      </c>
    </row>
    <row r="1410" spans="1:6" x14ac:dyDescent="0.35">
      <c r="A1410">
        <v>20260201</v>
      </c>
      <c r="B1410" t="s">
        <v>1158</v>
      </c>
      <c r="C1410">
        <v>6300</v>
      </c>
      <c r="D1410" t="s">
        <v>1131</v>
      </c>
      <c r="E1410">
        <v>87550</v>
      </c>
      <c r="F1410" t="s">
        <v>1453</v>
      </c>
    </row>
    <row r="1411" spans="1:6" x14ac:dyDescent="0.35">
      <c r="A1411">
        <v>20260201</v>
      </c>
      <c r="B1411" t="s">
        <v>1158</v>
      </c>
      <c r="C1411">
        <v>3900</v>
      </c>
      <c r="D1411" t="s">
        <v>1131</v>
      </c>
      <c r="E1411">
        <v>-669500</v>
      </c>
      <c r="F1411" t="s">
        <v>1453</v>
      </c>
    </row>
    <row r="1412" spans="1:6" x14ac:dyDescent="0.35">
      <c r="A1412">
        <v>20260201</v>
      </c>
      <c r="B1412" t="s">
        <v>1243</v>
      </c>
      <c r="C1412">
        <v>5100</v>
      </c>
      <c r="D1412" t="s">
        <v>485</v>
      </c>
      <c r="E1412">
        <v>92700</v>
      </c>
      <c r="F1412" t="s">
        <v>1453</v>
      </c>
    </row>
    <row r="1413" spans="1:6" x14ac:dyDescent="0.35">
      <c r="A1413">
        <v>20260201</v>
      </c>
      <c r="B1413" t="s">
        <v>1243</v>
      </c>
      <c r="C1413">
        <v>3400</v>
      </c>
      <c r="D1413" t="s">
        <v>485</v>
      </c>
      <c r="E1413">
        <v>-92700</v>
      </c>
      <c r="F1413" t="s">
        <v>1453</v>
      </c>
    </row>
    <row r="1414" spans="1:6" x14ac:dyDescent="0.35">
      <c r="A1414">
        <v>20260201</v>
      </c>
      <c r="B1414" t="s">
        <v>1205</v>
      </c>
      <c r="C1414">
        <v>5000</v>
      </c>
      <c r="D1414" t="s">
        <v>1131</v>
      </c>
      <c r="E1414">
        <v>473800</v>
      </c>
      <c r="F1414" t="s">
        <v>1453</v>
      </c>
    </row>
    <row r="1415" spans="1:6" x14ac:dyDescent="0.35">
      <c r="A1415">
        <v>20260201</v>
      </c>
      <c r="B1415" t="s">
        <v>1205</v>
      </c>
      <c r="C1415">
        <v>5400</v>
      </c>
      <c r="D1415" t="s">
        <v>1131</v>
      </c>
      <c r="E1415">
        <v>66805.8</v>
      </c>
      <c r="F1415" t="s">
        <v>1453</v>
      </c>
    </row>
    <row r="1416" spans="1:6" x14ac:dyDescent="0.35">
      <c r="A1416">
        <v>20260201</v>
      </c>
      <c r="B1416" t="s">
        <v>1205</v>
      </c>
      <c r="C1416">
        <v>6300</v>
      </c>
      <c r="D1416" t="s">
        <v>1131</v>
      </c>
      <c r="E1416">
        <v>87550</v>
      </c>
      <c r="F1416" t="s">
        <v>1453</v>
      </c>
    </row>
    <row r="1417" spans="1:6" x14ac:dyDescent="0.35">
      <c r="A1417">
        <v>20260201</v>
      </c>
      <c r="B1417" t="s">
        <v>1205</v>
      </c>
      <c r="C1417">
        <v>3900</v>
      </c>
      <c r="D1417" t="s">
        <v>1131</v>
      </c>
      <c r="E1417">
        <v>-669500</v>
      </c>
      <c r="F1417" t="s">
        <v>1453</v>
      </c>
    </row>
    <row r="1418" spans="1:6" x14ac:dyDescent="0.35">
      <c r="A1418">
        <v>20260201</v>
      </c>
      <c r="B1418" t="s">
        <v>1257</v>
      </c>
      <c r="C1418">
        <v>5100</v>
      </c>
      <c r="D1418" t="s">
        <v>485</v>
      </c>
      <c r="E1418">
        <v>92700</v>
      </c>
      <c r="F1418" t="s">
        <v>1453</v>
      </c>
    </row>
    <row r="1419" spans="1:6" x14ac:dyDescent="0.35">
      <c r="A1419">
        <v>20260201</v>
      </c>
      <c r="B1419" t="s">
        <v>1257</v>
      </c>
      <c r="C1419">
        <v>3400</v>
      </c>
      <c r="D1419" t="s">
        <v>485</v>
      </c>
      <c r="E1419">
        <v>-92700</v>
      </c>
      <c r="F1419" t="s">
        <v>1453</v>
      </c>
    </row>
    <row r="1420" spans="1:6" x14ac:dyDescent="0.35">
      <c r="A1420">
        <v>20260201</v>
      </c>
      <c r="B1420" t="s">
        <v>1164</v>
      </c>
      <c r="C1420">
        <v>5000</v>
      </c>
      <c r="D1420" t="s">
        <v>1131</v>
      </c>
      <c r="E1420">
        <v>473800</v>
      </c>
      <c r="F1420" t="s">
        <v>1453</v>
      </c>
    </row>
    <row r="1421" spans="1:6" x14ac:dyDescent="0.35">
      <c r="A1421">
        <v>20260201</v>
      </c>
      <c r="B1421" t="s">
        <v>1164</v>
      </c>
      <c r="C1421">
        <v>5400</v>
      </c>
      <c r="D1421" t="s">
        <v>1131</v>
      </c>
      <c r="E1421">
        <v>66805.8</v>
      </c>
      <c r="F1421" t="s">
        <v>1453</v>
      </c>
    </row>
    <row r="1422" spans="1:6" x14ac:dyDescent="0.35">
      <c r="A1422">
        <v>20260201</v>
      </c>
      <c r="B1422" t="s">
        <v>1164</v>
      </c>
      <c r="C1422">
        <v>6300</v>
      </c>
      <c r="D1422" t="s">
        <v>1131</v>
      </c>
      <c r="E1422">
        <v>87550</v>
      </c>
      <c r="F1422" t="s">
        <v>1453</v>
      </c>
    </row>
    <row r="1423" spans="1:6" x14ac:dyDescent="0.35">
      <c r="A1423">
        <v>20260201</v>
      </c>
      <c r="B1423" t="s">
        <v>1164</v>
      </c>
      <c r="C1423">
        <v>3900</v>
      </c>
      <c r="D1423" t="s">
        <v>1131</v>
      </c>
      <c r="E1423">
        <v>-669500</v>
      </c>
      <c r="F1423" t="s">
        <v>1453</v>
      </c>
    </row>
    <row r="1424" spans="1:6" x14ac:dyDescent="0.35">
      <c r="A1424">
        <v>20260201</v>
      </c>
      <c r="B1424" t="s">
        <v>1249</v>
      </c>
      <c r="C1424">
        <v>5100</v>
      </c>
      <c r="D1424" t="s">
        <v>485</v>
      </c>
      <c r="E1424">
        <v>92700</v>
      </c>
      <c r="F1424" t="s">
        <v>1453</v>
      </c>
    </row>
    <row r="1425" spans="1:6" x14ac:dyDescent="0.35">
      <c r="A1425">
        <v>20260201</v>
      </c>
      <c r="B1425" t="s">
        <v>1249</v>
      </c>
      <c r="C1425">
        <v>3400</v>
      </c>
      <c r="D1425" t="s">
        <v>485</v>
      </c>
      <c r="E1425">
        <v>-92700</v>
      </c>
      <c r="F1425" t="s">
        <v>1453</v>
      </c>
    </row>
    <row r="1426" spans="1:6" x14ac:dyDescent="0.35">
      <c r="A1426">
        <v>20260201</v>
      </c>
      <c r="B1426" t="s">
        <v>1169</v>
      </c>
      <c r="C1426">
        <v>5000</v>
      </c>
      <c r="D1426" t="s">
        <v>1131</v>
      </c>
      <c r="E1426">
        <v>473800</v>
      </c>
      <c r="F1426" t="s">
        <v>1453</v>
      </c>
    </row>
    <row r="1427" spans="1:6" x14ac:dyDescent="0.35">
      <c r="A1427">
        <v>20260201</v>
      </c>
      <c r="B1427" t="s">
        <v>1169</v>
      </c>
      <c r="C1427">
        <v>5400</v>
      </c>
      <c r="D1427" t="s">
        <v>1131</v>
      </c>
      <c r="E1427">
        <v>66805.8</v>
      </c>
      <c r="F1427" t="s">
        <v>1453</v>
      </c>
    </row>
    <row r="1428" spans="1:6" x14ac:dyDescent="0.35">
      <c r="A1428">
        <v>20260201</v>
      </c>
      <c r="B1428" t="s">
        <v>1169</v>
      </c>
      <c r="C1428">
        <v>6300</v>
      </c>
      <c r="D1428" t="s">
        <v>1131</v>
      </c>
      <c r="E1428">
        <v>87550</v>
      </c>
      <c r="F1428" t="s">
        <v>1453</v>
      </c>
    </row>
    <row r="1429" spans="1:6" x14ac:dyDescent="0.35">
      <c r="A1429">
        <v>20260201</v>
      </c>
      <c r="B1429" t="s">
        <v>1169</v>
      </c>
      <c r="C1429">
        <v>3900</v>
      </c>
      <c r="D1429" t="s">
        <v>1131</v>
      </c>
      <c r="E1429">
        <v>-669500</v>
      </c>
      <c r="F1429" t="s">
        <v>1453</v>
      </c>
    </row>
    <row r="1430" spans="1:6" x14ac:dyDescent="0.35">
      <c r="A1430">
        <v>20260201</v>
      </c>
      <c r="B1430" t="s">
        <v>1260</v>
      </c>
      <c r="C1430">
        <v>5100</v>
      </c>
      <c r="D1430" t="s">
        <v>485</v>
      </c>
      <c r="E1430">
        <v>92700</v>
      </c>
      <c r="F1430" t="s">
        <v>1453</v>
      </c>
    </row>
    <row r="1431" spans="1:6" x14ac:dyDescent="0.35">
      <c r="A1431">
        <v>20260201</v>
      </c>
      <c r="B1431" t="s">
        <v>1260</v>
      </c>
      <c r="C1431">
        <v>3400</v>
      </c>
      <c r="D1431" t="s">
        <v>485</v>
      </c>
      <c r="E1431">
        <v>-92700</v>
      </c>
      <c r="F1431" t="s">
        <v>1453</v>
      </c>
    </row>
    <row r="1432" spans="1:6" x14ac:dyDescent="0.35">
      <c r="A1432">
        <v>20260201</v>
      </c>
      <c r="B1432" t="s">
        <v>1175</v>
      </c>
      <c r="C1432">
        <v>5000</v>
      </c>
      <c r="D1432" t="s">
        <v>1131</v>
      </c>
      <c r="E1432">
        <v>473800</v>
      </c>
      <c r="F1432" t="s">
        <v>1453</v>
      </c>
    </row>
    <row r="1433" spans="1:6" x14ac:dyDescent="0.35">
      <c r="A1433">
        <v>20260201</v>
      </c>
      <c r="B1433" t="s">
        <v>1175</v>
      </c>
      <c r="C1433">
        <v>5400</v>
      </c>
      <c r="D1433" t="s">
        <v>1131</v>
      </c>
      <c r="E1433">
        <v>66805.8</v>
      </c>
      <c r="F1433" t="s">
        <v>1453</v>
      </c>
    </row>
    <row r="1434" spans="1:6" x14ac:dyDescent="0.35">
      <c r="A1434">
        <v>20260201</v>
      </c>
      <c r="B1434" t="s">
        <v>1175</v>
      </c>
      <c r="C1434">
        <v>6300</v>
      </c>
      <c r="D1434" t="s">
        <v>1131</v>
      </c>
      <c r="E1434">
        <v>87550</v>
      </c>
      <c r="F1434" t="s">
        <v>1453</v>
      </c>
    </row>
    <row r="1435" spans="1:6" x14ac:dyDescent="0.35">
      <c r="A1435">
        <v>20260201</v>
      </c>
      <c r="B1435" t="s">
        <v>1175</v>
      </c>
      <c r="C1435">
        <v>3900</v>
      </c>
      <c r="D1435" t="s">
        <v>1131</v>
      </c>
      <c r="E1435">
        <v>-669500</v>
      </c>
      <c r="F1435" t="s">
        <v>1453</v>
      </c>
    </row>
    <row r="1436" spans="1:6" x14ac:dyDescent="0.35">
      <c r="A1436">
        <v>20260201</v>
      </c>
      <c r="B1436" t="s">
        <v>1247</v>
      </c>
      <c r="C1436">
        <v>5100</v>
      </c>
      <c r="D1436" t="s">
        <v>485</v>
      </c>
      <c r="E1436">
        <v>92700</v>
      </c>
      <c r="F1436" t="s">
        <v>1453</v>
      </c>
    </row>
    <row r="1437" spans="1:6" x14ac:dyDescent="0.35">
      <c r="A1437">
        <v>20260201</v>
      </c>
      <c r="B1437" t="s">
        <v>1247</v>
      </c>
      <c r="C1437">
        <v>3400</v>
      </c>
      <c r="D1437" t="s">
        <v>485</v>
      </c>
      <c r="E1437">
        <v>-92700</v>
      </c>
      <c r="F1437" t="s">
        <v>1453</v>
      </c>
    </row>
    <row r="1438" spans="1:6" x14ac:dyDescent="0.35">
      <c r="A1438">
        <v>20260201</v>
      </c>
      <c r="B1438" t="s">
        <v>1130</v>
      </c>
      <c r="C1438">
        <v>5000</v>
      </c>
      <c r="D1438" t="s">
        <v>1131</v>
      </c>
      <c r="E1438">
        <v>473800</v>
      </c>
      <c r="F1438" t="s">
        <v>1453</v>
      </c>
    </row>
    <row r="1439" spans="1:6" x14ac:dyDescent="0.35">
      <c r="A1439">
        <v>20260201</v>
      </c>
      <c r="B1439" t="s">
        <v>1130</v>
      </c>
      <c r="C1439">
        <v>5400</v>
      </c>
      <c r="D1439" t="s">
        <v>1131</v>
      </c>
      <c r="E1439">
        <v>66805.8</v>
      </c>
      <c r="F1439" t="s">
        <v>1453</v>
      </c>
    </row>
    <row r="1440" spans="1:6" x14ac:dyDescent="0.35">
      <c r="A1440">
        <v>20260201</v>
      </c>
      <c r="B1440" t="s">
        <v>1130</v>
      </c>
      <c r="C1440">
        <v>6300</v>
      </c>
      <c r="D1440" t="s">
        <v>1131</v>
      </c>
      <c r="E1440">
        <v>87550</v>
      </c>
      <c r="F1440" t="s">
        <v>1453</v>
      </c>
    </row>
    <row r="1441" spans="1:6" x14ac:dyDescent="0.35">
      <c r="A1441">
        <v>20260201</v>
      </c>
      <c r="B1441" t="s">
        <v>1130</v>
      </c>
      <c r="C1441">
        <v>3900</v>
      </c>
      <c r="D1441" t="s">
        <v>1131</v>
      </c>
      <c r="E1441">
        <v>-669500</v>
      </c>
      <c r="F1441" t="s">
        <v>1453</v>
      </c>
    </row>
    <row r="1442" spans="1:6" x14ac:dyDescent="0.35">
      <c r="A1442">
        <v>20260201</v>
      </c>
      <c r="B1442" t="s">
        <v>1265</v>
      </c>
      <c r="C1442">
        <v>5100</v>
      </c>
      <c r="D1442" t="s">
        <v>485</v>
      </c>
      <c r="E1442">
        <v>92700</v>
      </c>
      <c r="F1442" t="s">
        <v>1453</v>
      </c>
    </row>
    <row r="1443" spans="1:6" x14ac:dyDescent="0.35">
      <c r="A1443">
        <v>20260201</v>
      </c>
      <c r="B1443" t="s">
        <v>1265</v>
      </c>
      <c r="C1443">
        <v>3400</v>
      </c>
      <c r="D1443" t="s">
        <v>485</v>
      </c>
      <c r="E1443">
        <v>-92700</v>
      </c>
      <c r="F1443" t="s">
        <v>1453</v>
      </c>
    </row>
    <row r="1444" spans="1:6" x14ac:dyDescent="0.35">
      <c r="A1444">
        <v>20260201</v>
      </c>
      <c r="B1444" t="s">
        <v>1173</v>
      </c>
      <c r="C1444">
        <v>5000</v>
      </c>
      <c r="D1444" t="s">
        <v>1131</v>
      </c>
      <c r="E1444">
        <v>473800</v>
      </c>
      <c r="F1444" t="s">
        <v>1453</v>
      </c>
    </row>
    <row r="1445" spans="1:6" x14ac:dyDescent="0.35">
      <c r="A1445">
        <v>20260201</v>
      </c>
      <c r="B1445" t="s">
        <v>1173</v>
      </c>
      <c r="C1445">
        <v>5400</v>
      </c>
      <c r="D1445" t="s">
        <v>1131</v>
      </c>
      <c r="E1445">
        <v>66805.8</v>
      </c>
      <c r="F1445" t="s">
        <v>1453</v>
      </c>
    </row>
    <row r="1446" spans="1:6" x14ac:dyDescent="0.35">
      <c r="A1446">
        <v>20260201</v>
      </c>
      <c r="B1446" t="s">
        <v>1173</v>
      </c>
      <c r="C1446">
        <v>6300</v>
      </c>
      <c r="D1446" t="s">
        <v>1131</v>
      </c>
      <c r="E1446">
        <v>87550</v>
      </c>
      <c r="F1446" t="s">
        <v>1453</v>
      </c>
    </row>
    <row r="1447" spans="1:6" x14ac:dyDescent="0.35">
      <c r="A1447">
        <v>20260201</v>
      </c>
      <c r="B1447" t="s">
        <v>1173</v>
      </c>
      <c r="C1447">
        <v>3900</v>
      </c>
      <c r="D1447" t="s">
        <v>1131</v>
      </c>
      <c r="E1447">
        <v>-669500</v>
      </c>
      <c r="F1447" t="s">
        <v>1453</v>
      </c>
    </row>
    <row r="1448" spans="1:6" x14ac:dyDescent="0.35">
      <c r="A1448">
        <v>20260201</v>
      </c>
      <c r="B1448" t="s">
        <v>1255</v>
      </c>
      <c r="C1448">
        <v>5100</v>
      </c>
      <c r="D1448" t="s">
        <v>485</v>
      </c>
      <c r="E1448">
        <v>92700</v>
      </c>
      <c r="F1448" t="s">
        <v>1453</v>
      </c>
    </row>
    <row r="1449" spans="1:6" x14ac:dyDescent="0.35">
      <c r="A1449">
        <v>20260201</v>
      </c>
      <c r="B1449" t="s">
        <v>1255</v>
      </c>
      <c r="C1449">
        <v>3400</v>
      </c>
      <c r="D1449" t="s">
        <v>485</v>
      </c>
      <c r="E1449">
        <v>-92700</v>
      </c>
      <c r="F1449" t="s">
        <v>1453</v>
      </c>
    </row>
    <row r="1450" spans="1:6" x14ac:dyDescent="0.35">
      <c r="A1450">
        <v>20260201</v>
      </c>
      <c r="B1450" t="s">
        <v>1155</v>
      </c>
      <c r="C1450">
        <v>5000</v>
      </c>
      <c r="D1450" t="s">
        <v>1131</v>
      </c>
      <c r="E1450">
        <v>473800</v>
      </c>
      <c r="F1450" t="s">
        <v>1453</v>
      </c>
    </row>
    <row r="1451" spans="1:6" x14ac:dyDescent="0.35">
      <c r="A1451">
        <v>20260201</v>
      </c>
      <c r="B1451" t="s">
        <v>1155</v>
      </c>
      <c r="C1451">
        <v>5400</v>
      </c>
      <c r="D1451" t="s">
        <v>1131</v>
      </c>
      <c r="E1451">
        <v>66805.8</v>
      </c>
      <c r="F1451" t="s">
        <v>1453</v>
      </c>
    </row>
    <row r="1452" spans="1:6" x14ac:dyDescent="0.35">
      <c r="A1452">
        <v>20260201</v>
      </c>
      <c r="B1452" t="s">
        <v>1155</v>
      </c>
      <c r="C1452">
        <v>6300</v>
      </c>
      <c r="D1452" t="s">
        <v>1131</v>
      </c>
      <c r="E1452">
        <v>87550</v>
      </c>
      <c r="F1452" t="s">
        <v>1453</v>
      </c>
    </row>
    <row r="1453" spans="1:6" x14ac:dyDescent="0.35">
      <c r="A1453">
        <v>20260201</v>
      </c>
      <c r="B1453" t="s">
        <v>1155</v>
      </c>
      <c r="C1453">
        <v>3900</v>
      </c>
      <c r="D1453" t="s">
        <v>1131</v>
      </c>
      <c r="E1453">
        <v>-669500</v>
      </c>
      <c r="F1453" t="s">
        <v>1453</v>
      </c>
    </row>
    <row r="1454" spans="1:6" x14ac:dyDescent="0.35">
      <c r="A1454">
        <v>20260201</v>
      </c>
      <c r="B1454" t="s">
        <v>1138</v>
      </c>
      <c r="C1454">
        <v>5000</v>
      </c>
      <c r="D1454" t="s">
        <v>1131</v>
      </c>
      <c r="E1454">
        <v>473800</v>
      </c>
      <c r="F1454" t="s">
        <v>1453</v>
      </c>
    </row>
    <row r="1455" spans="1:6" x14ac:dyDescent="0.35">
      <c r="A1455">
        <v>20260201</v>
      </c>
      <c r="B1455" t="s">
        <v>1138</v>
      </c>
      <c r="C1455">
        <v>5400</v>
      </c>
      <c r="D1455" t="s">
        <v>1131</v>
      </c>
      <c r="E1455">
        <v>66805.8</v>
      </c>
      <c r="F1455" t="s">
        <v>1453</v>
      </c>
    </row>
    <row r="1456" spans="1:6" x14ac:dyDescent="0.35">
      <c r="A1456">
        <v>20260201</v>
      </c>
      <c r="B1456" t="s">
        <v>1138</v>
      </c>
      <c r="C1456">
        <v>6300</v>
      </c>
      <c r="D1456" t="s">
        <v>1131</v>
      </c>
      <c r="E1456">
        <v>87550</v>
      </c>
      <c r="F1456" t="s">
        <v>1453</v>
      </c>
    </row>
    <row r="1457" spans="1:6" x14ac:dyDescent="0.35">
      <c r="A1457">
        <v>20260201</v>
      </c>
      <c r="B1457" t="s">
        <v>1138</v>
      </c>
      <c r="C1457">
        <v>3900</v>
      </c>
      <c r="D1457" t="s">
        <v>1131</v>
      </c>
      <c r="E1457">
        <v>-669500</v>
      </c>
      <c r="F1457" t="s">
        <v>1453</v>
      </c>
    </row>
    <row r="1458" spans="1:6" x14ac:dyDescent="0.35">
      <c r="A1458">
        <v>20260301</v>
      </c>
      <c r="B1458" t="s">
        <v>1150</v>
      </c>
      <c r="C1458">
        <v>5000</v>
      </c>
      <c r="D1458" t="s">
        <v>1131</v>
      </c>
      <c r="E1458">
        <v>473800</v>
      </c>
      <c r="F1458" t="s">
        <v>1453</v>
      </c>
    </row>
    <row r="1459" spans="1:6" x14ac:dyDescent="0.35">
      <c r="A1459">
        <v>20260301</v>
      </c>
      <c r="B1459" t="s">
        <v>1150</v>
      </c>
      <c r="C1459">
        <v>5400</v>
      </c>
      <c r="D1459" t="s">
        <v>1131</v>
      </c>
      <c r="E1459">
        <v>66805.8</v>
      </c>
      <c r="F1459" t="s">
        <v>1453</v>
      </c>
    </row>
    <row r="1460" spans="1:6" x14ac:dyDescent="0.35">
      <c r="A1460">
        <v>20260301</v>
      </c>
      <c r="B1460" t="s">
        <v>1150</v>
      </c>
      <c r="C1460">
        <v>6300</v>
      </c>
      <c r="D1460" t="s">
        <v>1131</v>
      </c>
      <c r="E1460">
        <v>87550</v>
      </c>
      <c r="F1460" t="s">
        <v>1453</v>
      </c>
    </row>
    <row r="1461" spans="1:6" x14ac:dyDescent="0.35">
      <c r="A1461">
        <v>20260301</v>
      </c>
      <c r="B1461" t="s">
        <v>1150</v>
      </c>
      <c r="C1461">
        <v>3900</v>
      </c>
      <c r="D1461" t="s">
        <v>1131</v>
      </c>
      <c r="E1461">
        <v>-669500</v>
      </c>
      <c r="F1461" t="s">
        <v>1453</v>
      </c>
    </row>
    <row r="1462" spans="1:6" x14ac:dyDescent="0.35">
      <c r="A1462">
        <v>20260301</v>
      </c>
      <c r="B1462" t="s">
        <v>1272</v>
      </c>
      <c r="C1462">
        <v>5100</v>
      </c>
      <c r="D1462" t="s">
        <v>485</v>
      </c>
      <c r="E1462">
        <v>92700</v>
      </c>
      <c r="F1462" t="s">
        <v>1453</v>
      </c>
    </row>
    <row r="1463" spans="1:6" x14ac:dyDescent="0.35">
      <c r="A1463">
        <v>20260301</v>
      </c>
      <c r="B1463" t="s">
        <v>1272</v>
      </c>
      <c r="C1463">
        <v>3400</v>
      </c>
      <c r="D1463" t="s">
        <v>485</v>
      </c>
      <c r="E1463">
        <v>-92700</v>
      </c>
      <c r="F1463" t="s">
        <v>1453</v>
      </c>
    </row>
    <row r="1464" spans="1:6" x14ac:dyDescent="0.35">
      <c r="A1464">
        <v>20260301</v>
      </c>
      <c r="B1464" t="s">
        <v>1158</v>
      </c>
      <c r="C1464">
        <v>5000</v>
      </c>
      <c r="D1464" t="s">
        <v>1131</v>
      </c>
      <c r="E1464">
        <v>473800</v>
      </c>
      <c r="F1464" t="s">
        <v>1453</v>
      </c>
    </row>
    <row r="1465" spans="1:6" x14ac:dyDescent="0.35">
      <c r="A1465">
        <v>20260301</v>
      </c>
      <c r="B1465" t="s">
        <v>1158</v>
      </c>
      <c r="C1465">
        <v>5400</v>
      </c>
      <c r="D1465" t="s">
        <v>1131</v>
      </c>
      <c r="E1465">
        <v>66805.8</v>
      </c>
      <c r="F1465" t="s">
        <v>1453</v>
      </c>
    </row>
    <row r="1466" spans="1:6" x14ac:dyDescent="0.35">
      <c r="A1466">
        <v>20260301</v>
      </c>
      <c r="B1466" t="s">
        <v>1158</v>
      </c>
      <c r="C1466">
        <v>6300</v>
      </c>
      <c r="D1466" t="s">
        <v>1131</v>
      </c>
      <c r="E1466">
        <v>87550</v>
      </c>
      <c r="F1466" t="s">
        <v>1453</v>
      </c>
    </row>
    <row r="1467" spans="1:6" x14ac:dyDescent="0.35">
      <c r="A1467">
        <v>20260301</v>
      </c>
      <c r="B1467" t="s">
        <v>1158</v>
      </c>
      <c r="C1467">
        <v>3900</v>
      </c>
      <c r="D1467" t="s">
        <v>1131</v>
      </c>
      <c r="E1467">
        <v>-669500</v>
      </c>
      <c r="F1467" t="s">
        <v>1453</v>
      </c>
    </row>
    <row r="1468" spans="1:6" x14ac:dyDescent="0.35">
      <c r="A1468">
        <v>20260301</v>
      </c>
      <c r="B1468" t="s">
        <v>1243</v>
      </c>
      <c r="C1468">
        <v>5100</v>
      </c>
      <c r="D1468" t="s">
        <v>485</v>
      </c>
      <c r="E1468">
        <v>92700</v>
      </c>
      <c r="F1468" t="s">
        <v>1453</v>
      </c>
    </row>
    <row r="1469" spans="1:6" x14ac:dyDescent="0.35">
      <c r="A1469">
        <v>20260301</v>
      </c>
      <c r="B1469" t="s">
        <v>1243</v>
      </c>
      <c r="C1469">
        <v>3400</v>
      </c>
      <c r="D1469" t="s">
        <v>485</v>
      </c>
      <c r="E1469">
        <v>-92700</v>
      </c>
      <c r="F1469" t="s">
        <v>1453</v>
      </c>
    </row>
    <row r="1470" spans="1:6" x14ac:dyDescent="0.35">
      <c r="A1470">
        <v>20260301</v>
      </c>
      <c r="B1470" t="s">
        <v>1205</v>
      </c>
      <c r="C1470">
        <v>5000</v>
      </c>
      <c r="D1470" t="s">
        <v>1131</v>
      </c>
      <c r="E1470">
        <v>473800</v>
      </c>
      <c r="F1470" t="s">
        <v>1453</v>
      </c>
    </row>
    <row r="1471" spans="1:6" x14ac:dyDescent="0.35">
      <c r="A1471">
        <v>20260301</v>
      </c>
      <c r="B1471" t="s">
        <v>1205</v>
      </c>
      <c r="C1471">
        <v>5400</v>
      </c>
      <c r="D1471" t="s">
        <v>1131</v>
      </c>
      <c r="E1471">
        <v>66805.8</v>
      </c>
      <c r="F1471" t="s">
        <v>1453</v>
      </c>
    </row>
    <row r="1472" spans="1:6" x14ac:dyDescent="0.35">
      <c r="A1472">
        <v>20260301</v>
      </c>
      <c r="B1472" t="s">
        <v>1205</v>
      </c>
      <c r="C1472">
        <v>6300</v>
      </c>
      <c r="D1472" t="s">
        <v>1131</v>
      </c>
      <c r="E1472">
        <v>87550</v>
      </c>
      <c r="F1472" t="s">
        <v>1453</v>
      </c>
    </row>
    <row r="1473" spans="1:6" x14ac:dyDescent="0.35">
      <c r="A1473">
        <v>20260301</v>
      </c>
      <c r="B1473" t="s">
        <v>1205</v>
      </c>
      <c r="C1473">
        <v>3900</v>
      </c>
      <c r="D1473" t="s">
        <v>1131</v>
      </c>
      <c r="E1473">
        <v>-669500</v>
      </c>
      <c r="F1473" t="s">
        <v>1453</v>
      </c>
    </row>
    <row r="1474" spans="1:6" x14ac:dyDescent="0.35">
      <c r="A1474">
        <v>20260301</v>
      </c>
      <c r="B1474" t="s">
        <v>1257</v>
      </c>
      <c r="C1474">
        <v>5100</v>
      </c>
      <c r="D1474" t="s">
        <v>485</v>
      </c>
      <c r="E1474">
        <v>92700</v>
      </c>
      <c r="F1474" t="s">
        <v>1453</v>
      </c>
    </row>
    <row r="1475" spans="1:6" x14ac:dyDescent="0.35">
      <c r="A1475">
        <v>20260301</v>
      </c>
      <c r="B1475" t="s">
        <v>1257</v>
      </c>
      <c r="C1475">
        <v>3400</v>
      </c>
      <c r="D1475" t="s">
        <v>485</v>
      </c>
      <c r="E1475">
        <v>-92700</v>
      </c>
      <c r="F1475" t="s">
        <v>1453</v>
      </c>
    </row>
    <row r="1476" spans="1:6" x14ac:dyDescent="0.35">
      <c r="A1476">
        <v>20260301</v>
      </c>
      <c r="B1476" t="s">
        <v>1164</v>
      </c>
      <c r="C1476">
        <v>5000</v>
      </c>
      <c r="D1476" t="s">
        <v>1131</v>
      </c>
      <c r="E1476">
        <v>473800</v>
      </c>
      <c r="F1476" t="s">
        <v>1453</v>
      </c>
    </row>
    <row r="1477" spans="1:6" x14ac:dyDescent="0.35">
      <c r="A1477">
        <v>20260301</v>
      </c>
      <c r="B1477" t="s">
        <v>1164</v>
      </c>
      <c r="C1477">
        <v>5400</v>
      </c>
      <c r="D1477" t="s">
        <v>1131</v>
      </c>
      <c r="E1477">
        <v>66805.8</v>
      </c>
      <c r="F1477" t="s">
        <v>1453</v>
      </c>
    </row>
    <row r="1478" spans="1:6" x14ac:dyDescent="0.35">
      <c r="A1478">
        <v>20260301</v>
      </c>
      <c r="B1478" t="s">
        <v>1164</v>
      </c>
      <c r="C1478">
        <v>6300</v>
      </c>
      <c r="D1478" t="s">
        <v>1131</v>
      </c>
      <c r="E1478">
        <v>87550</v>
      </c>
      <c r="F1478" t="s">
        <v>1453</v>
      </c>
    </row>
    <row r="1479" spans="1:6" x14ac:dyDescent="0.35">
      <c r="A1479">
        <v>20260301</v>
      </c>
      <c r="B1479" t="s">
        <v>1164</v>
      </c>
      <c r="C1479">
        <v>3900</v>
      </c>
      <c r="D1479" t="s">
        <v>1131</v>
      </c>
      <c r="E1479">
        <v>-669500</v>
      </c>
      <c r="F1479" t="s">
        <v>1453</v>
      </c>
    </row>
    <row r="1480" spans="1:6" x14ac:dyDescent="0.35">
      <c r="A1480">
        <v>20260301</v>
      </c>
      <c r="B1480" t="s">
        <v>1249</v>
      </c>
      <c r="C1480">
        <v>5100</v>
      </c>
      <c r="D1480" t="s">
        <v>485</v>
      </c>
      <c r="E1480">
        <v>92700</v>
      </c>
      <c r="F1480" t="s">
        <v>1453</v>
      </c>
    </row>
    <row r="1481" spans="1:6" x14ac:dyDescent="0.35">
      <c r="A1481">
        <v>20260301</v>
      </c>
      <c r="B1481" t="s">
        <v>1249</v>
      </c>
      <c r="C1481">
        <v>3400</v>
      </c>
      <c r="D1481" t="s">
        <v>485</v>
      </c>
      <c r="E1481">
        <v>-92700</v>
      </c>
      <c r="F1481" t="s">
        <v>1453</v>
      </c>
    </row>
    <row r="1482" spans="1:6" x14ac:dyDescent="0.35">
      <c r="A1482">
        <v>20260301</v>
      </c>
      <c r="B1482" t="s">
        <v>1169</v>
      </c>
      <c r="C1482">
        <v>5000</v>
      </c>
      <c r="D1482" t="s">
        <v>1131</v>
      </c>
      <c r="E1482">
        <v>473800</v>
      </c>
      <c r="F1482" t="s">
        <v>1453</v>
      </c>
    </row>
    <row r="1483" spans="1:6" x14ac:dyDescent="0.35">
      <c r="A1483">
        <v>20260301</v>
      </c>
      <c r="B1483" t="s">
        <v>1169</v>
      </c>
      <c r="C1483">
        <v>5400</v>
      </c>
      <c r="D1483" t="s">
        <v>1131</v>
      </c>
      <c r="E1483">
        <v>66805.8</v>
      </c>
      <c r="F1483" t="s">
        <v>1453</v>
      </c>
    </row>
    <row r="1484" spans="1:6" x14ac:dyDescent="0.35">
      <c r="A1484">
        <v>20260301</v>
      </c>
      <c r="B1484" t="s">
        <v>1169</v>
      </c>
      <c r="C1484">
        <v>6300</v>
      </c>
      <c r="D1484" t="s">
        <v>1131</v>
      </c>
      <c r="E1484">
        <v>87550</v>
      </c>
      <c r="F1484" t="s">
        <v>1453</v>
      </c>
    </row>
    <row r="1485" spans="1:6" x14ac:dyDescent="0.35">
      <c r="A1485">
        <v>20260301</v>
      </c>
      <c r="B1485" t="s">
        <v>1169</v>
      </c>
      <c r="C1485">
        <v>3900</v>
      </c>
      <c r="D1485" t="s">
        <v>1131</v>
      </c>
      <c r="E1485">
        <v>-669500</v>
      </c>
      <c r="F1485" t="s">
        <v>1453</v>
      </c>
    </row>
    <row r="1486" spans="1:6" x14ac:dyDescent="0.35">
      <c r="A1486">
        <v>20260301</v>
      </c>
      <c r="B1486" t="s">
        <v>1260</v>
      </c>
      <c r="C1486">
        <v>5100</v>
      </c>
      <c r="D1486" t="s">
        <v>485</v>
      </c>
      <c r="E1486">
        <v>92700</v>
      </c>
      <c r="F1486" t="s">
        <v>1453</v>
      </c>
    </row>
    <row r="1487" spans="1:6" x14ac:dyDescent="0.35">
      <c r="A1487">
        <v>20260301</v>
      </c>
      <c r="B1487" t="s">
        <v>1260</v>
      </c>
      <c r="C1487">
        <v>3400</v>
      </c>
      <c r="D1487" t="s">
        <v>485</v>
      </c>
      <c r="E1487">
        <v>-92700</v>
      </c>
      <c r="F1487" t="s">
        <v>1453</v>
      </c>
    </row>
    <row r="1488" spans="1:6" x14ac:dyDescent="0.35">
      <c r="A1488">
        <v>20260301</v>
      </c>
      <c r="B1488" t="s">
        <v>1175</v>
      </c>
      <c r="C1488">
        <v>5000</v>
      </c>
      <c r="D1488" t="s">
        <v>1131</v>
      </c>
      <c r="E1488">
        <v>473800</v>
      </c>
      <c r="F1488" t="s">
        <v>1453</v>
      </c>
    </row>
    <row r="1489" spans="1:6" x14ac:dyDescent="0.35">
      <c r="A1489">
        <v>20260301</v>
      </c>
      <c r="B1489" t="s">
        <v>1175</v>
      </c>
      <c r="C1489">
        <v>5400</v>
      </c>
      <c r="D1489" t="s">
        <v>1131</v>
      </c>
      <c r="E1489">
        <v>66805.8</v>
      </c>
      <c r="F1489" t="s">
        <v>1453</v>
      </c>
    </row>
    <row r="1490" spans="1:6" x14ac:dyDescent="0.35">
      <c r="A1490">
        <v>20260301</v>
      </c>
      <c r="B1490" t="s">
        <v>1175</v>
      </c>
      <c r="C1490">
        <v>6300</v>
      </c>
      <c r="D1490" t="s">
        <v>1131</v>
      </c>
      <c r="E1490">
        <v>87550</v>
      </c>
      <c r="F1490" t="s">
        <v>1453</v>
      </c>
    </row>
    <row r="1491" spans="1:6" x14ac:dyDescent="0.35">
      <c r="A1491">
        <v>20260301</v>
      </c>
      <c r="B1491" t="s">
        <v>1175</v>
      </c>
      <c r="C1491">
        <v>3900</v>
      </c>
      <c r="D1491" t="s">
        <v>1131</v>
      </c>
      <c r="E1491">
        <v>-669500</v>
      </c>
      <c r="F1491" t="s">
        <v>1453</v>
      </c>
    </row>
    <row r="1492" spans="1:6" x14ac:dyDescent="0.35">
      <c r="A1492">
        <v>20260301</v>
      </c>
      <c r="B1492" t="s">
        <v>1247</v>
      </c>
      <c r="C1492">
        <v>5100</v>
      </c>
      <c r="D1492" t="s">
        <v>485</v>
      </c>
      <c r="E1492">
        <v>92700</v>
      </c>
      <c r="F1492" t="s">
        <v>1453</v>
      </c>
    </row>
    <row r="1493" spans="1:6" x14ac:dyDescent="0.35">
      <c r="A1493">
        <v>20260301</v>
      </c>
      <c r="B1493" t="s">
        <v>1247</v>
      </c>
      <c r="C1493">
        <v>3400</v>
      </c>
      <c r="D1493" t="s">
        <v>485</v>
      </c>
      <c r="E1493">
        <v>-92700</v>
      </c>
      <c r="F1493" t="s">
        <v>1453</v>
      </c>
    </row>
    <row r="1494" spans="1:6" x14ac:dyDescent="0.35">
      <c r="A1494">
        <v>20260301</v>
      </c>
      <c r="B1494" t="s">
        <v>1130</v>
      </c>
      <c r="C1494">
        <v>5000</v>
      </c>
      <c r="D1494" t="s">
        <v>1131</v>
      </c>
      <c r="E1494">
        <v>473800</v>
      </c>
      <c r="F1494" t="s">
        <v>1453</v>
      </c>
    </row>
    <row r="1495" spans="1:6" x14ac:dyDescent="0.35">
      <c r="A1495">
        <v>20260301</v>
      </c>
      <c r="B1495" t="s">
        <v>1130</v>
      </c>
      <c r="C1495">
        <v>5400</v>
      </c>
      <c r="D1495" t="s">
        <v>1131</v>
      </c>
      <c r="E1495">
        <v>66805.8</v>
      </c>
      <c r="F1495" t="s">
        <v>1453</v>
      </c>
    </row>
    <row r="1496" spans="1:6" x14ac:dyDescent="0.35">
      <c r="A1496">
        <v>20260301</v>
      </c>
      <c r="B1496" t="s">
        <v>1130</v>
      </c>
      <c r="C1496">
        <v>6300</v>
      </c>
      <c r="D1496" t="s">
        <v>1131</v>
      </c>
      <c r="E1496">
        <v>87550</v>
      </c>
      <c r="F1496" t="s">
        <v>1453</v>
      </c>
    </row>
    <row r="1497" spans="1:6" x14ac:dyDescent="0.35">
      <c r="A1497">
        <v>20260301</v>
      </c>
      <c r="B1497" t="s">
        <v>1130</v>
      </c>
      <c r="C1497">
        <v>3900</v>
      </c>
      <c r="D1497" t="s">
        <v>1131</v>
      </c>
      <c r="E1497">
        <v>-669500</v>
      </c>
      <c r="F1497" t="s">
        <v>1453</v>
      </c>
    </row>
    <row r="1498" spans="1:6" x14ac:dyDescent="0.35">
      <c r="A1498">
        <v>20260301</v>
      </c>
      <c r="B1498" t="s">
        <v>1265</v>
      </c>
      <c r="C1498">
        <v>5100</v>
      </c>
      <c r="D1498" t="s">
        <v>485</v>
      </c>
      <c r="E1498">
        <v>92700</v>
      </c>
      <c r="F1498" t="s">
        <v>1453</v>
      </c>
    </row>
    <row r="1499" spans="1:6" x14ac:dyDescent="0.35">
      <c r="A1499">
        <v>20260301</v>
      </c>
      <c r="B1499" t="s">
        <v>1265</v>
      </c>
      <c r="C1499">
        <v>3400</v>
      </c>
      <c r="D1499" t="s">
        <v>485</v>
      </c>
      <c r="E1499">
        <v>-92700</v>
      </c>
      <c r="F1499" t="s">
        <v>1453</v>
      </c>
    </row>
    <row r="1500" spans="1:6" x14ac:dyDescent="0.35">
      <c r="A1500">
        <v>20260301</v>
      </c>
      <c r="B1500" t="s">
        <v>1173</v>
      </c>
      <c r="C1500">
        <v>5000</v>
      </c>
      <c r="D1500" t="s">
        <v>1131</v>
      </c>
      <c r="E1500">
        <v>473800</v>
      </c>
      <c r="F1500" t="s">
        <v>1453</v>
      </c>
    </row>
    <row r="1501" spans="1:6" x14ac:dyDescent="0.35">
      <c r="A1501">
        <v>20260301</v>
      </c>
      <c r="B1501" t="s">
        <v>1173</v>
      </c>
      <c r="C1501">
        <v>5400</v>
      </c>
      <c r="D1501" t="s">
        <v>1131</v>
      </c>
      <c r="E1501">
        <v>66805.8</v>
      </c>
      <c r="F1501" t="s">
        <v>1453</v>
      </c>
    </row>
    <row r="1502" spans="1:6" x14ac:dyDescent="0.35">
      <c r="A1502">
        <v>20260301</v>
      </c>
      <c r="B1502" t="s">
        <v>1173</v>
      </c>
      <c r="C1502">
        <v>6300</v>
      </c>
      <c r="D1502" t="s">
        <v>1131</v>
      </c>
      <c r="E1502">
        <v>87550</v>
      </c>
      <c r="F1502" t="s">
        <v>1453</v>
      </c>
    </row>
    <row r="1503" spans="1:6" x14ac:dyDescent="0.35">
      <c r="A1503">
        <v>20260301</v>
      </c>
      <c r="B1503" t="s">
        <v>1173</v>
      </c>
      <c r="C1503">
        <v>3900</v>
      </c>
      <c r="D1503" t="s">
        <v>1131</v>
      </c>
      <c r="E1503">
        <v>-669500</v>
      </c>
      <c r="F1503" t="s">
        <v>1453</v>
      </c>
    </row>
    <row r="1504" spans="1:6" x14ac:dyDescent="0.35">
      <c r="A1504">
        <v>20260301</v>
      </c>
      <c r="B1504" t="s">
        <v>1255</v>
      </c>
      <c r="C1504">
        <v>5100</v>
      </c>
      <c r="D1504" t="s">
        <v>485</v>
      </c>
      <c r="E1504">
        <v>92700</v>
      </c>
      <c r="F1504" t="s">
        <v>1453</v>
      </c>
    </row>
    <row r="1505" spans="1:6" x14ac:dyDescent="0.35">
      <c r="A1505">
        <v>20260301</v>
      </c>
      <c r="B1505" t="s">
        <v>1255</v>
      </c>
      <c r="C1505">
        <v>3400</v>
      </c>
      <c r="D1505" t="s">
        <v>485</v>
      </c>
      <c r="E1505">
        <v>-92700</v>
      </c>
      <c r="F1505" t="s">
        <v>1453</v>
      </c>
    </row>
    <row r="1506" spans="1:6" x14ac:dyDescent="0.35">
      <c r="A1506">
        <v>20260301</v>
      </c>
      <c r="B1506" t="s">
        <v>1155</v>
      </c>
      <c r="C1506">
        <v>5000</v>
      </c>
      <c r="D1506" t="s">
        <v>1131</v>
      </c>
      <c r="E1506">
        <v>473800</v>
      </c>
      <c r="F1506" t="s">
        <v>1453</v>
      </c>
    </row>
    <row r="1507" spans="1:6" x14ac:dyDescent="0.35">
      <c r="A1507">
        <v>20260301</v>
      </c>
      <c r="B1507" t="s">
        <v>1155</v>
      </c>
      <c r="C1507">
        <v>5400</v>
      </c>
      <c r="D1507" t="s">
        <v>1131</v>
      </c>
      <c r="E1507">
        <v>66805.8</v>
      </c>
      <c r="F1507" t="s">
        <v>1453</v>
      </c>
    </row>
    <row r="1508" spans="1:6" x14ac:dyDescent="0.35">
      <c r="A1508">
        <v>20260301</v>
      </c>
      <c r="B1508" t="s">
        <v>1155</v>
      </c>
      <c r="C1508">
        <v>6300</v>
      </c>
      <c r="D1508" t="s">
        <v>1131</v>
      </c>
      <c r="E1508">
        <v>87550</v>
      </c>
      <c r="F1508" t="s">
        <v>1453</v>
      </c>
    </row>
    <row r="1509" spans="1:6" x14ac:dyDescent="0.35">
      <c r="A1509">
        <v>20260301</v>
      </c>
      <c r="B1509" t="s">
        <v>1155</v>
      </c>
      <c r="C1509">
        <v>3900</v>
      </c>
      <c r="D1509" t="s">
        <v>1131</v>
      </c>
      <c r="E1509">
        <v>-669500</v>
      </c>
      <c r="F1509" t="s">
        <v>1453</v>
      </c>
    </row>
    <row r="1510" spans="1:6" x14ac:dyDescent="0.35">
      <c r="A1510">
        <v>20260301</v>
      </c>
      <c r="B1510" t="s">
        <v>1138</v>
      </c>
      <c r="C1510">
        <v>5000</v>
      </c>
      <c r="D1510" t="s">
        <v>1131</v>
      </c>
      <c r="E1510">
        <v>473800</v>
      </c>
      <c r="F1510" t="s">
        <v>1453</v>
      </c>
    </row>
    <row r="1511" spans="1:6" x14ac:dyDescent="0.35">
      <c r="A1511">
        <v>20260301</v>
      </c>
      <c r="B1511" t="s">
        <v>1138</v>
      </c>
      <c r="C1511">
        <v>5400</v>
      </c>
      <c r="D1511" t="s">
        <v>1131</v>
      </c>
      <c r="E1511">
        <v>66805.8</v>
      </c>
      <c r="F1511" t="s">
        <v>1453</v>
      </c>
    </row>
    <row r="1512" spans="1:6" x14ac:dyDescent="0.35">
      <c r="A1512">
        <v>20260301</v>
      </c>
      <c r="B1512" t="s">
        <v>1138</v>
      </c>
      <c r="C1512">
        <v>6300</v>
      </c>
      <c r="D1512" t="s">
        <v>1131</v>
      </c>
      <c r="E1512">
        <v>87550</v>
      </c>
      <c r="F1512" t="s">
        <v>1453</v>
      </c>
    </row>
    <row r="1513" spans="1:6" x14ac:dyDescent="0.35">
      <c r="A1513">
        <v>20260301</v>
      </c>
      <c r="B1513" t="s">
        <v>1138</v>
      </c>
      <c r="C1513">
        <v>3900</v>
      </c>
      <c r="D1513" t="s">
        <v>1131</v>
      </c>
      <c r="E1513">
        <v>-669500</v>
      </c>
      <c r="F1513" t="s">
        <v>1453</v>
      </c>
    </row>
    <row r="1514" spans="1:6" x14ac:dyDescent="0.35">
      <c r="A1514">
        <v>20260401</v>
      </c>
      <c r="B1514" t="s">
        <v>1150</v>
      </c>
      <c r="C1514">
        <v>5000</v>
      </c>
      <c r="D1514" t="s">
        <v>1131</v>
      </c>
      <c r="E1514">
        <v>473800</v>
      </c>
      <c r="F1514" t="s">
        <v>1453</v>
      </c>
    </row>
    <row r="1515" spans="1:6" x14ac:dyDescent="0.35">
      <c r="A1515">
        <v>20260401</v>
      </c>
      <c r="B1515" t="s">
        <v>1150</v>
      </c>
      <c r="C1515">
        <v>5400</v>
      </c>
      <c r="D1515" t="s">
        <v>1131</v>
      </c>
      <c r="E1515">
        <v>66805.8</v>
      </c>
      <c r="F1515" t="s">
        <v>1453</v>
      </c>
    </row>
    <row r="1516" spans="1:6" x14ac:dyDescent="0.35">
      <c r="A1516">
        <v>20260401</v>
      </c>
      <c r="B1516" t="s">
        <v>1150</v>
      </c>
      <c r="C1516">
        <v>6300</v>
      </c>
      <c r="D1516" t="s">
        <v>1131</v>
      </c>
      <c r="E1516">
        <v>87550</v>
      </c>
      <c r="F1516" t="s">
        <v>1453</v>
      </c>
    </row>
    <row r="1517" spans="1:6" x14ac:dyDescent="0.35">
      <c r="A1517">
        <v>20260401</v>
      </c>
      <c r="B1517" t="s">
        <v>1150</v>
      </c>
      <c r="C1517">
        <v>3900</v>
      </c>
      <c r="D1517" t="s">
        <v>1131</v>
      </c>
      <c r="E1517">
        <v>-669500</v>
      </c>
      <c r="F1517" t="s">
        <v>1453</v>
      </c>
    </row>
    <row r="1518" spans="1:6" x14ac:dyDescent="0.35">
      <c r="A1518">
        <v>20260401</v>
      </c>
      <c r="B1518" t="s">
        <v>1272</v>
      </c>
      <c r="C1518">
        <v>5100</v>
      </c>
      <c r="D1518" t="s">
        <v>485</v>
      </c>
      <c r="E1518">
        <v>92700</v>
      </c>
      <c r="F1518" t="s">
        <v>1453</v>
      </c>
    </row>
    <row r="1519" spans="1:6" x14ac:dyDescent="0.35">
      <c r="A1519">
        <v>20260401</v>
      </c>
      <c r="B1519" t="s">
        <v>1272</v>
      </c>
      <c r="C1519">
        <v>3400</v>
      </c>
      <c r="D1519" t="s">
        <v>485</v>
      </c>
      <c r="E1519">
        <v>-92700</v>
      </c>
      <c r="F1519" t="s">
        <v>1453</v>
      </c>
    </row>
    <row r="1520" spans="1:6" x14ac:dyDescent="0.35">
      <c r="A1520">
        <v>20260401</v>
      </c>
      <c r="B1520" t="s">
        <v>1158</v>
      </c>
      <c r="C1520">
        <v>5000</v>
      </c>
      <c r="D1520" t="s">
        <v>1131</v>
      </c>
      <c r="E1520">
        <v>473800</v>
      </c>
      <c r="F1520" t="s">
        <v>1453</v>
      </c>
    </row>
    <row r="1521" spans="1:6" x14ac:dyDescent="0.35">
      <c r="A1521">
        <v>20260401</v>
      </c>
      <c r="B1521" t="s">
        <v>1158</v>
      </c>
      <c r="C1521">
        <v>5400</v>
      </c>
      <c r="D1521" t="s">
        <v>1131</v>
      </c>
      <c r="E1521">
        <v>66805.8</v>
      </c>
      <c r="F1521" t="s">
        <v>1453</v>
      </c>
    </row>
    <row r="1522" spans="1:6" x14ac:dyDescent="0.35">
      <c r="A1522">
        <v>20260401</v>
      </c>
      <c r="B1522" t="s">
        <v>1158</v>
      </c>
      <c r="C1522">
        <v>6300</v>
      </c>
      <c r="D1522" t="s">
        <v>1131</v>
      </c>
      <c r="E1522">
        <v>87550</v>
      </c>
      <c r="F1522" t="s">
        <v>1453</v>
      </c>
    </row>
    <row r="1523" spans="1:6" x14ac:dyDescent="0.35">
      <c r="A1523">
        <v>20260401</v>
      </c>
      <c r="B1523" t="s">
        <v>1158</v>
      </c>
      <c r="C1523">
        <v>3900</v>
      </c>
      <c r="D1523" t="s">
        <v>1131</v>
      </c>
      <c r="E1523">
        <v>-669500</v>
      </c>
      <c r="F1523" t="s">
        <v>1453</v>
      </c>
    </row>
    <row r="1524" spans="1:6" x14ac:dyDescent="0.35">
      <c r="A1524">
        <v>20260401</v>
      </c>
      <c r="B1524" t="s">
        <v>1243</v>
      </c>
      <c r="C1524">
        <v>5100</v>
      </c>
      <c r="D1524" t="s">
        <v>485</v>
      </c>
      <c r="E1524">
        <v>92700</v>
      </c>
      <c r="F1524" t="s">
        <v>1453</v>
      </c>
    </row>
    <row r="1525" spans="1:6" x14ac:dyDescent="0.35">
      <c r="A1525">
        <v>20260401</v>
      </c>
      <c r="B1525" t="s">
        <v>1243</v>
      </c>
      <c r="C1525">
        <v>3400</v>
      </c>
      <c r="D1525" t="s">
        <v>485</v>
      </c>
      <c r="E1525">
        <v>-92700</v>
      </c>
      <c r="F1525" t="s">
        <v>1453</v>
      </c>
    </row>
    <row r="1526" spans="1:6" x14ac:dyDescent="0.35">
      <c r="A1526">
        <v>20260401</v>
      </c>
      <c r="B1526" t="s">
        <v>1205</v>
      </c>
      <c r="C1526">
        <v>5000</v>
      </c>
      <c r="D1526" t="s">
        <v>1131</v>
      </c>
      <c r="E1526">
        <v>473800</v>
      </c>
      <c r="F1526" t="s">
        <v>1453</v>
      </c>
    </row>
    <row r="1527" spans="1:6" x14ac:dyDescent="0.35">
      <c r="A1527">
        <v>20260401</v>
      </c>
      <c r="B1527" t="s">
        <v>1205</v>
      </c>
      <c r="C1527">
        <v>5400</v>
      </c>
      <c r="D1527" t="s">
        <v>1131</v>
      </c>
      <c r="E1527">
        <v>66805.8</v>
      </c>
      <c r="F1527" t="s">
        <v>1453</v>
      </c>
    </row>
    <row r="1528" spans="1:6" x14ac:dyDescent="0.35">
      <c r="A1528">
        <v>20260401</v>
      </c>
      <c r="B1528" t="s">
        <v>1205</v>
      </c>
      <c r="C1528">
        <v>6300</v>
      </c>
      <c r="D1528" t="s">
        <v>1131</v>
      </c>
      <c r="E1528">
        <v>87550</v>
      </c>
      <c r="F1528" t="s">
        <v>1453</v>
      </c>
    </row>
    <row r="1529" spans="1:6" x14ac:dyDescent="0.35">
      <c r="A1529">
        <v>20260401</v>
      </c>
      <c r="B1529" t="s">
        <v>1205</v>
      </c>
      <c r="C1529">
        <v>3900</v>
      </c>
      <c r="D1529" t="s">
        <v>1131</v>
      </c>
      <c r="E1529">
        <v>-669500</v>
      </c>
      <c r="F1529" t="s">
        <v>1453</v>
      </c>
    </row>
    <row r="1530" spans="1:6" x14ac:dyDescent="0.35">
      <c r="A1530">
        <v>20260401</v>
      </c>
      <c r="B1530" t="s">
        <v>1257</v>
      </c>
      <c r="C1530">
        <v>5100</v>
      </c>
      <c r="D1530" t="s">
        <v>485</v>
      </c>
      <c r="E1530">
        <v>92700</v>
      </c>
      <c r="F1530" t="s">
        <v>1453</v>
      </c>
    </row>
    <row r="1531" spans="1:6" x14ac:dyDescent="0.35">
      <c r="A1531">
        <v>20260401</v>
      </c>
      <c r="B1531" t="s">
        <v>1257</v>
      </c>
      <c r="C1531">
        <v>3400</v>
      </c>
      <c r="D1531" t="s">
        <v>485</v>
      </c>
      <c r="E1531">
        <v>-92700</v>
      </c>
      <c r="F1531" t="s">
        <v>1453</v>
      </c>
    </row>
    <row r="1532" spans="1:6" x14ac:dyDescent="0.35">
      <c r="A1532">
        <v>20260401</v>
      </c>
      <c r="B1532" t="s">
        <v>1164</v>
      </c>
      <c r="C1532">
        <v>5000</v>
      </c>
      <c r="D1532" t="s">
        <v>1131</v>
      </c>
      <c r="E1532">
        <v>473800</v>
      </c>
      <c r="F1532" t="s">
        <v>1453</v>
      </c>
    </row>
    <row r="1533" spans="1:6" x14ac:dyDescent="0.35">
      <c r="A1533">
        <v>20260401</v>
      </c>
      <c r="B1533" t="s">
        <v>1164</v>
      </c>
      <c r="C1533">
        <v>5400</v>
      </c>
      <c r="D1533" t="s">
        <v>1131</v>
      </c>
      <c r="E1533">
        <v>66805.8</v>
      </c>
      <c r="F1533" t="s">
        <v>1453</v>
      </c>
    </row>
    <row r="1534" spans="1:6" x14ac:dyDescent="0.35">
      <c r="A1534">
        <v>20260401</v>
      </c>
      <c r="B1534" t="s">
        <v>1164</v>
      </c>
      <c r="C1534">
        <v>6300</v>
      </c>
      <c r="D1534" t="s">
        <v>1131</v>
      </c>
      <c r="E1534">
        <v>87550</v>
      </c>
      <c r="F1534" t="s">
        <v>1453</v>
      </c>
    </row>
    <row r="1535" spans="1:6" x14ac:dyDescent="0.35">
      <c r="A1535">
        <v>20260401</v>
      </c>
      <c r="B1535" t="s">
        <v>1164</v>
      </c>
      <c r="C1535">
        <v>3900</v>
      </c>
      <c r="D1535" t="s">
        <v>1131</v>
      </c>
      <c r="E1535">
        <v>-669500</v>
      </c>
      <c r="F1535" t="s">
        <v>1453</v>
      </c>
    </row>
    <row r="1536" spans="1:6" x14ac:dyDescent="0.35">
      <c r="A1536">
        <v>20260401</v>
      </c>
      <c r="B1536" t="s">
        <v>1249</v>
      </c>
      <c r="C1536">
        <v>5100</v>
      </c>
      <c r="D1536" t="s">
        <v>485</v>
      </c>
      <c r="E1536">
        <v>92700</v>
      </c>
      <c r="F1536" t="s">
        <v>1453</v>
      </c>
    </row>
    <row r="1537" spans="1:6" x14ac:dyDescent="0.35">
      <c r="A1537">
        <v>20260401</v>
      </c>
      <c r="B1537" t="s">
        <v>1249</v>
      </c>
      <c r="C1537">
        <v>3400</v>
      </c>
      <c r="D1537" t="s">
        <v>485</v>
      </c>
      <c r="E1537">
        <v>-92700</v>
      </c>
      <c r="F1537" t="s">
        <v>1453</v>
      </c>
    </row>
    <row r="1538" spans="1:6" x14ac:dyDescent="0.35">
      <c r="A1538">
        <v>20260401</v>
      </c>
      <c r="B1538" t="s">
        <v>1169</v>
      </c>
      <c r="C1538">
        <v>5000</v>
      </c>
      <c r="D1538" t="s">
        <v>1131</v>
      </c>
      <c r="E1538">
        <v>473800</v>
      </c>
      <c r="F1538" t="s">
        <v>1453</v>
      </c>
    </row>
    <row r="1539" spans="1:6" x14ac:dyDescent="0.35">
      <c r="A1539">
        <v>20260401</v>
      </c>
      <c r="B1539" t="s">
        <v>1169</v>
      </c>
      <c r="C1539">
        <v>5400</v>
      </c>
      <c r="D1539" t="s">
        <v>1131</v>
      </c>
      <c r="E1539">
        <v>66805.8</v>
      </c>
      <c r="F1539" t="s">
        <v>1453</v>
      </c>
    </row>
    <row r="1540" spans="1:6" x14ac:dyDescent="0.35">
      <c r="A1540">
        <v>20260401</v>
      </c>
      <c r="B1540" t="s">
        <v>1169</v>
      </c>
      <c r="C1540">
        <v>6300</v>
      </c>
      <c r="D1540" t="s">
        <v>1131</v>
      </c>
      <c r="E1540">
        <v>87550</v>
      </c>
      <c r="F1540" t="s">
        <v>1453</v>
      </c>
    </row>
    <row r="1541" spans="1:6" x14ac:dyDescent="0.35">
      <c r="A1541">
        <v>20260401</v>
      </c>
      <c r="B1541" t="s">
        <v>1169</v>
      </c>
      <c r="C1541">
        <v>3900</v>
      </c>
      <c r="D1541" t="s">
        <v>1131</v>
      </c>
      <c r="E1541">
        <v>-669500</v>
      </c>
      <c r="F1541" t="s">
        <v>1453</v>
      </c>
    </row>
    <row r="1542" spans="1:6" x14ac:dyDescent="0.35">
      <c r="A1542">
        <v>20260401</v>
      </c>
      <c r="B1542" t="s">
        <v>1260</v>
      </c>
      <c r="C1542">
        <v>5100</v>
      </c>
      <c r="D1542" t="s">
        <v>485</v>
      </c>
      <c r="E1542">
        <v>92700</v>
      </c>
      <c r="F1542" t="s">
        <v>1453</v>
      </c>
    </row>
    <row r="1543" spans="1:6" x14ac:dyDescent="0.35">
      <c r="A1543">
        <v>20260401</v>
      </c>
      <c r="B1543" t="s">
        <v>1260</v>
      </c>
      <c r="C1543">
        <v>3400</v>
      </c>
      <c r="D1543" t="s">
        <v>485</v>
      </c>
      <c r="E1543">
        <v>-92700</v>
      </c>
      <c r="F1543" t="s">
        <v>1453</v>
      </c>
    </row>
    <row r="1544" spans="1:6" x14ac:dyDescent="0.35">
      <c r="A1544">
        <v>20260401</v>
      </c>
      <c r="B1544" t="s">
        <v>1175</v>
      </c>
      <c r="C1544">
        <v>5000</v>
      </c>
      <c r="D1544" t="s">
        <v>1131</v>
      </c>
      <c r="E1544">
        <v>473800</v>
      </c>
      <c r="F1544" t="s">
        <v>1453</v>
      </c>
    </row>
    <row r="1545" spans="1:6" x14ac:dyDescent="0.35">
      <c r="A1545">
        <v>20260401</v>
      </c>
      <c r="B1545" t="s">
        <v>1175</v>
      </c>
      <c r="C1545">
        <v>5400</v>
      </c>
      <c r="D1545" t="s">
        <v>1131</v>
      </c>
      <c r="E1545">
        <v>66805.8</v>
      </c>
      <c r="F1545" t="s">
        <v>1453</v>
      </c>
    </row>
    <row r="1546" spans="1:6" x14ac:dyDescent="0.35">
      <c r="A1546">
        <v>20260401</v>
      </c>
      <c r="B1546" t="s">
        <v>1175</v>
      </c>
      <c r="C1546">
        <v>6300</v>
      </c>
      <c r="D1546" t="s">
        <v>1131</v>
      </c>
      <c r="E1546">
        <v>87550</v>
      </c>
      <c r="F1546" t="s">
        <v>1453</v>
      </c>
    </row>
    <row r="1547" spans="1:6" x14ac:dyDescent="0.35">
      <c r="A1547">
        <v>20260401</v>
      </c>
      <c r="B1547" t="s">
        <v>1175</v>
      </c>
      <c r="C1547">
        <v>3900</v>
      </c>
      <c r="D1547" t="s">
        <v>1131</v>
      </c>
      <c r="E1547">
        <v>-669500</v>
      </c>
      <c r="F1547" t="s">
        <v>1453</v>
      </c>
    </row>
    <row r="1548" spans="1:6" x14ac:dyDescent="0.35">
      <c r="A1548">
        <v>20260401</v>
      </c>
      <c r="B1548" t="s">
        <v>1247</v>
      </c>
      <c r="C1548">
        <v>5100</v>
      </c>
      <c r="D1548" t="s">
        <v>485</v>
      </c>
      <c r="E1548">
        <v>92700</v>
      </c>
      <c r="F1548" t="s">
        <v>1453</v>
      </c>
    </row>
    <row r="1549" spans="1:6" x14ac:dyDescent="0.35">
      <c r="A1549">
        <v>20260401</v>
      </c>
      <c r="B1549" t="s">
        <v>1247</v>
      </c>
      <c r="C1549">
        <v>3400</v>
      </c>
      <c r="D1549" t="s">
        <v>485</v>
      </c>
      <c r="E1549">
        <v>-92700</v>
      </c>
      <c r="F1549" t="s">
        <v>1453</v>
      </c>
    </row>
    <row r="1550" spans="1:6" x14ac:dyDescent="0.35">
      <c r="A1550">
        <v>20260401</v>
      </c>
      <c r="B1550" t="s">
        <v>1130</v>
      </c>
      <c r="C1550">
        <v>5000</v>
      </c>
      <c r="D1550" t="s">
        <v>1131</v>
      </c>
      <c r="E1550">
        <v>473800</v>
      </c>
      <c r="F1550" t="s">
        <v>1453</v>
      </c>
    </row>
    <row r="1551" spans="1:6" x14ac:dyDescent="0.35">
      <c r="A1551">
        <v>20260401</v>
      </c>
      <c r="B1551" t="s">
        <v>1130</v>
      </c>
      <c r="C1551">
        <v>5400</v>
      </c>
      <c r="D1551" t="s">
        <v>1131</v>
      </c>
      <c r="E1551">
        <v>66805.8</v>
      </c>
      <c r="F1551" t="s">
        <v>1453</v>
      </c>
    </row>
    <row r="1552" spans="1:6" x14ac:dyDescent="0.35">
      <c r="A1552">
        <v>20260401</v>
      </c>
      <c r="B1552" t="s">
        <v>1130</v>
      </c>
      <c r="C1552">
        <v>6300</v>
      </c>
      <c r="D1552" t="s">
        <v>1131</v>
      </c>
      <c r="E1552">
        <v>87550</v>
      </c>
      <c r="F1552" t="s">
        <v>1453</v>
      </c>
    </row>
    <row r="1553" spans="1:6" x14ac:dyDescent="0.35">
      <c r="A1553">
        <v>20260401</v>
      </c>
      <c r="B1553" t="s">
        <v>1130</v>
      </c>
      <c r="C1553">
        <v>3900</v>
      </c>
      <c r="D1553" t="s">
        <v>1131</v>
      </c>
      <c r="E1553">
        <v>-669500</v>
      </c>
      <c r="F1553" t="s">
        <v>1453</v>
      </c>
    </row>
    <row r="1554" spans="1:6" x14ac:dyDescent="0.35">
      <c r="A1554">
        <v>20260401</v>
      </c>
      <c r="B1554" t="s">
        <v>1265</v>
      </c>
      <c r="C1554">
        <v>5100</v>
      </c>
      <c r="D1554" t="s">
        <v>485</v>
      </c>
      <c r="E1554">
        <v>92700</v>
      </c>
      <c r="F1554" t="s">
        <v>1453</v>
      </c>
    </row>
    <row r="1555" spans="1:6" x14ac:dyDescent="0.35">
      <c r="A1555">
        <v>20260401</v>
      </c>
      <c r="B1555" t="s">
        <v>1265</v>
      </c>
      <c r="C1555">
        <v>3400</v>
      </c>
      <c r="D1555" t="s">
        <v>485</v>
      </c>
      <c r="E1555">
        <v>-92700</v>
      </c>
      <c r="F1555" t="s">
        <v>1453</v>
      </c>
    </row>
    <row r="1556" spans="1:6" x14ac:dyDescent="0.35">
      <c r="A1556">
        <v>20260401</v>
      </c>
      <c r="B1556" t="s">
        <v>1173</v>
      </c>
      <c r="C1556">
        <v>5000</v>
      </c>
      <c r="D1556" t="s">
        <v>1131</v>
      </c>
      <c r="E1556">
        <v>473800</v>
      </c>
      <c r="F1556" t="s">
        <v>1453</v>
      </c>
    </row>
    <row r="1557" spans="1:6" x14ac:dyDescent="0.35">
      <c r="A1557">
        <v>20260401</v>
      </c>
      <c r="B1557" t="s">
        <v>1173</v>
      </c>
      <c r="C1557">
        <v>5400</v>
      </c>
      <c r="D1557" t="s">
        <v>1131</v>
      </c>
      <c r="E1557">
        <v>66805.8</v>
      </c>
      <c r="F1557" t="s">
        <v>1453</v>
      </c>
    </row>
    <row r="1558" spans="1:6" x14ac:dyDescent="0.35">
      <c r="A1558">
        <v>20260401</v>
      </c>
      <c r="B1558" t="s">
        <v>1173</v>
      </c>
      <c r="C1558">
        <v>6300</v>
      </c>
      <c r="D1558" t="s">
        <v>1131</v>
      </c>
      <c r="E1558">
        <v>87550</v>
      </c>
      <c r="F1558" t="s">
        <v>1453</v>
      </c>
    </row>
    <row r="1559" spans="1:6" x14ac:dyDescent="0.35">
      <c r="A1559">
        <v>20260401</v>
      </c>
      <c r="B1559" t="s">
        <v>1173</v>
      </c>
      <c r="C1559">
        <v>3900</v>
      </c>
      <c r="D1559" t="s">
        <v>1131</v>
      </c>
      <c r="E1559">
        <v>-669500</v>
      </c>
      <c r="F1559" t="s">
        <v>1453</v>
      </c>
    </row>
    <row r="1560" spans="1:6" x14ac:dyDescent="0.35">
      <c r="A1560">
        <v>20260401</v>
      </c>
      <c r="B1560" t="s">
        <v>1255</v>
      </c>
      <c r="C1560">
        <v>5100</v>
      </c>
      <c r="D1560" t="s">
        <v>485</v>
      </c>
      <c r="E1560">
        <v>92700</v>
      </c>
      <c r="F1560" t="s">
        <v>1453</v>
      </c>
    </row>
    <row r="1561" spans="1:6" x14ac:dyDescent="0.35">
      <c r="A1561">
        <v>20260401</v>
      </c>
      <c r="B1561" t="s">
        <v>1255</v>
      </c>
      <c r="C1561">
        <v>3400</v>
      </c>
      <c r="D1561" t="s">
        <v>485</v>
      </c>
      <c r="E1561">
        <v>-92700</v>
      </c>
      <c r="F1561" t="s">
        <v>1453</v>
      </c>
    </row>
    <row r="1562" spans="1:6" x14ac:dyDescent="0.35">
      <c r="A1562">
        <v>20260401</v>
      </c>
      <c r="B1562" t="s">
        <v>1155</v>
      </c>
      <c r="C1562">
        <v>5000</v>
      </c>
      <c r="D1562" t="s">
        <v>1131</v>
      </c>
      <c r="E1562">
        <v>473800</v>
      </c>
      <c r="F1562" t="s">
        <v>1453</v>
      </c>
    </row>
    <row r="1563" spans="1:6" x14ac:dyDescent="0.35">
      <c r="A1563">
        <v>20260401</v>
      </c>
      <c r="B1563" t="s">
        <v>1155</v>
      </c>
      <c r="C1563">
        <v>5400</v>
      </c>
      <c r="D1563" t="s">
        <v>1131</v>
      </c>
      <c r="E1563">
        <v>66805.8</v>
      </c>
      <c r="F1563" t="s">
        <v>1453</v>
      </c>
    </row>
    <row r="1564" spans="1:6" x14ac:dyDescent="0.35">
      <c r="A1564">
        <v>20260401</v>
      </c>
      <c r="B1564" t="s">
        <v>1155</v>
      </c>
      <c r="C1564">
        <v>6300</v>
      </c>
      <c r="D1564" t="s">
        <v>1131</v>
      </c>
      <c r="E1564">
        <v>87550</v>
      </c>
      <c r="F1564" t="s">
        <v>1453</v>
      </c>
    </row>
    <row r="1565" spans="1:6" x14ac:dyDescent="0.35">
      <c r="A1565">
        <v>20260401</v>
      </c>
      <c r="B1565" t="s">
        <v>1155</v>
      </c>
      <c r="C1565">
        <v>3900</v>
      </c>
      <c r="D1565" t="s">
        <v>1131</v>
      </c>
      <c r="E1565">
        <v>-669500</v>
      </c>
      <c r="F1565" t="s">
        <v>1453</v>
      </c>
    </row>
    <row r="1566" spans="1:6" x14ac:dyDescent="0.35">
      <c r="A1566">
        <v>20260401</v>
      </c>
      <c r="B1566" t="s">
        <v>1138</v>
      </c>
      <c r="C1566">
        <v>5000</v>
      </c>
      <c r="D1566" t="s">
        <v>1131</v>
      </c>
      <c r="E1566">
        <v>473800</v>
      </c>
      <c r="F1566" t="s">
        <v>1453</v>
      </c>
    </row>
    <row r="1567" spans="1:6" x14ac:dyDescent="0.35">
      <c r="A1567">
        <v>20260401</v>
      </c>
      <c r="B1567" t="s">
        <v>1138</v>
      </c>
      <c r="C1567">
        <v>5400</v>
      </c>
      <c r="D1567" t="s">
        <v>1131</v>
      </c>
      <c r="E1567">
        <v>66805.8</v>
      </c>
      <c r="F1567" t="s">
        <v>1453</v>
      </c>
    </row>
    <row r="1568" spans="1:6" x14ac:dyDescent="0.35">
      <c r="A1568">
        <v>20260401</v>
      </c>
      <c r="B1568" t="s">
        <v>1138</v>
      </c>
      <c r="C1568">
        <v>6300</v>
      </c>
      <c r="D1568" t="s">
        <v>1131</v>
      </c>
      <c r="E1568">
        <v>87550</v>
      </c>
      <c r="F1568" t="s">
        <v>1453</v>
      </c>
    </row>
    <row r="1569" spans="1:6" x14ac:dyDescent="0.35">
      <c r="A1569">
        <v>20260401</v>
      </c>
      <c r="B1569" t="s">
        <v>1138</v>
      </c>
      <c r="C1569">
        <v>3900</v>
      </c>
      <c r="D1569" t="s">
        <v>1131</v>
      </c>
      <c r="E1569">
        <v>-669500</v>
      </c>
      <c r="F1569" t="s">
        <v>1453</v>
      </c>
    </row>
    <row r="1570" spans="1:6" x14ac:dyDescent="0.35">
      <c r="A1570">
        <v>20260501</v>
      </c>
      <c r="B1570" t="s">
        <v>1150</v>
      </c>
      <c r="C1570">
        <v>5000</v>
      </c>
      <c r="D1570" t="s">
        <v>1131</v>
      </c>
      <c r="E1570">
        <v>473800</v>
      </c>
      <c r="F1570" t="s">
        <v>1453</v>
      </c>
    </row>
    <row r="1571" spans="1:6" x14ac:dyDescent="0.35">
      <c r="A1571">
        <v>20260501</v>
      </c>
      <c r="B1571" t="s">
        <v>1150</v>
      </c>
      <c r="C1571">
        <v>5400</v>
      </c>
      <c r="D1571" t="s">
        <v>1131</v>
      </c>
      <c r="E1571">
        <v>66805.8</v>
      </c>
      <c r="F1571" t="s">
        <v>1453</v>
      </c>
    </row>
    <row r="1572" spans="1:6" x14ac:dyDescent="0.35">
      <c r="A1572">
        <v>20260501</v>
      </c>
      <c r="B1572" t="s">
        <v>1150</v>
      </c>
      <c r="C1572">
        <v>6300</v>
      </c>
      <c r="D1572" t="s">
        <v>1131</v>
      </c>
      <c r="E1572">
        <v>87550</v>
      </c>
      <c r="F1572" t="s">
        <v>1453</v>
      </c>
    </row>
    <row r="1573" spans="1:6" x14ac:dyDescent="0.35">
      <c r="A1573">
        <v>20260501</v>
      </c>
      <c r="B1573" t="s">
        <v>1150</v>
      </c>
      <c r="C1573">
        <v>3900</v>
      </c>
      <c r="D1573" t="s">
        <v>1131</v>
      </c>
      <c r="E1573">
        <v>-669500</v>
      </c>
      <c r="F1573" t="s">
        <v>1453</v>
      </c>
    </row>
    <row r="1574" spans="1:6" x14ac:dyDescent="0.35">
      <c r="A1574">
        <v>20260501</v>
      </c>
      <c r="B1574" t="s">
        <v>1272</v>
      </c>
      <c r="C1574">
        <v>5100</v>
      </c>
      <c r="D1574" t="s">
        <v>485</v>
      </c>
      <c r="E1574">
        <v>92700</v>
      </c>
      <c r="F1574" t="s">
        <v>1453</v>
      </c>
    </row>
    <row r="1575" spans="1:6" x14ac:dyDescent="0.35">
      <c r="A1575">
        <v>20260501</v>
      </c>
      <c r="B1575" t="s">
        <v>1272</v>
      </c>
      <c r="C1575">
        <v>3400</v>
      </c>
      <c r="D1575" t="s">
        <v>485</v>
      </c>
      <c r="E1575">
        <v>-92700</v>
      </c>
      <c r="F1575" t="s">
        <v>1453</v>
      </c>
    </row>
    <row r="1576" spans="1:6" x14ac:dyDescent="0.35">
      <c r="A1576">
        <v>20260501</v>
      </c>
      <c r="B1576" t="s">
        <v>1158</v>
      </c>
      <c r="C1576">
        <v>5000</v>
      </c>
      <c r="D1576" t="s">
        <v>1131</v>
      </c>
      <c r="E1576">
        <v>473800</v>
      </c>
      <c r="F1576" t="s">
        <v>1453</v>
      </c>
    </row>
    <row r="1577" spans="1:6" x14ac:dyDescent="0.35">
      <c r="A1577">
        <v>20260501</v>
      </c>
      <c r="B1577" t="s">
        <v>1158</v>
      </c>
      <c r="C1577">
        <v>5400</v>
      </c>
      <c r="D1577" t="s">
        <v>1131</v>
      </c>
      <c r="E1577">
        <v>66805.8</v>
      </c>
      <c r="F1577" t="s">
        <v>1453</v>
      </c>
    </row>
    <row r="1578" spans="1:6" x14ac:dyDescent="0.35">
      <c r="A1578">
        <v>20260501</v>
      </c>
      <c r="B1578" t="s">
        <v>1158</v>
      </c>
      <c r="C1578">
        <v>6300</v>
      </c>
      <c r="D1578" t="s">
        <v>1131</v>
      </c>
      <c r="E1578">
        <v>87550</v>
      </c>
      <c r="F1578" t="s">
        <v>1453</v>
      </c>
    </row>
    <row r="1579" spans="1:6" x14ac:dyDescent="0.35">
      <c r="A1579">
        <v>20260501</v>
      </c>
      <c r="B1579" t="s">
        <v>1158</v>
      </c>
      <c r="C1579">
        <v>3900</v>
      </c>
      <c r="D1579" t="s">
        <v>1131</v>
      </c>
      <c r="E1579">
        <v>-669500</v>
      </c>
      <c r="F1579" t="s">
        <v>1453</v>
      </c>
    </row>
    <row r="1580" spans="1:6" x14ac:dyDescent="0.35">
      <c r="A1580">
        <v>20260501</v>
      </c>
      <c r="B1580" t="s">
        <v>1243</v>
      </c>
      <c r="C1580">
        <v>5100</v>
      </c>
      <c r="D1580" t="s">
        <v>485</v>
      </c>
      <c r="E1580">
        <v>92700</v>
      </c>
      <c r="F1580" t="s">
        <v>1453</v>
      </c>
    </row>
    <row r="1581" spans="1:6" x14ac:dyDescent="0.35">
      <c r="A1581">
        <v>20260501</v>
      </c>
      <c r="B1581" t="s">
        <v>1243</v>
      </c>
      <c r="C1581">
        <v>3400</v>
      </c>
      <c r="D1581" t="s">
        <v>485</v>
      </c>
      <c r="E1581">
        <v>-92700</v>
      </c>
      <c r="F1581" t="s">
        <v>1453</v>
      </c>
    </row>
    <row r="1582" spans="1:6" x14ac:dyDescent="0.35">
      <c r="A1582">
        <v>20260501</v>
      </c>
      <c r="B1582" t="s">
        <v>1205</v>
      </c>
      <c r="C1582">
        <v>5000</v>
      </c>
      <c r="D1582" t="s">
        <v>1131</v>
      </c>
      <c r="E1582">
        <v>473800</v>
      </c>
      <c r="F1582" t="s">
        <v>1453</v>
      </c>
    </row>
    <row r="1583" spans="1:6" x14ac:dyDescent="0.35">
      <c r="A1583">
        <v>20260501</v>
      </c>
      <c r="B1583" t="s">
        <v>1205</v>
      </c>
      <c r="C1583">
        <v>5400</v>
      </c>
      <c r="D1583" t="s">
        <v>1131</v>
      </c>
      <c r="E1583">
        <v>66805.8</v>
      </c>
      <c r="F1583" t="s">
        <v>1453</v>
      </c>
    </row>
    <row r="1584" spans="1:6" x14ac:dyDescent="0.35">
      <c r="A1584">
        <v>20260501</v>
      </c>
      <c r="B1584" t="s">
        <v>1205</v>
      </c>
      <c r="C1584">
        <v>6300</v>
      </c>
      <c r="D1584" t="s">
        <v>1131</v>
      </c>
      <c r="E1584">
        <v>87550</v>
      </c>
      <c r="F1584" t="s">
        <v>1453</v>
      </c>
    </row>
    <row r="1585" spans="1:6" x14ac:dyDescent="0.35">
      <c r="A1585">
        <v>20260501</v>
      </c>
      <c r="B1585" t="s">
        <v>1205</v>
      </c>
      <c r="C1585">
        <v>3900</v>
      </c>
      <c r="D1585" t="s">
        <v>1131</v>
      </c>
      <c r="E1585">
        <v>-669500</v>
      </c>
      <c r="F1585" t="s">
        <v>1453</v>
      </c>
    </row>
    <row r="1586" spans="1:6" x14ac:dyDescent="0.35">
      <c r="A1586">
        <v>20260501</v>
      </c>
      <c r="B1586" t="s">
        <v>1257</v>
      </c>
      <c r="C1586">
        <v>5100</v>
      </c>
      <c r="D1586" t="s">
        <v>485</v>
      </c>
      <c r="E1586">
        <v>92700</v>
      </c>
      <c r="F1586" t="s">
        <v>1453</v>
      </c>
    </row>
    <row r="1587" spans="1:6" x14ac:dyDescent="0.35">
      <c r="A1587">
        <v>20260501</v>
      </c>
      <c r="B1587" t="s">
        <v>1257</v>
      </c>
      <c r="C1587">
        <v>3400</v>
      </c>
      <c r="D1587" t="s">
        <v>485</v>
      </c>
      <c r="E1587">
        <v>-92700</v>
      </c>
      <c r="F1587" t="s">
        <v>1453</v>
      </c>
    </row>
    <row r="1588" spans="1:6" x14ac:dyDescent="0.35">
      <c r="A1588">
        <v>20260501</v>
      </c>
      <c r="B1588" t="s">
        <v>1164</v>
      </c>
      <c r="C1588">
        <v>5000</v>
      </c>
      <c r="D1588" t="s">
        <v>1131</v>
      </c>
      <c r="E1588">
        <v>473800</v>
      </c>
      <c r="F1588" t="s">
        <v>1453</v>
      </c>
    </row>
    <row r="1589" spans="1:6" x14ac:dyDescent="0.35">
      <c r="A1589">
        <v>20260501</v>
      </c>
      <c r="B1589" t="s">
        <v>1164</v>
      </c>
      <c r="C1589">
        <v>5400</v>
      </c>
      <c r="D1589" t="s">
        <v>1131</v>
      </c>
      <c r="E1589">
        <v>66805.8</v>
      </c>
      <c r="F1589" t="s">
        <v>1453</v>
      </c>
    </row>
    <row r="1590" spans="1:6" x14ac:dyDescent="0.35">
      <c r="A1590">
        <v>20260501</v>
      </c>
      <c r="B1590" t="s">
        <v>1164</v>
      </c>
      <c r="C1590">
        <v>6300</v>
      </c>
      <c r="D1590" t="s">
        <v>1131</v>
      </c>
      <c r="E1590">
        <v>87550</v>
      </c>
      <c r="F1590" t="s">
        <v>1453</v>
      </c>
    </row>
    <row r="1591" spans="1:6" x14ac:dyDescent="0.35">
      <c r="A1591">
        <v>20260501</v>
      </c>
      <c r="B1591" t="s">
        <v>1164</v>
      </c>
      <c r="C1591">
        <v>3900</v>
      </c>
      <c r="D1591" t="s">
        <v>1131</v>
      </c>
      <c r="E1591">
        <v>-669500</v>
      </c>
      <c r="F1591" t="s">
        <v>1453</v>
      </c>
    </row>
    <row r="1592" spans="1:6" x14ac:dyDescent="0.35">
      <c r="A1592">
        <v>20260501</v>
      </c>
      <c r="B1592" t="s">
        <v>1249</v>
      </c>
      <c r="C1592">
        <v>5100</v>
      </c>
      <c r="D1592" t="s">
        <v>485</v>
      </c>
      <c r="E1592">
        <v>92700</v>
      </c>
      <c r="F1592" t="s">
        <v>1453</v>
      </c>
    </row>
    <row r="1593" spans="1:6" x14ac:dyDescent="0.35">
      <c r="A1593">
        <v>20260501</v>
      </c>
      <c r="B1593" t="s">
        <v>1249</v>
      </c>
      <c r="C1593">
        <v>3400</v>
      </c>
      <c r="D1593" t="s">
        <v>485</v>
      </c>
      <c r="E1593">
        <v>-92700</v>
      </c>
      <c r="F1593" t="s">
        <v>1453</v>
      </c>
    </row>
    <row r="1594" spans="1:6" x14ac:dyDescent="0.35">
      <c r="A1594">
        <v>20260501</v>
      </c>
      <c r="B1594" t="s">
        <v>1169</v>
      </c>
      <c r="C1594">
        <v>5000</v>
      </c>
      <c r="D1594" t="s">
        <v>1131</v>
      </c>
      <c r="E1594">
        <v>473800</v>
      </c>
      <c r="F1594" t="s">
        <v>1453</v>
      </c>
    </row>
    <row r="1595" spans="1:6" x14ac:dyDescent="0.35">
      <c r="A1595">
        <v>20260501</v>
      </c>
      <c r="B1595" t="s">
        <v>1169</v>
      </c>
      <c r="C1595">
        <v>5400</v>
      </c>
      <c r="D1595" t="s">
        <v>1131</v>
      </c>
      <c r="E1595">
        <v>66805.8</v>
      </c>
      <c r="F1595" t="s">
        <v>1453</v>
      </c>
    </row>
    <row r="1596" spans="1:6" x14ac:dyDescent="0.35">
      <c r="A1596">
        <v>20260501</v>
      </c>
      <c r="B1596" t="s">
        <v>1169</v>
      </c>
      <c r="C1596">
        <v>6300</v>
      </c>
      <c r="D1596" t="s">
        <v>1131</v>
      </c>
      <c r="E1596">
        <v>87550</v>
      </c>
      <c r="F1596" t="s">
        <v>1453</v>
      </c>
    </row>
    <row r="1597" spans="1:6" x14ac:dyDescent="0.35">
      <c r="A1597">
        <v>20260501</v>
      </c>
      <c r="B1597" t="s">
        <v>1169</v>
      </c>
      <c r="C1597">
        <v>3900</v>
      </c>
      <c r="D1597" t="s">
        <v>1131</v>
      </c>
      <c r="E1597">
        <v>-669500</v>
      </c>
      <c r="F1597" t="s">
        <v>1453</v>
      </c>
    </row>
    <row r="1598" spans="1:6" x14ac:dyDescent="0.35">
      <c r="A1598">
        <v>20260501</v>
      </c>
      <c r="B1598" t="s">
        <v>1260</v>
      </c>
      <c r="C1598">
        <v>5100</v>
      </c>
      <c r="D1598" t="s">
        <v>485</v>
      </c>
      <c r="E1598">
        <v>92700</v>
      </c>
      <c r="F1598" t="s">
        <v>1453</v>
      </c>
    </row>
    <row r="1599" spans="1:6" x14ac:dyDescent="0.35">
      <c r="A1599">
        <v>20260501</v>
      </c>
      <c r="B1599" t="s">
        <v>1260</v>
      </c>
      <c r="C1599">
        <v>3400</v>
      </c>
      <c r="D1599" t="s">
        <v>485</v>
      </c>
      <c r="E1599">
        <v>-92700</v>
      </c>
      <c r="F1599" t="s">
        <v>1453</v>
      </c>
    </row>
    <row r="1600" spans="1:6" x14ac:dyDescent="0.35">
      <c r="A1600">
        <v>20260501</v>
      </c>
      <c r="B1600" t="s">
        <v>1175</v>
      </c>
      <c r="C1600">
        <v>5000</v>
      </c>
      <c r="D1600" t="s">
        <v>1131</v>
      </c>
      <c r="E1600">
        <v>473800</v>
      </c>
      <c r="F1600" t="s">
        <v>1453</v>
      </c>
    </row>
    <row r="1601" spans="1:6" x14ac:dyDescent="0.35">
      <c r="A1601">
        <v>20260501</v>
      </c>
      <c r="B1601" t="s">
        <v>1175</v>
      </c>
      <c r="C1601">
        <v>5400</v>
      </c>
      <c r="D1601" t="s">
        <v>1131</v>
      </c>
      <c r="E1601">
        <v>66805.8</v>
      </c>
      <c r="F1601" t="s">
        <v>1453</v>
      </c>
    </row>
    <row r="1602" spans="1:6" x14ac:dyDescent="0.35">
      <c r="A1602">
        <v>20260501</v>
      </c>
      <c r="B1602" t="s">
        <v>1175</v>
      </c>
      <c r="C1602">
        <v>6300</v>
      </c>
      <c r="D1602" t="s">
        <v>1131</v>
      </c>
      <c r="E1602">
        <v>87550</v>
      </c>
      <c r="F1602" t="s">
        <v>1453</v>
      </c>
    </row>
    <row r="1603" spans="1:6" x14ac:dyDescent="0.35">
      <c r="A1603">
        <v>20260501</v>
      </c>
      <c r="B1603" t="s">
        <v>1175</v>
      </c>
      <c r="C1603">
        <v>3900</v>
      </c>
      <c r="D1603" t="s">
        <v>1131</v>
      </c>
      <c r="E1603">
        <v>-669500</v>
      </c>
      <c r="F1603" t="s">
        <v>1453</v>
      </c>
    </row>
    <row r="1604" spans="1:6" x14ac:dyDescent="0.35">
      <c r="A1604">
        <v>20260501</v>
      </c>
      <c r="B1604" t="s">
        <v>1247</v>
      </c>
      <c r="C1604">
        <v>5100</v>
      </c>
      <c r="D1604" t="s">
        <v>485</v>
      </c>
      <c r="E1604">
        <v>92700</v>
      </c>
      <c r="F1604" t="s">
        <v>1453</v>
      </c>
    </row>
    <row r="1605" spans="1:6" x14ac:dyDescent="0.35">
      <c r="A1605">
        <v>20260501</v>
      </c>
      <c r="B1605" t="s">
        <v>1247</v>
      </c>
      <c r="C1605">
        <v>3400</v>
      </c>
      <c r="D1605" t="s">
        <v>485</v>
      </c>
      <c r="E1605">
        <v>-92700</v>
      </c>
      <c r="F1605" t="s">
        <v>1453</v>
      </c>
    </row>
    <row r="1606" spans="1:6" x14ac:dyDescent="0.35">
      <c r="A1606">
        <v>20260501</v>
      </c>
      <c r="B1606" t="s">
        <v>1130</v>
      </c>
      <c r="C1606">
        <v>5000</v>
      </c>
      <c r="D1606" t="s">
        <v>1131</v>
      </c>
      <c r="E1606">
        <v>473800</v>
      </c>
      <c r="F1606" t="s">
        <v>1453</v>
      </c>
    </row>
    <row r="1607" spans="1:6" x14ac:dyDescent="0.35">
      <c r="A1607">
        <v>20260501</v>
      </c>
      <c r="B1607" t="s">
        <v>1130</v>
      </c>
      <c r="C1607">
        <v>5400</v>
      </c>
      <c r="D1607" t="s">
        <v>1131</v>
      </c>
      <c r="E1607">
        <v>66805.8</v>
      </c>
      <c r="F1607" t="s">
        <v>1453</v>
      </c>
    </row>
    <row r="1608" spans="1:6" x14ac:dyDescent="0.35">
      <c r="A1608">
        <v>20260501</v>
      </c>
      <c r="B1608" t="s">
        <v>1130</v>
      </c>
      <c r="C1608">
        <v>6300</v>
      </c>
      <c r="D1608" t="s">
        <v>1131</v>
      </c>
      <c r="E1608">
        <v>87550</v>
      </c>
      <c r="F1608" t="s">
        <v>1453</v>
      </c>
    </row>
    <row r="1609" spans="1:6" x14ac:dyDescent="0.35">
      <c r="A1609">
        <v>20260501</v>
      </c>
      <c r="B1609" t="s">
        <v>1130</v>
      </c>
      <c r="C1609">
        <v>3900</v>
      </c>
      <c r="D1609" t="s">
        <v>1131</v>
      </c>
      <c r="E1609">
        <v>-669500</v>
      </c>
      <c r="F1609" t="s">
        <v>1453</v>
      </c>
    </row>
    <row r="1610" spans="1:6" x14ac:dyDescent="0.35">
      <c r="A1610">
        <v>20260501</v>
      </c>
      <c r="B1610" t="s">
        <v>1265</v>
      </c>
      <c r="C1610">
        <v>5100</v>
      </c>
      <c r="D1610" t="s">
        <v>485</v>
      </c>
      <c r="E1610">
        <v>92700</v>
      </c>
      <c r="F1610" t="s">
        <v>1453</v>
      </c>
    </row>
    <row r="1611" spans="1:6" x14ac:dyDescent="0.35">
      <c r="A1611">
        <v>20260501</v>
      </c>
      <c r="B1611" t="s">
        <v>1265</v>
      </c>
      <c r="C1611">
        <v>3400</v>
      </c>
      <c r="D1611" t="s">
        <v>485</v>
      </c>
      <c r="E1611">
        <v>-92700</v>
      </c>
      <c r="F1611" t="s">
        <v>1453</v>
      </c>
    </row>
    <row r="1612" spans="1:6" x14ac:dyDescent="0.35">
      <c r="A1612">
        <v>20260501</v>
      </c>
      <c r="B1612" t="s">
        <v>1173</v>
      </c>
      <c r="C1612">
        <v>5000</v>
      </c>
      <c r="D1612" t="s">
        <v>1131</v>
      </c>
      <c r="E1612">
        <v>473800</v>
      </c>
      <c r="F1612" t="s">
        <v>1453</v>
      </c>
    </row>
    <row r="1613" spans="1:6" x14ac:dyDescent="0.35">
      <c r="A1613">
        <v>20260501</v>
      </c>
      <c r="B1613" t="s">
        <v>1173</v>
      </c>
      <c r="C1613">
        <v>5400</v>
      </c>
      <c r="D1613" t="s">
        <v>1131</v>
      </c>
      <c r="E1613">
        <v>66805.8</v>
      </c>
      <c r="F1613" t="s">
        <v>1453</v>
      </c>
    </row>
    <row r="1614" spans="1:6" x14ac:dyDescent="0.35">
      <c r="A1614">
        <v>20260501</v>
      </c>
      <c r="B1614" t="s">
        <v>1173</v>
      </c>
      <c r="C1614">
        <v>6300</v>
      </c>
      <c r="D1614" t="s">
        <v>1131</v>
      </c>
      <c r="E1614">
        <v>87550</v>
      </c>
      <c r="F1614" t="s">
        <v>1453</v>
      </c>
    </row>
    <row r="1615" spans="1:6" x14ac:dyDescent="0.35">
      <c r="A1615">
        <v>20260501</v>
      </c>
      <c r="B1615" t="s">
        <v>1173</v>
      </c>
      <c r="C1615">
        <v>3900</v>
      </c>
      <c r="D1615" t="s">
        <v>1131</v>
      </c>
      <c r="E1615">
        <v>-669500</v>
      </c>
      <c r="F1615" t="s">
        <v>1453</v>
      </c>
    </row>
    <row r="1616" spans="1:6" x14ac:dyDescent="0.35">
      <c r="A1616">
        <v>20260501</v>
      </c>
      <c r="B1616" t="s">
        <v>1255</v>
      </c>
      <c r="C1616">
        <v>5100</v>
      </c>
      <c r="D1616" t="s">
        <v>485</v>
      </c>
      <c r="E1616">
        <v>92700</v>
      </c>
      <c r="F1616" t="s">
        <v>1453</v>
      </c>
    </row>
    <row r="1617" spans="1:6" x14ac:dyDescent="0.35">
      <c r="A1617">
        <v>20260501</v>
      </c>
      <c r="B1617" t="s">
        <v>1255</v>
      </c>
      <c r="C1617">
        <v>3400</v>
      </c>
      <c r="D1617" t="s">
        <v>485</v>
      </c>
      <c r="E1617">
        <v>-92700</v>
      </c>
      <c r="F1617" t="s">
        <v>1453</v>
      </c>
    </row>
    <row r="1618" spans="1:6" x14ac:dyDescent="0.35">
      <c r="A1618">
        <v>20260501</v>
      </c>
      <c r="B1618" t="s">
        <v>1155</v>
      </c>
      <c r="C1618">
        <v>5000</v>
      </c>
      <c r="D1618" t="s">
        <v>1131</v>
      </c>
      <c r="E1618">
        <v>473800</v>
      </c>
      <c r="F1618" t="s">
        <v>1453</v>
      </c>
    </row>
    <row r="1619" spans="1:6" x14ac:dyDescent="0.35">
      <c r="A1619">
        <v>20260501</v>
      </c>
      <c r="B1619" t="s">
        <v>1155</v>
      </c>
      <c r="C1619">
        <v>5400</v>
      </c>
      <c r="D1619" t="s">
        <v>1131</v>
      </c>
      <c r="E1619">
        <v>66805.8</v>
      </c>
      <c r="F1619" t="s">
        <v>1453</v>
      </c>
    </row>
    <row r="1620" spans="1:6" x14ac:dyDescent="0.35">
      <c r="A1620">
        <v>20260501</v>
      </c>
      <c r="B1620" t="s">
        <v>1155</v>
      </c>
      <c r="C1620">
        <v>6300</v>
      </c>
      <c r="D1620" t="s">
        <v>1131</v>
      </c>
      <c r="E1620">
        <v>87550</v>
      </c>
      <c r="F1620" t="s">
        <v>1453</v>
      </c>
    </row>
    <row r="1621" spans="1:6" x14ac:dyDescent="0.35">
      <c r="A1621">
        <v>20260501</v>
      </c>
      <c r="B1621" t="s">
        <v>1155</v>
      </c>
      <c r="C1621">
        <v>3900</v>
      </c>
      <c r="D1621" t="s">
        <v>1131</v>
      </c>
      <c r="E1621">
        <v>-669500</v>
      </c>
      <c r="F1621" t="s">
        <v>1453</v>
      </c>
    </row>
    <row r="1622" spans="1:6" x14ac:dyDescent="0.35">
      <c r="A1622">
        <v>20260501</v>
      </c>
      <c r="B1622" t="s">
        <v>1138</v>
      </c>
      <c r="C1622">
        <v>5000</v>
      </c>
      <c r="D1622" t="s">
        <v>1131</v>
      </c>
      <c r="E1622">
        <v>473800</v>
      </c>
      <c r="F1622" t="s">
        <v>1453</v>
      </c>
    </row>
    <row r="1623" spans="1:6" x14ac:dyDescent="0.35">
      <c r="A1623">
        <v>20260501</v>
      </c>
      <c r="B1623" t="s">
        <v>1138</v>
      </c>
      <c r="C1623">
        <v>5400</v>
      </c>
      <c r="D1623" t="s">
        <v>1131</v>
      </c>
      <c r="E1623">
        <v>66805.8</v>
      </c>
      <c r="F1623" t="s">
        <v>1453</v>
      </c>
    </row>
    <row r="1624" spans="1:6" x14ac:dyDescent="0.35">
      <c r="A1624">
        <v>20260501</v>
      </c>
      <c r="B1624" t="s">
        <v>1138</v>
      </c>
      <c r="C1624">
        <v>6300</v>
      </c>
      <c r="D1624" t="s">
        <v>1131</v>
      </c>
      <c r="E1624">
        <v>87550</v>
      </c>
      <c r="F1624" t="s">
        <v>1453</v>
      </c>
    </row>
    <row r="1625" spans="1:6" x14ac:dyDescent="0.35">
      <c r="A1625">
        <v>20260501</v>
      </c>
      <c r="B1625" t="s">
        <v>1138</v>
      </c>
      <c r="C1625">
        <v>3900</v>
      </c>
      <c r="D1625" t="s">
        <v>1131</v>
      </c>
      <c r="E1625">
        <v>-669500</v>
      </c>
      <c r="F1625" t="s">
        <v>1453</v>
      </c>
    </row>
    <row r="1626" spans="1:6" x14ac:dyDescent="0.35">
      <c r="A1626">
        <v>20260601</v>
      </c>
      <c r="B1626" t="s">
        <v>1150</v>
      </c>
      <c r="C1626">
        <v>5000</v>
      </c>
      <c r="D1626" t="s">
        <v>1131</v>
      </c>
      <c r="E1626">
        <v>473800</v>
      </c>
      <c r="F1626" t="s">
        <v>1453</v>
      </c>
    </row>
    <row r="1627" spans="1:6" x14ac:dyDescent="0.35">
      <c r="A1627">
        <v>20260601</v>
      </c>
      <c r="B1627" t="s">
        <v>1150</v>
      </c>
      <c r="C1627">
        <v>5400</v>
      </c>
      <c r="D1627" t="s">
        <v>1131</v>
      </c>
      <c r="E1627">
        <v>66805.8</v>
      </c>
      <c r="F1627" t="s">
        <v>1453</v>
      </c>
    </row>
    <row r="1628" spans="1:6" x14ac:dyDescent="0.35">
      <c r="A1628">
        <v>20260601</v>
      </c>
      <c r="B1628" t="s">
        <v>1150</v>
      </c>
      <c r="C1628">
        <v>6300</v>
      </c>
      <c r="D1628" t="s">
        <v>1131</v>
      </c>
      <c r="E1628">
        <v>87550</v>
      </c>
      <c r="F1628" t="s">
        <v>1453</v>
      </c>
    </row>
    <row r="1629" spans="1:6" x14ac:dyDescent="0.35">
      <c r="A1629">
        <v>20260601</v>
      </c>
      <c r="B1629" t="s">
        <v>1150</v>
      </c>
      <c r="C1629">
        <v>3900</v>
      </c>
      <c r="D1629" t="s">
        <v>1131</v>
      </c>
      <c r="E1629">
        <v>-669500</v>
      </c>
      <c r="F1629" t="s">
        <v>1453</v>
      </c>
    </row>
    <row r="1630" spans="1:6" x14ac:dyDescent="0.35">
      <c r="A1630">
        <v>20260601</v>
      </c>
      <c r="B1630" t="s">
        <v>1272</v>
      </c>
      <c r="C1630">
        <v>5100</v>
      </c>
      <c r="D1630" t="s">
        <v>485</v>
      </c>
      <c r="E1630">
        <v>92700</v>
      </c>
      <c r="F1630" t="s">
        <v>1453</v>
      </c>
    </row>
    <row r="1631" spans="1:6" x14ac:dyDescent="0.35">
      <c r="A1631">
        <v>20260601</v>
      </c>
      <c r="B1631" t="s">
        <v>1272</v>
      </c>
      <c r="C1631">
        <v>3400</v>
      </c>
      <c r="D1631" t="s">
        <v>485</v>
      </c>
      <c r="E1631">
        <v>-92700</v>
      </c>
      <c r="F1631" t="s">
        <v>1453</v>
      </c>
    </row>
    <row r="1632" spans="1:6" x14ac:dyDescent="0.35">
      <c r="A1632">
        <v>20260601</v>
      </c>
      <c r="B1632" t="s">
        <v>1158</v>
      </c>
      <c r="C1632">
        <v>5000</v>
      </c>
      <c r="D1632" t="s">
        <v>1131</v>
      </c>
      <c r="E1632">
        <v>473800</v>
      </c>
      <c r="F1632" t="s">
        <v>1453</v>
      </c>
    </row>
    <row r="1633" spans="1:6" x14ac:dyDescent="0.35">
      <c r="A1633">
        <v>20260601</v>
      </c>
      <c r="B1633" t="s">
        <v>1158</v>
      </c>
      <c r="C1633">
        <v>5400</v>
      </c>
      <c r="D1633" t="s">
        <v>1131</v>
      </c>
      <c r="E1633">
        <v>66805.8</v>
      </c>
      <c r="F1633" t="s">
        <v>1453</v>
      </c>
    </row>
    <row r="1634" spans="1:6" x14ac:dyDescent="0.35">
      <c r="A1634">
        <v>20260601</v>
      </c>
      <c r="B1634" t="s">
        <v>1158</v>
      </c>
      <c r="C1634">
        <v>6300</v>
      </c>
      <c r="D1634" t="s">
        <v>1131</v>
      </c>
      <c r="E1634">
        <v>87550</v>
      </c>
      <c r="F1634" t="s">
        <v>1453</v>
      </c>
    </row>
    <row r="1635" spans="1:6" x14ac:dyDescent="0.35">
      <c r="A1635">
        <v>20260601</v>
      </c>
      <c r="B1635" t="s">
        <v>1158</v>
      </c>
      <c r="C1635">
        <v>3900</v>
      </c>
      <c r="D1635" t="s">
        <v>1131</v>
      </c>
      <c r="E1635">
        <v>-669500</v>
      </c>
      <c r="F1635" t="s">
        <v>1453</v>
      </c>
    </row>
    <row r="1636" spans="1:6" x14ac:dyDescent="0.35">
      <c r="A1636">
        <v>20260601</v>
      </c>
      <c r="B1636" t="s">
        <v>1243</v>
      </c>
      <c r="C1636">
        <v>5100</v>
      </c>
      <c r="D1636" t="s">
        <v>485</v>
      </c>
      <c r="E1636">
        <v>92700</v>
      </c>
      <c r="F1636" t="s">
        <v>1453</v>
      </c>
    </row>
    <row r="1637" spans="1:6" x14ac:dyDescent="0.35">
      <c r="A1637">
        <v>20260601</v>
      </c>
      <c r="B1637" t="s">
        <v>1243</v>
      </c>
      <c r="C1637">
        <v>3400</v>
      </c>
      <c r="D1637" t="s">
        <v>485</v>
      </c>
      <c r="E1637">
        <v>-92700</v>
      </c>
      <c r="F1637" t="s">
        <v>1453</v>
      </c>
    </row>
    <row r="1638" spans="1:6" x14ac:dyDescent="0.35">
      <c r="A1638">
        <v>20260601</v>
      </c>
      <c r="B1638" t="s">
        <v>1205</v>
      </c>
      <c r="C1638">
        <v>5000</v>
      </c>
      <c r="D1638" t="s">
        <v>1131</v>
      </c>
      <c r="E1638">
        <v>473800</v>
      </c>
      <c r="F1638" t="s">
        <v>1453</v>
      </c>
    </row>
    <row r="1639" spans="1:6" x14ac:dyDescent="0.35">
      <c r="A1639">
        <v>20260601</v>
      </c>
      <c r="B1639" t="s">
        <v>1205</v>
      </c>
      <c r="C1639">
        <v>5400</v>
      </c>
      <c r="D1639" t="s">
        <v>1131</v>
      </c>
      <c r="E1639">
        <v>66805.8</v>
      </c>
      <c r="F1639" t="s">
        <v>1453</v>
      </c>
    </row>
    <row r="1640" spans="1:6" x14ac:dyDescent="0.35">
      <c r="A1640">
        <v>20260601</v>
      </c>
      <c r="B1640" t="s">
        <v>1205</v>
      </c>
      <c r="C1640">
        <v>6300</v>
      </c>
      <c r="D1640" t="s">
        <v>1131</v>
      </c>
      <c r="E1640">
        <v>87550</v>
      </c>
      <c r="F1640" t="s">
        <v>1453</v>
      </c>
    </row>
    <row r="1641" spans="1:6" x14ac:dyDescent="0.35">
      <c r="A1641">
        <v>20260601</v>
      </c>
      <c r="B1641" t="s">
        <v>1205</v>
      </c>
      <c r="C1641">
        <v>3900</v>
      </c>
      <c r="D1641" t="s">
        <v>1131</v>
      </c>
      <c r="E1641">
        <v>-669500</v>
      </c>
      <c r="F1641" t="s">
        <v>1453</v>
      </c>
    </row>
    <row r="1642" spans="1:6" x14ac:dyDescent="0.35">
      <c r="A1642">
        <v>20260601</v>
      </c>
      <c r="B1642" t="s">
        <v>1257</v>
      </c>
      <c r="C1642">
        <v>5100</v>
      </c>
      <c r="D1642" t="s">
        <v>485</v>
      </c>
      <c r="E1642">
        <v>92700</v>
      </c>
      <c r="F1642" t="s">
        <v>1453</v>
      </c>
    </row>
    <row r="1643" spans="1:6" x14ac:dyDescent="0.35">
      <c r="A1643">
        <v>20260601</v>
      </c>
      <c r="B1643" t="s">
        <v>1257</v>
      </c>
      <c r="C1643">
        <v>3400</v>
      </c>
      <c r="D1643" t="s">
        <v>485</v>
      </c>
      <c r="E1643">
        <v>-92700</v>
      </c>
      <c r="F1643" t="s">
        <v>1453</v>
      </c>
    </row>
    <row r="1644" spans="1:6" x14ac:dyDescent="0.35">
      <c r="A1644">
        <v>20260601</v>
      </c>
      <c r="B1644" t="s">
        <v>1164</v>
      </c>
      <c r="C1644">
        <v>5000</v>
      </c>
      <c r="D1644" t="s">
        <v>1131</v>
      </c>
      <c r="E1644">
        <v>473800</v>
      </c>
      <c r="F1644" t="s">
        <v>1453</v>
      </c>
    </row>
    <row r="1645" spans="1:6" x14ac:dyDescent="0.35">
      <c r="A1645">
        <v>20260601</v>
      </c>
      <c r="B1645" t="s">
        <v>1164</v>
      </c>
      <c r="C1645">
        <v>5400</v>
      </c>
      <c r="D1645" t="s">
        <v>1131</v>
      </c>
      <c r="E1645">
        <v>66805.8</v>
      </c>
      <c r="F1645" t="s">
        <v>1453</v>
      </c>
    </row>
    <row r="1646" spans="1:6" x14ac:dyDescent="0.35">
      <c r="A1646">
        <v>20260601</v>
      </c>
      <c r="B1646" t="s">
        <v>1164</v>
      </c>
      <c r="C1646">
        <v>6300</v>
      </c>
      <c r="D1646" t="s">
        <v>1131</v>
      </c>
      <c r="E1646">
        <v>87550</v>
      </c>
      <c r="F1646" t="s">
        <v>1453</v>
      </c>
    </row>
    <row r="1647" spans="1:6" x14ac:dyDescent="0.35">
      <c r="A1647">
        <v>20260601</v>
      </c>
      <c r="B1647" t="s">
        <v>1164</v>
      </c>
      <c r="C1647">
        <v>3900</v>
      </c>
      <c r="D1647" t="s">
        <v>1131</v>
      </c>
      <c r="E1647">
        <v>-669500</v>
      </c>
      <c r="F1647" t="s">
        <v>1453</v>
      </c>
    </row>
    <row r="1648" spans="1:6" x14ac:dyDescent="0.35">
      <c r="A1648">
        <v>20260601</v>
      </c>
      <c r="B1648" t="s">
        <v>1249</v>
      </c>
      <c r="C1648">
        <v>5100</v>
      </c>
      <c r="D1648" t="s">
        <v>485</v>
      </c>
      <c r="E1648">
        <v>92700</v>
      </c>
      <c r="F1648" t="s">
        <v>1453</v>
      </c>
    </row>
    <row r="1649" spans="1:6" x14ac:dyDescent="0.35">
      <c r="A1649">
        <v>20260601</v>
      </c>
      <c r="B1649" t="s">
        <v>1249</v>
      </c>
      <c r="C1649">
        <v>3400</v>
      </c>
      <c r="D1649" t="s">
        <v>485</v>
      </c>
      <c r="E1649">
        <v>-92700</v>
      </c>
      <c r="F1649" t="s">
        <v>1453</v>
      </c>
    </row>
    <row r="1650" spans="1:6" x14ac:dyDescent="0.35">
      <c r="A1650">
        <v>20260601</v>
      </c>
      <c r="B1650" t="s">
        <v>1169</v>
      </c>
      <c r="C1650">
        <v>5000</v>
      </c>
      <c r="D1650" t="s">
        <v>1131</v>
      </c>
      <c r="E1650">
        <v>473800</v>
      </c>
      <c r="F1650" t="s">
        <v>1453</v>
      </c>
    </row>
    <row r="1651" spans="1:6" x14ac:dyDescent="0.35">
      <c r="A1651">
        <v>20260601</v>
      </c>
      <c r="B1651" t="s">
        <v>1169</v>
      </c>
      <c r="C1651">
        <v>5400</v>
      </c>
      <c r="D1651" t="s">
        <v>1131</v>
      </c>
      <c r="E1651">
        <v>66805.8</v>
      </c>
      <c r="F1651" t="s">
        <v>1453</v>
      </c>
    </row>
    <row r="1652" spans="1:6" x14ac:dyDescent="0.35">
      <c r="A1652">
        <v>20260601</v>
      </c>
      <c r="B1652" t="s">
        <v>1169</v>
      </c>
      <c r="C1652">
        <v>6300</v>
      </c>
      <c r="D1652" t="s">
        <v>1131</v>
      </c>
      <c r="E1652">
        <v>87550</v>
      </c>
      <c r="F1652" t="s">
        <v>1453</v>
      </c>
    </row>
    <row r="1653" spans="1:6" x14ac:dyDescent="0.35">
      <c r="A1653">
        <v>20260601</v>
      </c>
      <c r="B1653" t="s">
        <v>1169</v>
      </c>
      <c r="C1653">
        <v>3900</v>
      </c>
      <c r="D1653" t="s">
        <v>1131</v>
      </c>
      <c r="E1653">
        <v>-669500</v>
      </c>
      <c r="F1653" t="s">
        <v>1453</v>
      </c>
    </row>
    <row r="1654" spans="1:6" x14ac:dyDescent="0.35">
      <c r="A1654">
        <v>20260601</v>
      </c>
      <c r="B1654" t="s">
        <v>1260</v>
      </c>
      <c r="C1654">
        <v>5100</v>
      </c>
      <c r="D1654" t="s">
        <v>485</v>
      </c>
      <c r="E1654">
        <v>92700</v>
      </c>
      <c r="F1654" t="s">
        <v>1453</v>
      </c>
    </row>
    <row r="1655" spans="1:6" x14ac:dyDescent="0.35">
      <c r="A1655">
        <v>20260601</v>
      </c>
      <c r="B1655" t="s">
        <v>1260</v>
      </c>
      <c r="C1655">
        <v>3400</v>
      </c>
      <c r="D1655" t="s">
        <v>485</v>
      </c>
      <c r="E1655">
        <v>-92700</v>
      </c>
      <c r="F1655" t="s">
        <v>1453</v>
      </c>
    </row>
    <row r="1656" spans="1:6" x14ac:dyDescent="0.35">
      <c r="A1656">
        <v>20260601</v>
      </c>
      <c r="B1656" t="s">
        <v>1175</v>
      </c>
      <c r="C1656">
        <v>5000</v>
      </c>
      <c r="D1656" t="s">
        <v>1131</v>
      </c>
      <c r="E1656">
        <v>473800</v>
      </c>
      <c r="F1656" t="s">
        <v>1453</v>
      </c>
    </row>
    <row r="1657" spans="1:6" x14ac:dyDescent="0.35">
      <c r="A1657">
        <v>20260601</v>
      </c>
      <c r="B1657" t="s">
        <v>1175</v>
      </c>
      <c r="C1657">
        <v>5400</v>
      </c>
      <c r="D1657" t="s">
        <v>1131</v>
      </c>
      <c r="E1657">
        <v>66805.8</v>
      </c>
      <c r="F1657" t="s">
        <v>1453</v>
      </c>
    </row>
    <row r="1658" spans="1:6" x14ac:dyDescent="0.35">
      <c r="A1658">
        <v>20260601</v>
      </c>
      <c r="B1658" t="s">
        <v>1175</v>
      </c>
      <c r="C1658">
        <v>6300</v>
      </c>
      <c r="D1658" t="s">
        <v>1131</v>
      </c>
      <c r="E1658">
        <v>87550</v>
      </c>
      <c r="F1658" t="s">
        <v>1453</v>
      </c>
    </row>
    <row r="1659" spans="1:6" x14ac:dyDescent="0.35">
      <c r="A1659">
        <v>20260601</v>
      </c>
      <c r="B1659" t="s">
        <v>1175</v>
      </c>
      <c r="C1659">
        <v>3900</v>
      </c>
      <c r="D1659" t="s">
        <v>1131</v>
      </c>
      <c r="E1659">
        <v>-669500</v>
      </c>
      <c r="F1659" t="s">
        <v>1453</v>
      </c>
    </row>
    <row r="1660" spans="1:6" x14ac:dyDescent="0.35">
      <c r="A1660">
        <v>20260601</v>
      </c>
      <c r="B1660" t="s">
        <v>1247</v>
      </c>
      <c r="C1660">
        <v>5100</v>
      </c>
      <c r="D1660" t="s">
        <v>485</v>
      </c>
      <c r="E1660">
        <v>92700</v>
      </c>
      <c r="F1660" t="s">
        <v>1453</v>
      </c>
    </row>
    <row r="1661" spans="1:6" x14ac:dyDescent="0.35">
      <c r="A1661">
        <v>20260601</v>
      </c>
      <c r="B1661" t="s">
        <v>1247</v>
      </c>
      <c r="C1661">
        <v>3400</v>
      </c>
      <c r="D1661" t="s">
        <v>485</v>
      </c>
      <c r="E1661">
        <v>-92700</v>
      </c>
      <c r="F1661" t="s">
        <v>1453</v>
      </c>
    </row>
    <row r="1662" spans="1:6" x14ac:dyDescent="0.35">
      <c r="A1662">
        <v>20260601</v>
      </c>
      <c r="B1662" t="s">
        <v>1130</v>
      </c>
      <c r="C1662">
        <v>5000</v>
      </c>
      <c r="D1662" t="s">
        <v>1131</v>
      </c>
      <c r="E1662">
        <v>473800</v>
      </c>
      <c r="F1662" t="s">
        <v>1453</v>
      </c>
    </row>
    <row r="1663" spans="1:6" x14ac:dyDescent="0.35">
      <c r="A1663">
        <v>20260601</v>
      </c>
      <c r="B1663" t="s">
        <v>1130</v>
      </c>
      <c r="C1663">
        <v>5400</v>
      </c>
      <c r="D1663" t="s">
        <v>1131</v>
      </c>
      <c r="E1663">
        <v>66805.8</v>
      </c>
      <c r="F1663" t="s">
        <v>1453</v>
      </c>
    </row>
    <row r="1664" spans="1:6" x14ac:dyDescent="0.35">
      <c r="A1664">
        <v>20260601</v>
      </c>
      <c r="B1664" t="s">
        <v>1130</v>
      </c>
      <c r="C1664">
        <v>6300</v>
      </c>
      <c r="D1664" t="s">
        <v>1131</v>
      </c>
      <c r="E1664">
        <v>87550</v>
      </c>
      <c r="F1664" t="s">
        <v>1453</v>
      </c>
    </row>
    <row r="1665" spans="1:6" x14ac:dyDescent="0.35">
      <c r="A1665">
        <v>20260601</v>
      </c>
      <c r="B1665" t="s">
        <v>1130</v>
      </c>
      <c r="C1665">
        <v>3900</v>
      </c>
      <c r="D1665" t="s">
        <v>1131</v>
      </c>
      <c r="E1665">
        <v>-669500</v>
      </c>
      <c r="F1665" t="s">
        <v>1453</v>
      </c>
    </row>
    <row r="1666" spans="1:6" x14ac:dyDescent="0.35">
      <c r="A1666">
        <v>20260601</v>
      </c>
      <c r="B1666" t="s">
        <v>1265</v>
      </c>
      <c r="C1666">
        <v>5100</v>
      </c>
      <c r="D1666" t="s">
        <v>485</v>
      </c>
      <c r="E1666">
        <v>92700</v>
      </c>
      <c r="F1666" t="s">
        <v>1453</v>
      </c>
    </row>
    <row r="1667" spans="1:6" x14ac:dyDescent="0.35">
      <c r="A1667">
        <v>20260601</v>
      </c>
      <c r="B1667" t="s">
        <v>1265</v>
      </c>
      <c r="C1667">
        <v>3400</v>
      </c>
      <c r="D1667" t="s">
        <v>485</v>
      </c>
      <c r="E1667">
        <v>-92700</v>
      </c>
      <c r="F1667" t="s">
        <v>1453</v>
      </c>
    </row>
    <row r="1668" spans="1:6" x14ac:dyDescent="0.35">
      <c r="A1668">
        <v>20260601</v>
      </c>
      <c r="B1668" t="s">
        <v>1173</v>
      </c>
      <c r="C1668">
        <v>5000</v>
      </c>
      <c r="D1668" t="s">
        <v>1131</v>
      </c>
      <c r="E1668">
        <v>473800</v>
      </c>
      <c r="F1668" t="s">
        <v>1453</v>
      </c>
    </row>
    <row r="1669" spans="1:6" x14ac:dyDescent="0.35">
      <c r="A1669">
        <v>20260601</v>
      </c>
      <c r="B1669" t="s">
        <v>1173</v>
      </c>
      <c r="C1669">
        <v>5400</v>
      </c>
      <c r="D1669" t="s">
        <v>1131</v>
      </c>
      <c r="E1669">
        <v>66805.8</v>
      </c>
      <c r="F1669" t="s">
        <v>1453</v>
      </c>
    </row>
    <row r="1670" spans="1:6" x14ac:dyDescent="0.35">
      <c r="A1670">
        <v>20260601</v>
      </c>
      <c r="B1670" t="s">
        <v>1173</v>
      </c>
      <c r="C1670">
        <v>6300</v>
      </c>
      <c r="D1670" t="s">
        <v>1131</v>
      </c>
      <c r="E1670">
        <v>87550</v>
      </c>
      <c r="F1670" t="s">
        <v>1453</v>
      </c>
    </row>
    <row r="1671" spans="1:6" x14ac:dyDescent="0.35">
      <c r="A1671">
        <v>20260601</v>
      </c>
      <c r="B1671" t="s">
        <v>1173</v>
      </c>
      <c r="C1671">
        <v>3900</v>
      </c>
      <c r="D1671" t="s">
        <v>1131</v>
      </c>
      <c r="E1671">
        <v>-669500</v>
      </c>
      <c r="F1671" t="s">
        <v>1453</v>
      </c>
    </row>
    <row r="1672" spans="1:6" x14ac:dyDescent="0.35">
      <c r="A1672">
        <v>20260601</v>
      </c>
      <c r="B1672" t="s">
        <v>1255</v>
      </c>
      <c r="C1672">
        <v>5100</v>
      </c>
      <c r="D1672" t="s">
        <v>485</v>
      </c>
      <c r="E1672">
        <v>92700</v>
      </c>
      <c r="F1672" t="s">
        <v>1453</v>
      </c>
    </row>
    <row r="1673" spans="1:6" x14ac:dyDescent="0.35">
      <c r="A1673">
        <v>20260601</v>
      </c>
      <c r="B1673" t="s">
        <v>1255</v>
      </c>
      <c r="C1673">
        <v>3400</v>
      </c>
      <c r="D1673" t="s">
        <v>485</v>
      </c>
      <c r="E1673">
        <v>-92700</v>
      </c>
      <c r="F1673" t="s">
        <v>1453</v>
      </c>
    </row>
    <row r="1674" spans="1:6" x14ac:dyDescent="0.35">
      <c r="A1674">
        <v>20260601</v>
      </c>
      <c r="B1674" t="s">
        <v>1155</v>
      </c>
      <c r="C1674">
        <v>5000</v>
      </c>
      <c r="D1674" t="s">
        <v>1131</v>
      </c>
      <c r="E1674">
        <v>473800</v>
      </c>
      <c r="F1674" t="s">
        <v>1453</v>
      </c>
    </row>
    <row r="1675" spans="1:6" x14ac:dyDescent="0.35">
      <c r="A1675">
        <v>20260601</v>
      </c>
      <c r="B1675" t="s">
        <v>1155</v>
      </c>
      <c r="C1675">
        <v>5400</v>
      </c>
      <c r="D1675" t="s">
        <v>1131</v>
      </c>
      <c r="E1675">
        <v>66805.8</v>
      </c>
      <c r="F1675" t="s">
        <v>1453</v>
      </c>
    </row>
    <row r="1676" spans="1:6" x14ac:dyDescent="0.35">
      <c r="A1676">
        <v>20260601</v>
      </c>
      <c r="B1676" t="s">
        <v>1155</v>
      </c>
      <c r="C1676">
        <v>6300</v>
      </c>
      <c r="D1676" t="s">
        <v>1131</v>
      </c>
      <c r="E1676">
        <v>87550</v>
      </c>
      <c r="F1676" t="s">
        <v>1453</v>
      </c>
    </row>
    <row r="1677" spans="1:6" x14ac:dyDescent="0.35">
      <c r="A1677">
        <v>20260601</v>
      </c>
      <c r="B1677" t="s">
        <v>1155</v>
      </c>
      <c r="C1677">
        <v>3900</v>
      </c>
      <c r="D1677" t="s">
        <v>1131</v>
      </c>
      <c r="E1677">
        <v>-669500</v>
      </c>
      <c r="F1677" t="s">
        <v>1453</v>
      </c>
    </row>
    <row r="1678" spans="1:6" x14ac:dyDescent="0.35">
      <c r="A1678">
        <v>20260601</v>
      </c>
      <c r="B1678" t="s">
        <v>1138</v>
      </c>
      <c r="C1678">
        <v>5000</v>
      </c>
      <c r="D1678" t="s">
        <v>1131</v>
      </c>
      <c r="E1678">
        <v>473800</v>
      </c>
      <c r="F1678" t="s">
        <v>1453</v>
      </c>
    </row>
    <row r="1679" spans="1:6" x14ac:dyDescent="0.35">
      <c r="A1679">
        <v>20260601</v>
      </c>
      <c r="B1679" t="s">
        <v>1138</v>
      </c>
      <c r="C1679">
        <v>5400</v>
      </c>
      <c r="D1679" t="s">
        <v>1131</v>
      </c>
      <c r="E1679">
        <v>66805.8</v>
      </c>
      <c r="F1679" t="s">
        <v>1453</v>
      </c>
    </row>
    <row r="1680" spans="1:6" x14ac:dyDescent="0.35">
      <c r="A1680">
        <v>20260601</v>
      </c>
      <c r="B1680" t="s">
        <v>1138</v>
      </c>
      <c r="C1680">
        <v>6300</v>
      </c>
      <c r="D1680" t="s">
        <v>1131</v>
      </c>
      <c r="E1680">
        <v>87550</v>
      </c>
      <c r="F1680" t="s">
        <v>1453</v>
      </c>
    </row>
    <row r="1681" spans="1:6" x14ac:dyDescent="0.35">
      <c r="A1681">
        <v>20260601</v>
      </c>
      <c r="B1681" t="s">
        <v>1138</v>
      </c>
      <c r="C1681">
        <v>3900</v>
      </c>
      <c r="D1681" t="s">
        <v>1131</v>
      </c>
      <c r="E1681">
        <v>-669500</v>
      </c>
      <c r="F1681" t="s">
        <v>1453</v>
      </c>
    </row>
    <row r="1682" spans="1:6" x14ac:dyDescent="0.35">
      <c r="A1682">
        <v>20260701</v>
      </c>
      <c r="B1682" t="s">
        <v>1150</v>
      </c>
      <c r="C1682">
        <v>5000</v>
      </c>
      <c r="D1682" t="s">
        <v>1131</v>
      </c>
      <c r="E1682">
        <v>473800</v>
      </c>
      <c r="F1682" t="s">
        <v>1453</v>
      </c>
    </row>
    <row r="1683" spans="1:6" x14ac:dyDescent="0.35">
      <c r="A1683">
        <v>20260701</v>
      </c>
      <c r="B1683" t="s">
        <v>1150</v>
      </c>
      <c r="C1683">
        <v>5400</v>
      </c>
      <c r="D1683" t="s">
        <v>1131</v>
      </c>
      <c r="E1683">
        <v>66805.8</v>
      </c>
      <c r="F1683" t="s">
        <v>1453</v>
      </c>
    </row>
    <row r="1684" spans="1:6" x14ac:dyDescent="0.35">
      <c r="A1684">
        <v>20260701</v>
      </c>
      <c r="B1684" t="s">
        <v>1150</v>
      </c>
      <c r="C1684">
        <v>6300</v>
      </c>
      <c r="D1684" t="s">
        <v>1131</v>
      </c>
      <c r="E1684">
        <v>87550</v>
      </c>
      <c r="F1684" t="s">
        <v>1453</v>
      </c>
    </row>
    <row r="1685" spans="1:6" x14ac:dyDescent="0.35">
      <c r="A1685">
        <v>20260701</v>
      </c>
      <c r="B1685" t="s">
        <v>1150</v>
      </c>
      <c r="C1685">
        <v>3900</v>
      </c>
      <c r="D1685" t="s">
        <v>1131</v>
      </c>
      <c r="E1685">
        <v>-669500</v>
      </c>
      <c r="F1685" t="s">
        <v>1453</v>
      </c>
    </row>
    <row r="1686" spans="1:6" x14ac:dyDescent="0.35">
      <c r="A1686">
        <v>20260701</v>
      </c>
      <c r="B1686" t="s">
        <v>1272</v>
      </c>
      <c r="C1686">
        <v>5100</v>
      </c>
      <c r="D1686" t="s">
        <v>485</v>
      </c>
      <c r="E1686">
        <v>92700</v>
      </c>
      <c r="F1686" t="s">
        <v>1453</v>
      </c>
    </row>
    <row r="1687" spans="1:6" x14ac:dyDescent="0.35">
      <c r="A1687">
        <v>20260701</v>
      </c>
      <c r="B1687" t="s">
        <v>1272</v>
      </c>
      <c r="C1687">
        <v>3400</v>
      </c>
      <c r="D1687" t="s">
        <v>485</v>
      </c>
      <c r="E1687">
        <v>-92700</v>
      </c>
      <c r="F1687" t="s">
        <v>1453</v>
      </c>
    </row>
    <row r="1688" spans="1:6" x14ac:dyDescent="0.35">
      <c r="A1688">
        <v>20260701</v>
      </c>
      <c r="B1688" t="s">
        <v>1158</v>
      </c>
      <c r="C1688">
        <v>5000</v>
      </c>
      <c r="D1688" t="s">
        <v>1131</v>
      </c>
      <c r="E1688">
        <v>473800</v>
      </c>
      <c r="F1688" t="s">
        <v>1453</v>
      </c>
    </row>
    <row r="1689" spans="1:6" x14ac:dyDescent="0.35">
      <c r="A1689">
        <v>20260701</v>
      </c>
      <c r="B1689" t="s">
        <v>1158</v>
      </c>
      <c r="C1689">
        <v>5400</v>
      </c>
      <c r="D1689" t="s">
        <v>1131</v>
      </c>
      <c r="E1689">
        <v>66805.8</v>
      </c>
      <c r="F1689" t="s">
        <v>1453</v>
      </c>
    </row>
    <row r="1690" spans="1:6" x14ac:dyDescent="0.35">
      <c r="A1690">
        <v>20260701</v>
      </c>
      <c r="B1690" t="s">
        <v>1158</v>
      </c>
      <c r="C1690">
        <v>6300</v>
      </c>
      <c r="D1690" t="s">
        <v>1131</v>
      </c>
      <c r="E1690">
        <v>87550</v>
      </c>
      <c r="F1690" t="s">
        <v>1453</v>
      </c>
    </row>
    <row r="1691" spans="1:6" x14ac:dyDescent="0.35">
      <c r="A1691">
        <v>20260701</v>
      </c>
      <c r="B1691" t="s">
        <v>1158</v>
      </c>
      <c r="C1691">
        <v>3900</v>
      </c>
      <c r="D1691" t="s">
        <v>1131</v>
      </c>
      <c r="E1691">
        <v>-669500</v>
      </c>
      <c r="F1691" t="s">
        <v>1453</v>
      </c>
    </row>
    <row r="1692" spans="1:6" x14ac:dyDescent="0.35">
      <c r="A1692">
        <v>20260701</v>
      </c>
      <c r="B1692" t="s">
        <v>1243</v>
      </c>
      <c r="C1692">
        <v>5100</v>
      </c>
      <c r="D1692" t="s">
        <v>485</v>
      </c>
      <c r="E1692">
        <v>92700</v>
      </c>
      <c r="F1692" t="s">
        <v>1453</v>
      </c>
    </row>
    <row r="1693" spans="1:6" x14ac:dyDescent="0.35">
      <c r="A1693">
        <v>20260701</v>
      </c>
      <c r="B1693" t="s">
        <v>1243</v>
      </c>
      <c r="C1693">
        <v>3400</v>
      </c>
      <c r="D1693" t="s">
        <v>485</v>
      </c>
      <c r="E1693">
        <v>-92700</v>
      </c>
      <c r="F1693" t="s">
        <v>1453</v>
      </c>
    </row>
    <row r="1694" spans="1:6" x14ac:dyDescent="0.35">
      <c r="A1694">
        <v>20260701</v>
      </c>
      <c r="B1694" t="s">
        <v>1205</v>
      </c>
      <c r="C1694">
        <v>5000</v>
      </c>
      <c r="D1694" t="s">
        <v>1131</v>
      </c>
      <c r="E1694">
        <v>473800</v>
      </c>
      <c r="F1694" t="s">
        <v>1453</v>
      </c>
    </row>
    <row r="1695" spans="1:6" x14ac:dyDescent="0.35">
      <c r="A1695">
        <v>20260701</v>
      </c>
      <c r="B1695" t="s">
        <v>1205</v>
      </c>
      <c r="C1695">
        <v>5400</v>
      </c>
      <c r="D1695" t="s">
        <v>1131</v>
      </c>
      <c r="E1695">
        <v>66805.8</v>
      </c>
      <c r="F1695" t="s">
        <v>1453</v>
      </c>
    </row>
    <row r="1696" spans="1:6" x14ac:dyDescent="0.35">
      <c r="A1696">
        <v>20260701</v>
      </c>
      <c r="B1696" t="s">
        <v>1205</v>
      </c>
      <c r="C1696">
        <v>6300</v>
      </c>
      <c r="D1696" t="s">
        <v>1131</v>
      </c>
      <c r="E1696">
        <v>87550</v>
      </c>
      <c r="F1696" t="s">
        <v>1453</v>
      </c>
    </row>
    <row r="1697" spans="1:6" x14ac:dyDescent="0.35">
      <c r="A1697">
        <v>20260701</v>
      </c>
      <c r="B1697" t="s">
        <v>1205</v>
      </c>
      <c r="C1697">
        <v>3900</v>
      </c>
      <c r="D1697" t="s">
        <v>1131</v>
      </c>
      <c r="E1697">
        <v>-669500</v>
      </c>
      <c r="F1697" t="s">
        <v>1453</v>
      </c>
    </row>
    <row r="1698" spans="1:6" x14ac:dyDescent="0.35">
      <c r="A1698">
        <v>20260701</v>
      </c>
      <c r="B1698" t="s">
        <v>1257</v>
      </c>
      <c r="C1698">
        <v>5100</v>
      </c>
      <c r="D1698" t="s">
        <v>485</v>
      </c>
      <c r="E1698">
        <v>92700</v>
      </c>
      <c r="F1698" t="s">
        <v>1453</v>
      </c>
    </row>
    <row r="1699" spans="1:6" x14ac:dyDescent="0.35">
      <c r="A1699">
        <v>20260701</v>
      </c>
      <c r="B1699" t="s">
        <v>1257</v>
      </c>
      <c r="C1699">
        <v>3400</v>
      </c>
      <c r="D1699" t="s">
        <v>485</v>
      </c>
      <c r="E1699">
        <v>-92700</v>
      </c>
      <c r="F1699" t="s">
        <v>1453</v>
      </c>
    </row>
    <row r="1700" spans="1:6" x14ac:dyDescent="0.35">
      <c r="A1700">
        <v>20260701</v>
      </c>
      <c r="B1700" t="s">
        <v>1164</v>
      </c>
      <c r="C1700">
        <v>5000</v>
      </c>
      <c r="D1700" t="s">
        <v>1131</v>
      </c>
      <c r="E1700">
        <v>473800</v>
      </c>
      <c r="F1700" t="s">
        <v>1453</v>
      </c>
    </row>
    <row r="1701" spans="1:6" x14ac:dyDescent="0.35">
      <c r="A1701">
        <v>20260701</v>
      </c>
      <c r="B1701" t="s">
        <v>1164</v>
      </c>
      <c r="C1701">
        <v>5400</v>
      </c>
      <c r="D1701" t="s">
        <v>1131</v>
      </c>
      <c r="E1701">
        <v>66805.8</v>
      </c>
      <c r="F1701" t="s">
        <v>1453</v>
      </c>
    </row>
    <row r="1702" spans="1:6" x14ac:dyDescent="0.35">
      <c r="A1702">
        <v>20260701</v>
      </c>
      <c r="B1702" t="s">
        <v>1164</v>
      </c>
      <c r="C1702">
        <v>6300</v>
      </c>
      <c r="D1702" t="s">
        <v>1131</v>
      </c>
      <c r="E1702">
        <v>87550</v>
      </c>
      <c r="F1702" t="s">
        <v>1453</v>
      </c>
    </row>
    <row r="1703" spans="1:6" x14ac:dyDescent="0.35">
      <c r="A1703">
        <v>20260701</v>
      </c>
      <c r="B1703" t="s">
        <v>1164</v>
      </c>
      <c r="C1703">
        <v>3900</v>
      </c>
      <c r="D1703" t="s">
        <v>1131</v>
      </c>
      <c r="E1703">
        <v>-669500</v>
      </c>
      <c r="F1703" t="s">
        <v>1453</v>
      </c>
    </row>
    <row r="1704" spans="1:6" x14ac:dyDescent="0.35">
      <c r="A1704">
        <v>20260701</v>
      </c>
      <c r="B1704" t="s">
        <v>1249</v>
      </c>
      <c r="C1704">
        <v>5100</v>
      </c>
      <c r="D1704" t="s">
        <v>485</v>
      </c>
      <c r="E1704">
        <v>92700</v>
      </c>
      <c r="F1704" t="s">
        <v>1453</v>
      </c>
    </row>
    <row r="1705" spans="1:6" x14ac:dyDescent="0.35">
      <c r="A1705">
        <v>20260701</v>
      </c>
      <c r="B1705" t="s">
        <v>1249</v>
      </c>
      <c r="C1705">
        <v>3400</v>
      </c>
      <c r="D1705" t="s">
        <v>485</v>
      </c>
      <c r="E1705">
        <v>-92700</v>
      </c>
      <c r="F1705" t="s">
        <v>1453</v>
      </c>
    </row>
    <row r="1706" spans="1:6" x14ac:dyDescent="0.35">
      <c r="A1706">
        <v>20260701</v>
      </c>
      <c r="B1706" t="s">
        <v>1169</v>
      </c>
      <c r="C1706">
        <v>5000</v>
      </c>
      <c r="D1706" t="s">
        <v>1131</v>
      </c>
      <c r="E1706">
        <v>473800</v>
      </c>
      <c r="F1706" t="s">
        <v>1453</v>
      </c>
    </row>
    <row r="1707" spans="1:6" x14ac:dyDescent="0.35">
      <c r="A1707">
        <v>20260701</v>
      </c>
      <c r="B1707" t="s">
        <v>1169</v>
      </c>
      <c r="C1707">
        <v>5400</v>
      </c>
      <c r="D1707" t="s">
        <v>1131</v>
      </c>
      <c r="E1707">
        <v>66805.8</v>
      </c>
      <c r="F1707" t="s">
        <v>1453</v>
      </c>
    </row>
    <row r="1708" spans="1:6" x14ac:dyDescent="0.35">
      <c r="A1708">
        <v>20260701</v>
      </c>
      <c r="B1708" t="s">
        <v>1169</v>
      </c>
      <c r="C1708">
        <v>6300</v>
      </c>
      <c r="D1708" t="s">
        <v>1131</v>
      </c>
      <c r="E1708">
        <v>87550</v>
      </c>
      <c r="F1708" t="s">
        <v>1453</v>
      </c>
    </row>
    <row r="1709" spans="1:6" x14ac:dyDescent="0.35">
      <c r="A1709">
        <v>20260701</v>
      </c>
      <c r="B1709" t="s">
        <v>1169</v>
      </c>
      <c r="C1709">
        <v>3900</v>
      </c>
      <c r="D1709" t="s">
        <v>1131</v>
      </c>
      <c r="E1709">
        <v>-669500</v>
      </c>
      <c r="F1709" t="s">
        <v>1453</v>
      </c>
    </row>
    <row r="1710" spans="1:6" x14ac:dyDescent="0.35">
      <c r="A1710">
        <v>20260701</v>
      </c>
      <c r="B1710" t="s">
        <v>1260</v>
      </c>
      <c r="C1710">
        <v>5100</v>
      </c>
      <c r="D1710" t="s">
        <v>485</v>
      </c>
      <c r="E1710">
        <v>92700</v>
      </c>
      <c r="F1710" t="s">
        <v>1453</v>
      </c>
    </row>
    <row r="1711" spans="1:6" x14ac:dyDescent="0.35">
      <c r="A1711">
        <v>20260701</v>
      </c>
      <c r="B1711" t="s">
        <v>1260</v>
      </c>
      <c r="C1711">
        <v>3400</v>
      </c>
      <c r="D1711" t="s">
        <v>485</v>
      </c>
      <c r="E1711">
        <v>-92700</v>
      </c>
      <c r="F1711" t="s">
        <v>1453</v>
      </c>
    </row>
    <row r="1712" spans="1:6" x14ac:dyDescent="0.35">
      <c r="A1712">
        <v>20260701</v>
      </c>
      <c r="B1712" t="s">
        <v>1175</v>
      </c>
      <c r="C1712">
        <v>5000</v>
      </c>
      <c r="D1712" t="s">
        <v>1131</v>
      </c>
      <c r="E1712">
        <v>473800</v>
      </c>
      <c r="F1712" t="s">
        <v>1453</v>
      </c>
    </row>
    <row r="1713" spans="1:6" x14ac:dyDescent="0.35">
      <c r="A1713">
        <v>20260701</v>
      </c>
      <c r="B1713" t="s">
        <v>1175</v>
      </c>
      <c r="C1713">
        <v>5400</v>
      </c>
      <c r="D1713" t="s">
        <v>1131</v>
      </c>
      <c r="E1713">
        <v>66805.8</v>
      </c>
      <c r="F1713" t="s">
        <v>1453</v>
      </c>
    </row>
    <row r="1714" spans="1:6" x14ac:dyDescent="0.35">
      <c r="A1714">
        <v>20260701</v>
      </c>
      <c r="B1714" t="s">
        <v>1175</v>
      </c>
      <c r="C1714">
        <v>6300</v>
      </c>
      <c r="D1714" t="s">
        <v>1131</v>
      </c>
      <c r="E1714">
        <v>87550</v>
      </c>
      <c r="F1714" t="s">
        <v>1453</v>
      </c>
    </row>
    <row r="1715" spans="1:6" x14ac:dyDescent="0.35">
      <c r="A1715">
        <v>20260701</v>
      </c>
      <c r="B1715" t="s">
        <v>1175</v>
      </c>
      <c r="C1715">
        <v>3900</v>
      </c>
      <c r="D1715" t="s">
        <v>1131</v>
      </c>
      <c r="E1715">
        <v>-669500</v>
      </c>
      <c r="F1715" t="s">
        <v>1453</v>
      </c>
    </row>
    <row r="1716" spans="1:6" x14ac:dyDescent="0.35">
      <c r="A1716">
        <v>20260701</v>
      </c>
      <c r="B1716" t="s">
        <v>1247</v>
      </c>
      <c r="C1716">
        <v>5100</v>
      </c>
      <c r="D1716" t="s">
        <v>485</v>
      </c>
      <c r="E1716">
        <v>92700</v>
      </c>
      <c r="F1716" t="s">
        <v>1453</v>
      </c>
    </row>
    <row r="1717" spans="1:6" x14ac:dyDescent="0.35">
      <c r="A1717">
        <v>20260701</v>
      </c>
      <c r="B1717" t="s">
        <v>1247</v>
      </c>
      <c r="C1717">
        <v>3400</v>
      </c>
      <c r="D1717" t="s">
        <v>485</v>
      </c>
      <c r="E1717">
        <v>-92700</v>
      </c>
      <c r="F1717" t="s">
        <v>1453</v>
      </c>
    </row>
    <row r="1718" spans="1:6" x14ac:dyDescent="0.35">
      <c r="A1718">
        <v>20260701</v>
      </c>
      <c r="B1718" t="s">
        <v>1130</v>
      </c>
      <c r="C1718">
        <v>5000</v>
      </c>
      <c r="D1718" t="s">
        <v>1131</v>
      </c>
      <c r="E1718">
        <v>473800</v>
      </c>
      <c r="F1718" t="s">
        <v>1453</v>
      </c>
    </row>
    <row r="1719" spans="1:6" x14ac:dyDescent="0.35">
      <c r="A1719">
        <v>20260701</v>
      </c>
      <c r="B1719" t="s">
        <v>1130</v>
      </c>
      <c r="C1719">
        <v>5400</v>
      </c>
      <c r="D1719" t="s">
        <v>1131</v>
      </c>
      <c r="E1719">
        <v>66805.8</v>
      </c>
      <c r="F1719" t="s">
        <v>1453</v>
      </c>
    </row>
    <row r="1720" spans="1:6" x14ac:dyDescent="0.35">
      <c r="A1720">
        <v>20260701</v>
      </c>
      <c r="B1720" t="s">
        <v>1130</v>
      </c>
      <c r="C1720">
        <v>6300</v>
      </c>
      <c r="D1720" t="s">
        <v>1131</v>
      </c>
      <c r="E1720">
        <v>87550</v>
      </c>
      <c r="F1720" t="s">
        <v>1453</v>
      </c>
    </row>
    <row r="1721" spans="1:6" x14ac:dyDescent="0.35">
      <c r="A1721">
        <v>20260701</v>
      </c>
      <c r="B1721" t="s">
        <v>1130</v>
      </c>
      <c r="C1721">
        <v>3900</v>
      </c>
      <c r="D1721" t="s">
        <v>1131</v>
      </c>
      <c r="E1721">
        <v>-669500</v>
      </c>
      <c r="F1721" t="s">
        <v>1453</v>
      </c>
    </row>
    <row r="1722" spans="1:6" x14ac:dyDescent="0.35">
      <c r="A1722">
        <v>20260701</v>
      </c>
      <c r="B1722" t="s">
        <v>1265</v>
      </c>
      <c r="C1722">
        <v>5100</v>
      </c>
      <c r="D1722" t="s">
        <v>485</v>
      </c>
      <c r="E1722">
        <v>92700</v>
      </c>
      <c r="F1722" t="s">
        <v>1453</v>
      </c>
    </row>
    <row r="1723" spans="1:6" x14ac:dyDescent="0.35">
      <c r="A1723">
        <v>20260701</v>
      </c>
      <c r="B1723" t="s">
        <v>1265</v>
      </c>
      <c r="C1723">
        <v>3400</v>
      </c>
      <c r="D1723" t="s">
        <v>485</v>
      </c>
      <c r="E1723">
        <v>-92700</v>
      </c>
      <c r="F1723" t="s">
        <v>1453</v>
      </c>
    </row>
    <row r="1724" spans="1:6" x14ac:dyDescent="0.35">
      <c r="A1724">
        <v>20260701</v>
      </c>
      <c r="B1724" t="s">
        <v>1173</v>
      </c>
      <c r="C1724">
        <v>5000</v>
      </c>
      <c r="D1724" t="s">
        <v>1131</v>
      </c>
      <c r="E1724">
        <v>473800</v>
      </c>
      <c r="F1724" t="s">
        <v>1453</v>
      </c>
    </row>
    <row r="1725" spans="1:6" x14ac:dyDescent="0.35">
      <c r="A1725">
        <v>20260701</v>
      </c>
      <c r="B1725" t="s">
        <v>1173</v>
      </c>
      <c r="C1725">
        <v>5400</v>
      </c>
      <c r="D1725" t="s">
        <v>1131</v>
      </c>
      <c r="E1725">
        <v>66805.8</v>
      </c>
      <c r="F1725" t="s">
        <v>1453</v>
      </c>
    </row>
    <row r="1726" spans="1:6" x14ac:dyDescent="0.35">
      <c r="A1726">
        <v>20260701</v>
      </c>
      <c r="B1726" t="s">
        <v>1173</v>
      </c>
      <c r="C1726">
        <v>6300</v>
      </c>
      <c r="D1726" t="s">
        <v>1131</v>
      </c>
      <c r="E1726">
        <v>87550</v>
      </c>
      <c r="F1726" t="s">
        <v>1453</v>
      </c>
    </row>
    <row r="1727" spans="1:6" x14ac:dyDescent="0.35">
      <c r="A1727">
        <v>20260701</v>
      </c>
      <c r="B1727" t="s">
        <v>1173</v>
      </c>
      <c r="C1727">
        <v>3900</v>
      </c>
      <c r="D1727" t="s">
        <v>1131</v>
      </c>
      <c r="E1727">
        <v>-669500</v>
      </c>
      <c r="F1727" t="s">
        <v>1453</v>
      </c>
    </row>
    <row r="1728" spans="1:6" x14ac:dyDescent="0.35">
      <c r="A1728">
        <v>20260701</v>
      </c>
      <c r="B1728" t="s">
        <v>1255</v>
      </c>
      <c r="C1728">
        <v>5100</v>
      </c>
      <c r="D1728" t="s">
        <v>485</v>
      </c>
      <c r="E1728">
        <v>92700</v>
      </c>
      <c r="F1728" t="s">
        <v>1453</v>
      </c>
    </row>
    <row r="1729" spans="1:6" x14ac:dyDescent="0.35">
      <c r="A1729">
        <v>20260701</v>
      </c>
      <c r="B1729" t="s">
        <v>1255</v>
      </c>
      <c r="C1729">
        <v>3400</v>
      </c>
      <c r="D1729" t="s">
        <v>485</v>
      </c>
      <c r="E1729">
        <v>-92700</v>
      </c>
      <c r="F1729" t="s">
        <v>1453</v>
      </c>
    </row>
    <row r="1730" spans="1:6" x14ac:dyDescent="0.35">
      <c r="A1730">
        <v>20260701</v>
      </c>
      <c r="B1730" t="s">
        <v>1155</v>
      </c>
      <c r="C1730">
        <v>5000</v>
      </c>
      <c r="D1730" t="s">
        <v>1131</v>
      </c>
      <c r="E1730">
        <v>473800</v>
      </c>
      <c r="F1730" t="s">
        <v>1453</v>
      </c>
    </row>
    <row r="1731" spans="1:6" x14ac:dyDescent="0.35">
      <c r="A1731">
        <v>20260701</v>
      </c>
      <c r="B1731" t="s">
        <v>1155</v>
      </c>
      <c r="C1731">
        <v>5400</v>
      </c>
      <c r="D1731" t="s">
        <v>1131</v>
      </c>
      <c r="E1731">
        <v>66805.8</v>
      </c>
      <c r="F1731" t="s">
        <v>1453</v>
      </c>
    </row>
    <row r="1732" spans="1:6" x14ac:dyDescent="0.35">
      <c r="A1732">
        <v>20260701</v>
      </c>
      <c r="B1732" t="s">
        <v>1155</v>
      </c>
      <c r="C1732">
        <v>6300</v>
      </c>
      <c r="D1732" t="s">
        <v>1131</v>
      </c>
      <c r="E1732">
        <v>87550</v>
      </c>
      <c r="F1732" t="s">
        <v>1453</v>
      </c>
    </row>
    <row r="1733" spans="1:6" x14ac:dyDescent="0.35">
      <c r="A1733">
        <v>20260701</v>
      </c>
      <c r="B1733" t="s">
        <v>1155</v>
      </c>
      <c r="C1733">
        <v>3900</v>
      </c>
      <c r="D1733" t="s">
        <v>1131</v>
      </c>
      <c r="E1733">
        <v>-669500</v>
      </c>
      <c r="F1733" t="s">
        <v>1453</v>
      </c>
    </row>
    <row r="1734" spans="1:6" x14ac:dyDescent="0.35">
      <c r="A1734">
        <v>20260701</v>
      </c>
      <c r="B1734" t="s">
        <v>1138</v>
      </c>
      <c r="C1734">
        <v>5000</v>
      </c>
      <c r="D1734" t="s">
        <v>1131</v>
      </c>
      <c r="E1734">
        <v>473800</v>
      </c>
      <c r="F1734" t="s">
        <v>1453</v>
      </c>
    </row>
    <row r="1735" spans="1:6" x14ac:dyDescent="0.35">
      <c r="A1735">
        <v>20260701</v>
      </c>
      <c r="B1735" t="s">
        <v>1138</v>
      </c>
      <c r="C1735">
        <v>5400</v>
      </c>
      <c r="D1735" t="s">
        <v>1131</v>
      </c>
      <c r="E1735">
        <v>66805.8</v>
      </c>
      <c r="F1735" t="s">
        <v>1453</v>
      </c>
    </row>
    <row r="1736" spans="1:6" x14ac:dyDescent="0.35">
      <c r="A1736">
        <v>20260701</v>
      </c>
      <c r="B1736" t="s">
        <v>1138</v>
      </c>
      <c r="C1736">
        <v>6300</v>
      </c>
      <c r="D1736" t="s">
        <v>1131</v>
      </c>
      <c r="E1736">
        <v>87550</v>
      </c>
      <c r="F1736" t="s">
        <v>1453</v>
      </c>
    </row>
    <row r="1737" spans="1:6" x14ac:dyDescent="0.35">
      <c r="A1737">
        <v>20260701</v>
      </c>
      <c r="B1737" t="s">
        <v>1138</v>
      </c>
      <c r="C1737">
        <v>3900</v>
      </c>
      <c r="D1737" t="s">
        <v>1131</v>
      </c>
      <c r="E1737">
        <v>-669500</v>
      </c>
      <c r="F1737" t="s">
        <v>1453</v>
      </c>
    </row>
    <row r="1738" spans="1:6" x14ac:dyDescent="0.35">
      <c r="A1738">
        <v>20260801</v>
      </c>
      <c r="B1738" t="s">
        <v>1150</v>
      </c>
      <c r="C1738">
        <v>5000</v>
      </c>
      <c r="D1738" t="s">
        <v>1131</v>
      </c>
      <c r="E1738">
        <v>473800</v>
      </c>
      <c r="F1738" t="s">
        <v>1453</v>
      </c>
    </row>
    <row r="1739" spans="1:6" x14ac:dyDescent="0.35">
      <c r="A1739">
        <v>20260801</v>
      </c>
      <c r="B1739" t="s">
        <v>1150</v>
      </c>
      <c r="C1739">
        <v>5400</v>
      </c>
      <c r="D1739" t="s">
        <v>1131</v>
      </c>
      <c r="E1739">
        <v>66805.8</v>
      </c>
      <c r="F1739" t="s">
        <v>1453</v>
      </c>
    </row>
    <row r="1740" spans="1:6" x14ac:dyDescent="0.35">
      <c r="A1740">
        <v>20260801</v>
      </c>
      <c r="B1740" t="s">
        <v>1150</v>
      </c>
      <c r="C1740">
        <v>6300</v>
      </c>
      <c r="D1740" t="s">
        <v>1131</v>
      </c>
      <c r="E1740">
        <v>87550</v>
      </c>
      <c r="F1740" t="s">
        <v>1453</v>
      </c>
    </row>
    <row r="1741" spans="1:6" x14ac:dyDescent="0.35">
      <c r="A1741">
        <v>20260801</v>
      </c>
      <c r="B1741" t="s">
        <v>1150</v>
      </c>
      <c r="C1741">
        <v>3900</v>
      </c>
      <c r="D1741" t="s">
        <v>1131</v>
      </c>
      <c r="E1741">
        <v>-669500</v>
      </c>
      <c r="F1741" t="s">
        <v>1453</v>
      </c>
    </row>
    <row r="1742" spans="1:6" x14ac:dyDescent="0.35">
      <c r="A1742">
        <v>20260801</v>
      </c>
      <c r="B1742" t="s">
        <v>1272</v>
      </c>
      <c r="C1742">
        <v>5100</v>
      </c>
      <c r="D1742" t="s">
        <v>485</v>
      </c>
      <c r="E1742">
        <v>92700</v>
      </c>
      <c r="F1742" t="s">
        <v>1453</v>
      </c>
    </row>
    <row r="1743" spans="1:6" x14ac:dyDescent="0.35">
      <c r="A1743">
        <v>20260801</v>
      </c>
      <c r="B1743" t="s">
        <v>1272</v>
      </c>
      <c r="C1743">
        <v>3400</v>
      </c>
      <c r="D1743" t="s">
        <v>485</v>
      </c>
      <c r="E1743">
        <v>-92700</v>
      </c>
      <c r="F1743" t="s">
        <v>1453</v>
      </c>
    </row>
    <row r="1744" spans="1:6" x14ac:dyDescent="0.35">
      <c r="A1744">
        <v>20260801</v>
      </c>
      <c r="B1744" t="s">
        <v>1158</v>
      </c>
      <c r="C1744">
        <v>5000</v>
      </c>
      <c r="D1744" t="s">
        <v>1131</v>
      </c>
      <c r="E1744">
        <v>473800</v>
      </c>
      <c r="F1744" t="s">
        <v>1453</v>
      </c>
    </row>
    <row r="1745" spans="1:6" x14ac:dyDescent="0.35">
      <c r="A1745">
        <v>20260801</v>
      </c>
      <c r="B1745" t="s">
        <v>1158</v>
      </c>
      <c r="C1745">
        <v>5400</v>
      </c>
      <c r="D1745" t="s">
        <v>1131</v>
      </c>
      <c r="E1745">
        <v>66805.8</v>
      </c>
      <c r="F1745" t="s">
        <v>1453</v>
      </c>
    </row>
    <row r="1746" spans="1:6" x14ac:dyDescent="0.35">
      <c r="A1746">
        <v>20260801</v>
      </c>
      <c r="B1746" t="s">
        <v>1158</v>
      </c>
      <c r="C1746">
        <v>6300</v>
      </c>
      <c r="D1746" t="s">
        <v>1131</v>
      </c>
      <c r="E1746">
        <v>87550</v>
      </c>
      <c r="F1746" t="s">
        <v>1453</v>
      </c>
    </row>
    <row r="1747" spans="1:6" x14ac:dyDescent="0.35">
      <c r="A1747">
        <v>20260801</v>
      </c>
      <c r="B1747" t="s">
        <v>1158</v>
      </c>
      <c r="C1747">
        <v>3900</v>
      </c>
      <c r="D1747" t="s">
        <v>1131</v>
      </c>
      <c r="E1747">
        <v>-669500</v>
      </c>
      <c r="F1747" t="s">
        <v>1453</v>
      </c>
    </row>
    <row r="1748" spans="1:6" x14ac:dyDescent="0.35">
      <c r="A1748">
        <v>20260801</v>
      </c>
      <c r="B1748" t="s">
        <v>1243</v>
      </c>
      <c r="C1748">
        <v>5100</v>
      </c>
      <c r="D1748" t="s">
        <v>485</v>
      </c>
      <c r="E1748">
        <v>92700</v>
      </c>
      <c r="F1748" t="s">
        <v>1453</v>
      </c>
    </row>
    <row r="1749" spans="1:6" x14ac:dyDescent="0.35">
      <c r="A1749">
        <v>20260801</v>
      </c>
      <c r="B1749" t="s">
        <v>1243</v>
      </c>
      <c r="C1749">
        <v>3400</v>
      </c>
      <c r="D1749" t="s">
        <v>485</v>
      </c>
      <c r="E1749">
        <v>-92700</v>
      </c>
      <c r="F1749" t="s">
        <v>1453</v>
      </c>
    </row>
    <row r="1750" spans="1:6" x14ac:dyDescent="0.35">
      <c r="A1750">
        <v>20260801</v>
      </c>
      <c r="B1750" t="s">
        <v>1205</v>
      </c>
      <c r="C1750">
        <v>5000</v>
      </c>
      <c r="D1750" t="s">
        <v>1131</v>
      </c>
      <c r="E1750">
        <v>473800</v>
      </c>
      <c r="F1750" t="s">
        <v>1453</v>
      </c>
    </row>
    <row r="1751" spans="1:6" x14ac:dyDescent="0.35">
      <c r="A1751">
        <v>20260801</v>
      </c>
      <c r="B1751" t="s">
        <v>1205</v>
      </c>
      <c r="C1751">
        <v>5400</v>
      </c>
      <c r="D1751" t="s">
        <v>1131</v>
      </c>
      <c r="E1751">
        <v>66805.8</v>
      </c>
      <c r="F1751" t="s">
        <v>1453</v>
      </c>
    </row>
    <row r="1752" spans="1:6" x14ac:dyDescent="0.35">
      <c r="A1752">
        <v>20260801</v>
      </c>
      <c r="B1752" t="s">
        <v>1205</v>
      </c>
      <c r="C1752">
        <v>6300</v>
      </c>
      <c r="D1752" t="s">
        <v>1131</v>
      </c>
      <c r="E1752">
        <v>87550</v>
      </c>
      <c r="F1752" t="s">
        <v>1453</v>
      </c>
    </row>
    <row r="1753" spans="1:6" x14ac:dyDescent="0.35">
      <c r="A1753">
        <v>20260801</v>
      </c>
      <c r="B1753" t="s">
        <v>1205</v>
      </c>
      <c r="C1753">
        <v>3900</v>
      </c>
      <c r="D1753" t="s">
        <v>1131</v>
      </c>
      <c r="E1753">
        <v>-669500</v>
      </c>
      <c r="F1753" t="s">
        <v>1453</v>
      </c>
    </row>
    <row r="1754" spans="1:6" x14ac:dyDescent="0.35">
      <c r="A1754">
        <v>20260801</v>
      </c>
      <c r="B1754" t="s">
        <v>1257</v>
      </c>
      <c r="C1754">
        <v>5100</v>
      </c>
      <c r="D1754" t="s">
        <v>485</v>
      </c>
      <c r="E1754">
        <v>92700</v>
      </c>
      <c r="F1754" t="s">
        <v>1453</v>
      </c>
    </row>
    <row r="1755" spans="1:6" x14ac:dyDescent="0.35">
      <c r="A1755">
        <v>20260801</v>
      </c>
      <c r="B1755" t="s">
        <v>1257</v>
      </c>
      <c r="C1755">
        <v>3400</v>
      </c>
      <c r="D1755" t="s">
        <v>485</v>
      </c>
      <c r="E1755">
        <v>-92700</v>
      </c>
      <c r="F1755" t="s">
        <v>1453</v>
      </c>
    </row>
    <row r="1756" spans="1:6" x14ac:dyDescent="0.35">
      <c r="A1756">
        <v>20260801</v>
      </c>
      <c r="B1756" t="s">
        <v>1164</v>
      </c>
      <c r="C1756">
        <v>5000</v>
      </c>
      <c r="D1756" t="s">
        <v>1131</v>
      </c>
      <c r="E1756">
        <v>473800</v>
      </c>
      <c r="F1756" t="s">
        <v>1453</v>
      </c>
    </row>
    <row r="1757" spans="1:6" x14ac:dyDescent="0.35">
      <c r="A1757">
        <v>20260801</v>
      </c>
      <c r="B1757" t="s">
        <v>1164</v>
      </c>
      <c r="C1757">
        <v>5400</v>
      </c>
      <c r="D1757" t="s">
        <v>1131</v>
      </c>
      <c r="E1757">
        <v>66805.8</v>
      </c>
      <c r="F1757" t="s">
        <v>1453</v>
      </c>
    </row>
    <row r="1758" spans="1:6" x14ac:dyDescent="0.35">
      <c r="A1758">
        <v>20260801</v>
      </c>
      <c r="B1758" t="s">
        <v>1164</v>
      </c>
      <c r="C1758">
        <v>6300</v>
      </c>
      <c r="D1758" t="s">
        <v>1131</v>
      </c>
      <c r="E1758">
        <v>87550</v>
      </c>
      <c r="F1758" t="s">
        <v>1453</v>
      </c>
    </row>
    <row r="1759" spans="1:6" x14ac:dyDescent="0.35">
      <c r="A1759">
        <v>20260801</v>
      </c>
      <c r="B1759" t="s">
        <v>1164</v>
      </c>
      <c r="C1759">
        <v>3900</v>
      </c>
      <c r="D1759" t="s">
        <v>1131</v>
      </c>
      <c r="E1759">
        <v>-669500</v>
      </c>
      <c r="F1759" t="s">
        <v>1453</v>
      </c>
    </row>
    <row r="1760" spans="1:6" x14ac:dyDescent="0.35">
      <c r="A1760">
        <v>20260801</v>
      </c>
      <c r="B1760" t="s">
        <v>1249</v>
      </c>
      <c r="C1760">
        <v>5100</v>
      </c>
      <c r="D1760" t="s">
        <v>485</v>
      </c>
      <c r="E1760">
        <v>92700</v>
      </c>
      <c r="F1760" t="s">
        <v>1453</v>
      </c>
    </row>
    <row r="1761" spans="1:6" x14ac:dyDescent="0.35">
      <c r="A1761">
        <v>20260801</v>
      </c>
      <c r="B1761" t="s">
        <v>1249</v>
      </c>
      <c r="C1761">
        <v>3400</v>
      </c>
      <c r="D1761" t="s">
        <v>485</v>
      </c>
      <c r="E1761">
        <v>-92700</v>
      </c>
      <c r="F1761" t="s">
        <v>1453</v>
      </c>
    </row>
    <row r="1762" spans="1:6" x14ac:dyDescent="0.35">
      <c r="A1762">
        <v>20260801</v>
      </c>
      <c r="B1762" t="s">
        <v>1169</v>
      </c>
      <c r="C1762">
        <v>5000</v>
      </c>
      <c r="D1762" t="s">
        <v>1131</v>
      </c>
      <c r="E1762">
        <v>473800</v>
      </c>
      <c r="F1762" t="s">
        <v>1453</v>
      </c>
    </row>
    <row r="1763" spans="1:6" x14ac:dyDescent="0.35">
      <c r="A1763">
        <v>20260801</v>
      </c>
      <c r="B1763" t="s">
        <v>1169</v>
      </c>
      <c r="C1763">
        <v>5400</v>
      </c>
      <c r="D1763" t="s">
        <v>1131</v>
      </c>
      <c r="E1763">
        <v>66805.8</v>
      </c>
      <c r="F1763" t="s">
        <v>1453</v>
      </c>
    </row>
    <row r="1764" spans="1:6" x14ac:dyDescent="0.35">
      <c r="A1764">
        <v>20260801</v>
      </c>
      <c r="B1764" t="s">
        <v>1169</v>
      </c>
      <c r="C1764">
        <v>6300</v>
      </c>
      <c r="D1764" t="s">
        <v>1131</v>
      </c>
      <c r="E1764">
        <v>87550</v>
      </c>
      <c r="F1764" t="s">
        <v>1453</v>
      </c>
    </row>
    <row r="1765" spans="1:6" x14ac:dyDescent="0.35">
      <c r="A1765">
        <v>20260801</v>
      </c>
      <c r="B1765" t="s">
        <v>1169</v>
      </c>
      <c r="C1765">
        <v>3900</v>
      </c>
      <c r="D1765" t="s">
        <v>1131</v>
      </c>
      <c r="E1765">
        <v>-669500</v>
      </c>
      <c r="F1765" t="s">
        <v>1453</v>
      </c>
    </row>
    <row r="1766" spans="1:6" x14ac:dyDescent="0.35">
      <c r="A1766">
        <v>20260801</v>
      </c>
      <c r="B1766" t="s">
        <v>1260</v>
      </c>
      <c r="C1766">
        <v>5100</v>
      </c>
      <c r="D1766" t="s">
        <v>485</v>
      </c>
      <c r="E1766">
        <v>92700</v>
      </c>
      <c r="F1766" t="s">
        <v>1453</v>
      </c>
    </row>
    <row r="1767" spans="1:6" x14ac:dyDescent="0.35">
      <c r="A1767">
        <v>20260801</v>
      </c>
      <c r="B1767" t="s">
        <v>1260</v>
      </c>
      <c r="C1767">
        <v>3400</v>
      </c>
      <c r="D1767" t="s">
        <v>485</v>
      </c>
      <c r="E1767">
        <v>-92700</v>
      </c>
      <c r="F1767" t="s">
        <v>1453</v>
      </c>
    </row>
    <row r="1768" spans="1:6" x14ac:dyDescent="0.35">
      <c r="A1768">
        <v>20260801</v>
      </c>
      <c r="B1768" t="s">
        <v>1175</v>
      </c>
      <c r="C1768">
        <v>5000</v>
      </c>
      <c r="D1768" t="s">
        <v>1131</v>
      </c>
      <c r="E1768">
        <v>473800</v>
      </c>
      <c r="F1768" t="s">
        <v>1453</v>
      </c>
    </row>
    <row r="1769" spans="1:6" x14ac:dyDescent="0.35">
      <c r="A1769">
        <v>20260801</v>
      </c>
      <c r="B1769" t="s">
        <v>1175</v>
      </c>
      <c r="C1769">
        <v>5400</v>
      </c>
      <c r="D1769" t="s">
        <v>1131</v>
      </c>
      <c r="E1769">
        <v>66805.8</v>
      </c>
      <c r="F1769" t="s">
        <v>1453</v>
      </c>
    </row>
    <row r="1770" spans="1:6" x14ac:dyDescent="0.35">
      <c r="A1770">
        <v>20260801</v>
      </c>
      <c r="B1770" t="s">
        <v>1175</v>
      </c>
      <c r="C1770">
        <v>6300</v>
      </c>
      <c r="D1770" t="s">
        <v>1131</v>
      </c>
      <c r="E1770">
        <v>87550</v>
      </c>
      <c r="F1770" t="s">
        <v>1453</v>
      </c>
    </row>
    <row r="1771" spans="1:6" x14ac:dyDescent="0.35">
      <c r="A1771">
        <v>20260801</v>
      </c>
      <c r="B1771" t="s">
        <v>1175</v>
      </c>
      <c r="C1771">
        <v>3900</v>
      </c>
      <c r="D1771" t="s">
        <v>1131</v>
      </c>
      <c r="E1771">
        <v>-669500</v>
      </c>
      <c r="F1771" t="s">
        <v>1453</v>
      </c>
    </row>
    <row r="1772" spans="1:6" x14ac:dyDescent="0.35">
      <c r="A1772">
        <v>20260801</v>
      </c>
      <c r="B1772" t="s">
        <v>1247</v>
      </c>
      <c r="C1772">
        <v>5100</v>
      </c>
      <c r="D1772" t="s">
        <v>485</v>
      </c>
      <c r="E1772">
        <v>92700</v>
      </c>
      <c r="F1772" t="s">
        <v>1453</v>
      </c>
    </row>
    <row r="1773" spans="1:6" x14ac:dyDescent="0.35">
      <c r="A1773">
        <v>20260801</v>
      </c>
      <c r="B1773" t="s">
        <v>1247</v>
      </c>
      <c r="C1773">
        <v>3400</v>
      </c>
      <c r="D1773" t="s">
        <v>485</v>
      </c>
      <c r="E1773">
        <v>-92700</v>
      </c>
      <c r="F1773" t="s">
        <v>1453</v>
      </c>
    </row>
    <row r="1774" spans="1:6" x14ac:dyDescent="0.35">
      <c r="A1774">
        <v>20260801</v>
      </c>
      <c r="B1774" t="s">
        <v>1130</v>
      </c>
      <c r="C1774">
        <v>5000</v>
      </c>
      <c r="D1774" t="s">
        <v>1131</v>
      </c>
      <c r="E1774">
        <v>473800</v>
      </c>
      <c r="F1774" t="s">
        <v>1453</v>
      </c>
    </row>
    <row r="1775" spans="1:6" x14ac:dyDescent="0.35">
      <c r="A1775">
        <v>20260801</v>
      </c>
      <c r="B1775" t="s">
        <v>1130</v>
      </c>
      <c r="C1775">
        <v>5400</v>
      </c>
      <c r="D1775" t="s">
        <v>1131</v>
      </c>
      <c r="E1775">
        <v>66805.8</v>
      </c>
      <c r="F1775" t="s">
        <v>1453</v>
      </c>
    </row>
    <row r="1776" spans="1:6" x14ac:dyDescent="0.35">
      <c r="A1776">
        <v>20260801</v>
      </c>
      <c r="B1776" t="s">
        <v>1130</v>
      </c>
      <c r="C1776">
        <v>6300</v>
      </c>
      <c r="D1776" t="s">
        <v>1131</v>
      </c>
      <c r="E1776">
        <v>87550</v>
      </c>
      <c r="F1776" t="s">
        <v>1453</v>
      </c>
    </row>
    <row r="1777" spans="1:6" x14ac:dyDescent="0.35">
      <c r="A1777">
        <v>20260801</v>
      </c>
      <c r="B1777" t="s">
        <v>1130</v>
      </c>
      <c r="C1777">
        <v>3900</v>
      </c>
      <c r="D1777" t="s">
        <v>1131</v>
      </c>
      <c r="E1777">
        <v>-669500</v>
      </c>
      <c r="F1777" t="s">
        <v>1453</v>
      </c>
    </row>
    <row r="1778" spans="1:6" x14ac:dyDescent="0.35">
      <c r="A1778">
        <v>20260801</v>
      </c>
      <c r="B1778" t="s">
        <v>1265</v>
      </c>
      <c r="C1778">
        <v>5100</v>
      </c>
      <c r="D1778" t="s">
        <v>485</v>
      </c>
      <c r="E1778">
        <v>92700</v>
      </c>
      <c r="F1778" t="s">
        <v>1453</v>
      </c>
    </row>
    <row r="1779" spans="1:6" x14ac:dyDescent="0.35">
      <c r="A1779">
        <v>20260801</v>
      </c>
      <c r="B1779" t="s">
        <v>1265</v>
      </c>
      <c r="C1779">
        <v>3400</v>
      </c>
      <c r="D1779" t="s">
        <v>485</v>
      </c>
      <c r="E1779">
        <v>-92700</v>
      </c>
      <c r="F1779" t="s">
        <v>1453</v>
      </c>
    </row>
    <row r="1780" spans="1:6" x14ac:dyDescent="0.35">
      <c r="A1780">
        <v>20260801</v>
      </c>
      <c r="B1780" t="s">
        <v>1173</v>
      </c>
      <c r="C1780">
        <v>5000</v>
      </c>
      <c r="D1780" t="s">
        <v>1131</v>
      </c>
      <c r="E1780">
        <v>473800</v>
      </c>
      <c r="F1780" t="s">
        <v>1453</v>
      </c>
    </row>
    <row r="1781" spans="1:6" x14ac:dyDescent="0.35">
      <c r="A1781">
        <v>20260801</v>
      </c>
      <c r="B1781" t="s">
        <v>1173</v>
      </c>
      <c r="C1781">
        <v>5400</v>
      </c>
      <c r="D1781" t="s">
        <v>1131</v>
      </c>
      <c r="E1781">
        <v>66805.8</v>
      </c>
      <c r="F1781" t="s">
        <v>1453</v>
      </c>
    </row>
    <row r="1782" spans="1:6" x14ac:dyDescent="0.35">
      <c r="A1782">
        <v>20260801</v>
      </c>
      <c r="B1782" t="s">
        <v>1173</v>
      </c>
      <c r="C1782">
        <v>6300</v>
      </c>
      <c r="D1782" t="s">
        <v>1131</v>
      </c>
      <c r="E1782">
        <v>87550</v>
      </c>
      <c r="F1782" t="s">
        <v>1453</v>
      </c>
    </row>
    <row r="1783" spans="1:6" x14ac:dyDescent="0.35">
      <c r="A1783">
        <v>20260801</v>
      </c>
      <c r="B1783" t="s">
        <v>1173</v>
      </c>
      <c r="C1783">
        <v>3900</v>
      </c>
      <c r="D1783" t="s">
        <v>1131</v>
      </c>
      <c r="E1783">
        <v>-669500</v>
      </c>
      <c r="F1783" t="s">
        <v>1453</v>
      </c>
    </row>
    <row r="1784" spans="1:6" x14ac:dyDescent="0.35">
      <c r="A1784">
        <v>20260801</v>
      </c>
      <c r="B1784" t="s">
        <v>1255</v>
      </c>
      <c r="C1784">
        <v>5100</v>
      </c>
      <c r="D1784" t="s">
        <v>485</v>
      </c>
      <c r="E1784">
        <v>92700</v>
      </c>
      <c r="F1784" t="s">
        <v>1453</v>
      </c>
    </row>
    <row r="1785" spans="1:6" x14ac:dyDescent="0.35">
      <c r="A1785">
        <v>20260801</v>
      </c>
      <c r="B1785" t="s">
        <v>1255</v>
      </c>
      <c r="C1785">
        <v>3400</v>
      </c>
      <c r="D1785" t="s">
        <v>485</v>
      </c>
      <c r="E1785">
        <v>-92700</v>
      </c>
      <c r="F1785" t="s">
        <v>1453</v>
      </c>
    </row>
    <row r="1786" spans="1:6" x14ac:dyDescent="0.35">
      <c r="A1786">
        <v>20260801</v>
      </c>
      <c r="B1786" t="s">
        <v>1155</v>
      </c>
      <c r="C1786">
        <v>5000</v>
      </c>
      <c r="D1786" t="s">
        <v>1131</v>
      </c>
      <c r="E1786">
        <v>473800</v>
      </c>
      <c r="F1786" t="s">
        <v>1453</v>
      </c>
    </row>
    <row r="1787" spans="1:6" x14ac:dyDescent="0.35">
      <c r="A1787">
        <v>20260801</v>
      </c>
      <c r="B1787" t="s">
        <v>1155</v>
      </c>
      <c r="C1787">
        <v>5400</v>
      </c>
      <c r="D1787" t="s">
        <v>1131</v>
      </c>
      <c r="E1787">
        <v>66805.8</v>
      </c>
      <c r="F1787" t="s">
        <v>1453</v>
      </c>
    </row>
    <row r="1788" spans="1:6" x14ac:dyDescent="0.35">
      <c r="A1788">
        <v>20260801</v>
      </c>
      <c r="B1788" t="s">
        <v>1155</v>
      </c>
      <c r="C1788">
        <v>6300</v>
      </c>
      <c r="D1788" t="s">
        <v>1131</v>
      </c>
      <c r="E1788">
        <v>87550</v>
      </c>
      <c r="F1788" t="s">
        <v>1453</v>
      </c>
    </row>
    <row r="1789" spans="1:6" x14ac:dyDescent="0.35">
      <c r="A1789">
        <v>20260801</v>
      </c>
      <c r="B1789" t="s">
        <v>1155</v>
      </c>
      <c r="C1789">
        <v>3900</v>
      </c>
      <c r="D1789" t="s">
        <v>1131</v>
      </c>
      <c r="E1789">
        <v>-669500</v>
      </c>
      <c r="F1789" t="s">
        <v>1453</v>
      </c>
    </row>
    <row r="1790" spans="1:6" x14ac:dyDescent="0.35">
      <c r="A1790">
        <v>20260801</v>
      </c>
      <c r="B1790" t="s">
        <v>1138</v>
      </c>
      <c r="C1790">
        <v>5000</v>
      </c>
      <c r="D1790" t="s">
        <v>1131</v>
      </c>
      <c r="E1790">
        <v>473800</v>
      </c>
      <c r="F1790" t="s">
        <v>1453</v>
      </c>
    </row>
    <row r="1791" spans="1:6" x14ac:dyDescent="0.35">
      <c r="A1791">
        <v>20260801</v>
      </c>
      <c r="B1791" t="s">
        <v>1138</v>
      </c>
      <c r="C1791">
        <v>5400</v>
      </c>
      <c r="D1791" t="s">
        <v>1131</v>
      </c>
      <c r="E1791">
        <v>66805.8</v>
      </c>
      <c r="F1791" t="s">
        <v>1453</v>
      </c>
    </row>
    <row r="1792" spans="1:6" x14ac:dyDescent="0.35">
      <c r="A1792">
        <v>20260801</v>
      </c>
      <c r="B1792" t="s">
        <v>1138</v>
      </c>
      <c r="C1792">
        <v>6300</v>
      </c>
      <c r="D1792" t="s">
        <v>1131</v>
      </c>
      <c r="E1792">
        <v>87550</v>
      </c>
      <c r="F1792" t="s">
        <v>1453</v>
      </c>
    </row>
    <row r="1793" spans="1:6" x14ac:dyDescent="0.35">
      <c r="A1793">
        <v>20260801</v>
      </c>
      <c r="B1793" t="s">
        <v>1138</v>
      </c>
      <c r="C1793">
        <v>3900</v>
      </c>
      <c r="D1793" t="s">
        <v>1131</v>
      </c>
      <c r="E1793">
        <v>-669500</v>
      </c>
      <c r="F1793" t="s">
        <v>1453</v>
      </c>
    </row>
    <row r="1794" spans="1:6" x14ac:dyDescent="0.35">
      <c r="A1794">
        <v>20270101</v>
      </c>
      <c r="B1794" t="s">
        <v>1150</v>
      </c>
      <c r="C1794">
        <v>5000</v>
      </c>
      <c r="D1794" t="s">
        <v>1131</v>
      </c>
      <c r="E1794">
        <v>484100</v>
      </c>
      <c r="F1794" t="s">
        <v>1454</v>
      </c>
    </row>
    <row r="1795" spans="1:6" x14ac:dyDescent="0.35">
      <c r="A1795">
        <v>20270101</v>
      </c>
      <c r="B1795" t="s">
        <v>1150</v>
      </c>
      <c r="C1795">
        <v>3900</v>
      </c>
      <c r="D1795" t="s">
        <v>1131</v>
      </c>
      <c r="E1795">
        <v>-690100</v>
      </c>
      <c r="F1795" t="s">
        <v>1454</v>
      </c>
    </row>
    <row r="1796" spans="1:6" x14ac:dyDescent="0.35">
      <c r="A1796">
        <v>20270101</v>
      </c>
      <c r="B1796" t="s">
        <v>1158</v>
      </c>
      <c r="C1796">
        <v>5000</v>
      </c>
      <c r="D1796" t="s">
        <v>1131</v>
      </c>
      <c r="E1796">
        <v>484100</v>
      </c>
      <c r="F1796" t="s">
        <v>1454</v>
      </c>
    </row>
    <row r="1797" spans="1:6" x14ac:dyDescent="0.35">
      <c r="A1797">
        <v>20270101</v>
      </c>
      <c r="B1797" t="s">
        <v>1158</v>
      </c>
      <c r="C1797">
        <v>3900</v>
      </c>
      <c r="D1797" t="s">
        <v>1131</v>
      </c>
      <c r="E1797">
        <v>-690100</v>
      </c>
      <c r="F1797" t="s">
        <v>1454</v>
      </c>
    </row>
    <row r="1798" spans="1:6" x14ac:dyDescent="0.35">
      <c r="A1798">
        <v>20270101</v>
      </c>
      <c r="B1798" t="s">
        <v>1205</v>
      </c>
      <c r="C1798">
        <v>5000</v>
      </c>
      <c r="D1798" t="s">
        <v>1131</v>
      </c>
      <c r="E1798">
        <v>484100</v>
      </c>
      <c r="F1798" t="s">
        <v>1454</v>
      </c>
    </row>
    <row r="1799" spans="1:6" x14ac:dyDescent="0.35">
      <c r="A1799">
        <v>20270101</v>
      </c>
      <c r="B1799" t="s">
        <v>1205</v>
      </c>
      <c r="C1799">
        <v>3900</v>
      </c>
      <c r="D1799" t="s">
        <v>1131</v>
      </c>
      <c r="E1799">
        <v>-690100</v>
      </c>
      <c r="F1799" t="s">
        <v>1454</v>
      </c>
    </row>
    <row r="1800" spans="1:6" x14ac:dyDescent="0.35">
      <c r="A1800">
        <v>20270101</v>
      </c>
      <c r="B1800" t="s">
        <v>1164</v>
      </c>
      <c r="C1800">
        <v>5000</v>
      </c>
      <c r="D1800" t="s">
        <v>1131</v>
      </c>
      <c r="E1800">
        <v>484100</v>
      </c>
      <c r="F1800" t="s">
        <v>1454</v>
      </c>
    </row>
    <row r="1801" spans="1:6" x14ac:dyDescent="0.35">
      <c r="A1801">
        <v>20270101</v>
      </c>
      <c r="B1801" t="s">
        <v>1164</v>
      </c>
      <c r="C1801">
        <v>3900</v>
      </c>
      <c r="D1801" t="s">
        <v>1131</v>
      </c>
      <c r="E1801">
        <v>-690100</v>
      </c>
      <c r="F1801" t="s">
        <v>1454</v>
      </c>
    </row>
    <row r="1802" spans="1:6" x14ac:dyDescent="0.35">
      <c r="A1802">
        <v>20270101</v>
      </c>
      <c r="B1802" t="s">
        <v>1169</v>
      </c>
      <c r="C1802">
        <v>5000</v>
      </c>
      <c r="D1802" t="s">
        <v>1131</v>
      </c>
      <c r="E1802">
        <v>484100</v>
      </c>
      <c r="F1802" t="s">
        <v>1454</v>
      </c>
    </row>
    <row r="1803" spans="1:6" x14ac:dyDescent="0.35">
      <c r="A1803">
        <v>20270101</v>
      </c>
      <c r="B1803" t="s">
        <v>1169</v>
      </c>
      <c r="C1803">
        <v>3900</v>
      </c>
      <c r="D1803" t="s">
        <v>1131</v>
      </c>
      <c r="E1803">
        <v>-690100</v>
      </c>
      <c r="F1803" t="s">
        <v>1454</v>
      </c>
    </row>
    <row r="1804" spans="1:6" x14ac:dyDescent="0.35">
      <c r="A1804">
        <v>20270101</v>
      </c>
      <c r="B1804" t="s">
        <v>1175</v>
      </c>
      <c r="C1804">
        <v>5000</v>
      </c>
      <c r="D1804" t="s">
        <v>1131</v>
      </c>
      <c r="E1804">
        <v>484100</v>
      </c>
      <c r="F1804" t="s">
        <v>1454</v>
      </c>
    </row>
    <row r="1805" spans="1:6" x14ac:dyDescent="0.35">
      <c r="A1805">
        <v>20270101</v>
      </c>
      <c r="B1805" t="s">
        <v>1175</v>
      </c>
      <c r="C1805">
        <v>3900</v>
      </c>
      <c r="D1805" t="s">
        <v>1131</v>
      </c>
      <c r="E1805">
        <v>-690100</v>
      </c>
      <c r="F1805" t="s">
        <v>1454</v>
      </c>
    </row>
    <row r="1806" spans="1:6" x14ac:dyDescent="0.35">
      <c r="A1806">
        <v>20270101</v>
      </c>
      <c r="B1806" t="s">
        <v>1130</v>
      </c>
      <c r="C1806">
        <v>5000</v>
      </c>
      <c r="D1806" t="s">
        <v>1131</v>
      </c>
      <c r="E1806">
        <v>484100</v>
      </c>
      <c r="F1806" t="s">
        <v>1454</v>
      </c>
    </row>
    <row r="1807" spans="1:6" x14ac:dyDescent="0.35">
      <c r="A1807">
        <v>20270101</v>
      </c>
      <c r="B1807" t="s">
        <v>1130</v>
      </c>
      <c r="C1807">
        <v>3900</v>
      </c>
      <c r="D1807" t="s">
        <v>1131</v>
      </c>
      <c r="E1807">
        <v>-690100</v>
      </c>
      <c r="F1807" t="s">
        <v>1454</v>
      </c>
    </row>
    <row r="1808" spans="1:6" x14ac:dyDescent="0.35">
      <c r="A1808">
        <v>20270101</v>
      </c>
      <c r="B1808" t="s">
        <v>1173</v>
      </c>
      <c r="C1808">
        <v>5000</v>
      </c>
      <c r="D1808" t="s">
        <v>1131</v>
      </c>
      <c r="E1808">
        <v>484100</v>
      </c>
      <c r="F1808" t="s">
        <v>1454</v>
      </c>
    </row>
    <row r="1809" spans="1:6" x14ac:dyDescent="0.35">
      <c r="A1809">
        <v>20270101</v>
      </c>
      <c r="B1809" t="s">
        <v>1173</v>
      </c>
      <c r="C1809">
        <v>3900</v>
      </c>
      <c r="D1809" t="s">
        <v>1131</v>
      </c>
      <c r="E1809">
        <v>-690100</v>
      </c>
      <c r="F1809" t="s">
        <v>1454</v>
      </c>
    </row>
    <row r="1810" spans="1:6" x14ac:dyDescent="0.35">
      <c r="A1810">
        <v>20270101</v>
      </c>
      <c r="B1810" t="s">
        <v>1155</v>
      </c>
      <c r="C1810">
        <v>5000</v>
      </c>
      <c r="D1810" t="s">
        <v>1131</v>
      </c>
      <c r="E1810">
        <v>484100</v>
      </c>
      <c r="F1810" t="s">
        <v>1454</v>
      </c>
    </row>
    <row r="1811" spans="1:6" x14ac:dyDescent="0.35">
      <c r="A1811">
        <v>20270101</v>
      </c>
      <c r="B1811" t="s">
        <v>1155</v>
      </c>
      <c r="C1811">
        <v>3900</v>
      </c>
      <c r="D1811" t="s">
        <v>1131</v>
      </c>
      <c r="E1811">
        <v>-690100</v>
      </c>
      <c r="F1811" t="s">
        <v>1454</v>
      </c>
    </row>
    <row r="1812" spans="1:6" x14ac:dyDescent="0.35">
      <c r="A1812">
        <v>20270101</v>
      </c>
      <c r="B1812" t="s">
        <v>1138</v>
      </c>
      <c r="C1812">
        <v>5000</v>
      </c>
      <c r="D1812" t="s">
        <v>1131</v>
      </c>
      <c r="E1812">
        <v>484100</v>
      </c>
      <c r="F1812" t="s">
        <v>1454</v>
      </c>
    </row>
    <row r="1813" spans="1:6" x14ac:dyDescent="0.35">
      <c r="A1813">
        <v>20270101</v>
      </c>
      <c r="B1813" t="s">
        <v>1138</v>
      </c>
      <c r="C1813">
        <v>3900</v>
      </c>
      <c r="D1813" t="s">
        <v>1131</v>
      </c>
      <c r="E1813">
        <v>-690100</v>
      </c>
      <c r="F1813" t="s">
        <v>1454</v>
      </c>
    </row>
    <row r="1814" spans="1:6" x14ac:dyDescent="0.35">
      <c r="A1814">
        <v>20270201</v>
      </c>
      <c r="B1814" t="s">
        <v>1150</v>
      </c>
      <c r="C1814">
        <v>5000</v>
      </c>
      <c r="D1814" t="s">
        <v>1131</v>
      </c>
      <c r="E1814">
        <v>484100</v>
      </c>
      <c r="F1814" t="s">
        <v>1454</v>
      </c>
    </row>
    <row r="1815" spans="1:6" x14ac:dyDescent="0.35">
      <c r="A1815">
        <v>20270201</v>
      </c>
      <c r="B1815" t="s">
        <v>1150</v>
      </c>
      <c r="C1815">
        <v>3900</v>
      </c>
      <c r="D1815" t="s">
        <v>1131</v>
      </c>
      <c r="E1815">
        <v>-690100</v>
      </c>
      <c r="F1815" t="s">
        <v>1454</v>
      </c>
    </row>
    <row r="1816" spans="1:6" x14ac:dyDescent="0.35">
      <c r="A1816">
        <v>20270201</v>
      </c>
      <c r="B1816" t="s">
        <v>1158</v>
      </c>
      <c r="C1816">
        <v>5000</v>
      </c>
      <c r="D1816" t="s">
        <v>1131</v>
      </c>
      <c r="E1816">
        <v>484100</v>
      </c>
      <c r="F1816" t="s">
        <v>1454</v>
      </c>
    </row>
    <row r="1817" spans="1:6" x14ac:dyDescent="0.35">
      <c r="A1817">
        <v>20270201</v>
      </c>
      <c r="B1817" t="s">
        <v>1158</v>
      </c>
      <c r="C1817">
        <v>3900</v>
      </c>
      <c r="D1817" t="s">
        <v>1131</v>
      </c>
      <c r="E1817">
        <v>-690100</v>
      </c>
      <c r="F1817" t="s">
        <v>1454</v>
      </c>
    </row>
    <row r="1818" spans="1:6" x14ac:dyDescent="0.35">
      <c r="A1818">
        <v>20270201</v>
      </c>
      <c r="B1818" t="s">
        <v>1205</v>
      </c>
      <c r="C1818">
        <v>5000</v>
      </c>
      <c r="D1818" t="s">
        <v>1131</v>
      </c>
      <c r="E1818">
        <v>484100</v>
      </c>
      <c r="F1818" t="s">
        <v>1454</v>
      </c>
    </row>
    <row r="1819" spans="1:6" x14ac:dyDescent="0.35">
      <c r="A1819">
        <v>20270201</v>
      </c>
      <c r="B1819" t="s">
        <v>1205</v>
      </c>
      <c r="C1819">
        <v>3900</v>
      </c>
      <c r="D1819" t="s">
        <v>1131</v>
      </c>
      <c r="E1819">
        <v>-690100</v>
      </c>
      <c r="F1819" t="s">
        <v>1454</v>
      </c>
    </row>
    <row r="1820" spans="1:6" x14ac:dyDescent="0.35">
      <c r="A1820">
        <v>20270201</v>
      </c>
      <c r="B1820" t="s">
        <v>1164</v>
      </c>
      <c r="C1820">
        <v>5000</v>
      </c>
      <c r="D1820" t="s">
        <v>1131</v>
      </c>
      <c r="E1820">
        <v>484100</v>
      </c>
      <c r="F1820" t="s">
        <v>1454</v>
      </c>
    </row>
    <row r="1821" spans="1:6" x14ac:dyDescent="0.35">
      <c r="A1821">
        <v>20270201</v>
      </c>
      <c r="B1821" t="s">
        <v>1164</v>
      </c>
      <c r="C1821">
        <v>3900</v>
      </c>
      <c r="D1821" t="s">
        <v>1131</v>
      </c>
      <c r="E1821">
        <v>-690100</v>
      </c>
      <c r="F1821" t="s">
        <v>1454</v>
      </c>
    </row>
    <row r="1822" spans="1:6" x14ac:dyDescent="0.35">
      <c r="A1822">
        <v>20270201</v>
      </c>
      <c r="B1822" t="s">
        <v>1169</v>
      </c>
      <c r="C1822">
        <v>5000</v>
      </c>
      <c r="D1822" t="s">
        <v>1131</v>
      </c>
      <c r="E1822">
        <v>484100</v>
      </c>
      <c r="F1822" t="s">
        <v>1454</v>
      </c>
    </row>
    <row r="1823" spans="1:6" x14ac:dyDescent="0.35">
      <c r="A1823">
        <v>20270201</v>
      </c>
      <c r="B1823" t="s">
        <v>1169</v>
      </c>
      <c r="C1823">
        <v>3900</v>
      </c>
      <c r="D1823" t="s">
        <v>1131</v>
      </c>
      <c r="E1823">
        <v>-690100</v>
      </c>
      <c r="F1823" t="s">
        <v>1454</v>
      </c>
    </row>
    <row r="1824" spans="1:6" x14ac:dyDescent="0.35">
      <c r="A1824">
        <v>20270201</v>
      </c>
      <c r="B1824" t="s">
        <v>1175</v>
      </c>
      <c r="C1824">
        <v>5000</v>
      </c>
      <c r="D1824" t="s">
        <v>1131</v>
      </c>
      <c r="E1824">
        <v>484100</v>
      </c>
      <c r="F1824" t="s">
        <v>1454</v>
      </c>
    </row>
    <row r="1825" spans="1:6" x14ac:dyDescent="0.35">
      <c r="A1825">
        <v>20270201</v>
      </c>
      <c r="B1825" t="s">
        <v>1175</v>
      </c>
      <c r="C1825">
        <v>3900</v>
      </c>
      <c r="D1825" t="s">
        <v>1131</v>
      </c>
      <c r="E1825">
        <v>-690100</v>
      </c>
      <c r="F1825" t="s">
        <v>1454</v>
      </c>
    </row>
    <row r="1826" spans="1:6" x14ac:dyDescent="0.35">
      <c r="A1826">
        <v>20270201</v>
      </c>
      <c r="B1826" t="s">
        <v>1130</v>
      </c>
      <c r="C1826">
        <v>5000</v>
      </c>
      <c r="D1826" t="s">
        <v>1131</v>
      </c>
      <c r="E1826">
        <v>484100</v>
      </c>
      <c r="F1826" t="s">
        <v>1454</v>
      </c>
    </row>
    <row r="1827" spans="1:6" x14ac:dyDescent="0.35">
      <c r="A1827">
        <v>20270201</v>
      </c>
      <c r="B1827" t="s">
        <v>1130</v>
      </c>
      <c r="C1827">
        <v>3900</v>
      </c>
      <c r="D1827" t="s">
        <v>1131</v>
      </c>
      <c r="E1827">
        <v>-690100</v>
      </c>
      <c r="F1827" t="s">
        <v>1454</v>
      </c>
    </row>
    <row r="1828" spans="1:6" x14ac:dyDescent="0.35">
      <c r="A1828">
        <v>20270201</v>
      </c>
      <c r="B1828" t="s">
        <v>1173</v>
      </c>
      <c r="C1828">
        <v>5000</v>
      </c>
      <c r="D1828" t="s">
        <v>1131</v>
      </c>
      <c r="E1828">
        <v>484100</v>
      </c>
      <c r="F1828" t="s">
        <v>1454</v>
      </c>
    </row>
    <row r="1829" spans="1:6" x14ac:dyDescent="0.35">
      <c r="A1829">
        <v>20270201</v>
      </c>
      <c r="B1829" t="s">
        <v>1173</v>
      </c>
      <c r="C1829">
        <v>3900</v>
      </c>
      <c r="D1829" t="s">
        <v>1131</v>
      </c>
      <c r="E1829">
        <v>-690100</v>
      </c>
      <c r="F1829" t="s">
        <v>1454</v>
      </c>
    </row>
    <row r="1830" spans="1:6" x14ac:dyDescent="0.35">
      <c r="A1830">
        <v>20270201</v>
      </c>
      <c r="B1830" t="s">
        <v>1155</v>
      </c>
      <c r="C1830">
        <v>5000</v>
      </c>
      <c r="D1830" t="s">
        <v>1131</v>
      </c>
      <c r="E1830">
        <v>484100</v>
      </c>
      <c r="F1830" t="s">
        <v>1454</v>
      </c>
    </row>
    <row r="1831" spans="1:6" x14ac:dyDescent="0.35">
      <c r="A1831">
        <v>20270201</v>
      </c>
      <c r="B1831" t="s">
        <v>1155</v>
      </c>
      <c r="C1831">
        <v>3900</v>
      </c>
      <c r="D1831" t="s">
        <v>1131</v>
      </c>
      <c r="E1831">
        <v>-690100</v>
      </c>
      <c r="F1831" t="s">
        <v>1454</v>
      </c>
    </row>
    <row r="1832" spans="1:6" x14ac:dyDescent="0.35">
      <c r="A1832">
        <v>20270201</v>
      </c>
      <c r="B1832" t="s">
        <v>1138</v>
      </c>
      <c r="C1832">
        <v>5000</v>
      </c>
      <c r="D1832" t="s">
        <v>1131</v>
      </c>
      <c r="E1832">
        <v>484100</v>
      </c>
      <c r="F1832" t="s">
        <v>1454</v>
      </c>
    </row>
    <row r="1833" spans="1:6" x14ac:dyDescent="0.35">
      <c r="A1833">
        <v>20270201</v>
      </c>
      <c r="B1833" t="s">
        <v>1138</v>
      </c>
      <c r="C1833">
        <v>3900</v>
      </c>
      <c r="D1833" t="s">
        <v>1131</v>
      </c>
      <c r="E1833">
        <v>-690100</v>
      </c>
      <c r="F1833" t="s">
        <v>1454</v>
      </c>
    </row>
    <row r="1834" spans="1:6" x14ac:dyDescent="0.35">
      <c r="A1834">
        <v>20270301</v>
      </c>
      <c r="B1834" t="s">
        <v>1150</v>
      </c>
      <c r="C1834">
        <v>5000</v>
      </c>
      <c r="D1834" t="s">
        <v>1131</v>
      </c>
      <c r="E1834">
        <v>484100</v>
      </c>
      <c r="F1834" t="s">
        <v>1454</v>
      </c>
    </row>
    <row r="1835" spans="1:6" x14ac:dyDescent="0.35">
      <c r="A1835">
        <v>20270301</v>
      </c>
      <c r="B1835" t="s">
        <v>1150</v>
      </c>
      <c r="C1835">
        <v>3900</v>
      </c>
      <c r="D1835" t="s">
        <v>1131</v>
      </c>
      <c r="E1835">
        <v>-690100</v>
      </c>
      <c r="F1835" t="s">
        <v>1454</v>
      </c>
    </row>
    <row r="1836" spans="1:6" x14ac:dyDescent="0.35">
      <c r="A1836">
        <v>20270301</v>
      </c>
      <c r="B1836" t="s">
        <v>1158</v>
      </c>
      <c r="C1836">
        <v>5000</v>
      </c>
      <c r="D1836" t="s">
        <v>1131</v>
      </c>
      <c r="E1836">
        <v>484100</v>
      </c>
      <c r="F1836" t="s">
        <v>1454</v>
      </c>
    </row>
    <row r="1837" spans="1:6" x14ac:dyDescent="0.35">
      <c r="A1837">
        <v>20270301</v>
      </c>
      <c r="B1837" t="s">
        <v>1158</v>
      </c>
      <c r="C1837">
        <v>3900</v>
      </c>
      <c r="D1837" t="s">
        <v>1131</v>
      </c>
      <c r="E1837">
        <v>-690100</v>
      </c>
      <c r="F1837" t="s">
        <v>1454</v>
      </c>
    </row>
    <row r="1838" spans="1:6" x14ac:dyDescent="0.35">
      <c r="A1838">
        <v>20270301</v>
      </c>
      <c r="B1838" t="s">
        <v>1205</v>
      </c>
      <c r="C1838">
        <v>5000</v>
      </c>
      <c r="D1838" t="s">
        <v>1131</v>
      </c>
      <c r="E1838">
        <v>484100</v>
      </c>
      <c r="F1838" t="s">
        <v>1454</v>
      </c>
    </row>
    <row r="1839" spans="1:6" x14ac:dyDescent="0.35">
      <c r="A1839">
        <v>20270301</v>
      </c>
      <c r="B1839" t="s">
        <v>1205</v>
      </c>
      <c r="C1839">
        <v>3900</v>
      </c>
      <c r="D1839" t="s">
        <v>1131</v>
      </c>
      <c r="E1839">
        <v>-690100</v>
      </c>
      <c r="F1839" t="s">
        <v>1454</v>
      </c>
    </row>
    <row r="1840" spans="1:6" x14ac:dyDescent="0.35">
      <c r="A1840">
        <v>20270301</v>
      </c>
      <c r="B1840" t="s">
        <v>1164</v>
      </c>
      <c r="C1840">
        <v>5000</v>
      </c>
      <c r="D1840" t="s">
        <v>1131</v>
      </c>
      <c r="E1840">
        <v>484100</v>
      </c>
      <c r="F1840" t="s">
        <v>1454</v>
      </c>
    </row>
    <row r="1841" spans="1:6" x14ac:dyDescent="0.35">
      <c r="A1841">
        <v>20270301</v>
      </c>
      <c r="B1841" t="s">
        <v>1164</v>
      </c>
      <c r="C1841">
        <v>3900</v>
      </c>
      <c r="D1841" t="s">
        <v>1131</v>
      </c>
      <c r="E1841">
        <v>-690100</v>
      </c>
      <c r="F1841" t="s">
        <v>1454</v>
      </c>
    </row>
    <row r="1842" spans="1:6" x14ac:dyDescent="0.35">
      <c r="A1842">
        <v>20270301</v>
      </c>
      <c r="B1842" t="s">
        <v>1169</v>
      </c>
      <c r="C1842">
        <v>5000</v>
      </c>
      <c r="D1842" t="s">
        <v>1131</v>
      </c>
      <c r="E1842">
        <v>484100</v>
      </c>
      <c r="F1842" t="s">
        <v>1454</v>
      </c>
    </row>
    <row r="1843" spans="1:6" x14ac:dyDescent="0.35">
      <c r="A1843">
        <v>20270301</v>
      </c>
      <c r="B1843" t="s">
        <v>1169</v>
      </c>
      <c r="C1843">
        <v>3900</v>
      </c>
      <c r="D1843" t="s">
        <v>1131</v>
      </c>
      <c r="E1843">
        <v>-690100</v>
      </c>
      <c r="F1843" t="s">
        <v>1454</v>
      </c>
    </row>
    <row r="1844" spans="1:6" x14ac:dyDescent="0.35">
      <c r="A1844">
        <v>20270301</v>
      </c>
      <c r="B1844" t="s">
        <v>1175</v>
      </c>
      <c r="C1844">
        <v>5000</v>
      </c>
      <c r="D1844" t="s">
        <v>1131</v>
      </c>
      <c r="E1844">
        <v>484100</v>
      </c>
      <c r="F1844" t="s">
        <v>1454</v>
      </c>
    </row>
    <row r="1845" spans="1:6" x14ac:dyDescent="0.35">
      <c r="A1845">
        <v>20270301</v>
      </c>
      <c r="B1845" t="s">
        <v>1175</v>
      </c>
      <c r="C1845">
        <v>3900</v>
      </c>
      <c r="D1845" t="s">
        <v>1131</v>
      </c>
      <c r="E1845">
        <v>-690100</v>
      </c>
      <c r="F1845" t="s">
        <v>1454</v>
      </c>
    </row>
    <row r="1846" spans="1:6" x14ac:dyDescent="0.35">
      <c r="A1846">
        <v>20270301</v>
      </c>
      <c r="B1846" t="s">
        <v>1130</v>
      </c>
      <c r="C1846">
        <v>5000</v>
      </c>
      <c r="D1846" t="s">
        <v>1131</v>
      </c>
      <c r="E1846">
        <v>484100</v>
      </c>
      <c r="F1846" t="s">
        <v>1454</v>
      </c>
    </row>
    <row r="1847" spans="1:6" x14ac:dyDescent="0.35">
      <c r="A1847">
        <v>20270301</v>
      </c>
      <c r="B1847" t="s">
        <v>1130</v>
      </c>
      <c r="C1847">
        <v>3900</v>
      </c>
      <c r="D1847" t="s">
        <v>1131</v>
      </c>
      <c r="E1847">
        <v>-690100</v>
      </c>
      <c r="F1847" t="s">
        <v>1454</v>
      </c>
    </row>
    <row r="1848" spans="1:6" x14ac:dyDescent="0.35">
      <c r="A1848">
        <v>20270301</v>
      </c>
      <c r="B1848" t="s">
        <v>1173</v>
      </c>
      <c r="C1848">
        <v>5000</v>
      </c>
      <c r="D1848" t="s">
        <v>1131</v>
      </c>
      <c r="E1848">
        <v>484100</v>
      </c>
      <c r="F1848" t="s">
        <v>1454</v>
      </c>
    </row>
    <row r="1849" spans="1:6" x14ac:dyDescent="0.35">
      <c r="A1849">
        <v>20270301</v>
      </c>
      <c r="B1849" t="s">
        <v>1173</v>
      </c>
      <c r="C1849">
        <v>3900</v>
      </c>
      <c r="D1849" t="s">
        <v>1131</v>
      </c>
      <c r="E1849">
        <v>-690100</v>
      </c>
      <c r="F1849" t="s">
        <v>1454</v>
      </c>
    </row>
    <row r="1850" spans="1:6" x14ac:dyDescent="0.35">
      <c r="A1850">
        <v>20270301</v>
      </c>
      <c r="B1850" t="s">
        <v>1155</v>
      </c>
      <c r="C1850">
        <v>5000</v>
      </c>
      <c r="D1850" t="s">
        <v>1131</v>
      </c>
      <c r="E1850">
        <v>484100</v>
      </c>
      <c r="F1850" t="s">
        <v>1454</v>
      </c>
    </row>
    <row r="1851" spans="1:6" x14ac:dyDescent="0.35">
      <c r="A1851">
        <v>20270301</v>
      </c>
      <c r="B1851" t="s">
        <v>1155</v>
      </c>
      <c r="C1851">
        <v>3900</v>
      </c>
      <c r="D1851" t="s">
        <v>1131</v>
      </c>
      <c r="E1851">
        <v>-690100</v>
      </c>
      <c r="F1851" t="s">
        <v>1454</v>
      </c>
    </row>
    <row r="1852" spans="1:6" x14ac:dyDescent="0.35">
      <c r="A1852">
        <v>20270301</v>
      </c>
      <c r="B1852" t="s">
        <v>1138</v>
      </c>
      <c r="C1852">
        <v>5000</v>
      </c>
      <c r="D1852" t="s">
        <v>1131</v>
      </c>
      <c r="E1852">
        <v>484100</v>
      </c>
      <c r="F1852" t="s">
        <v>1454</v>
      </c>
    </row>
    <row r="1853" spans="1:6" x14ac:dyDescent="0.35">
      <c r="A1853">
        <v>20270301</v>
      </c>
      <c r="B1853" t="s">
        <v>1138</v>
      </c>
      <c r="C1853">
        <v>3900</v>
      </c>
      <c r="D1853" t="s">
        <v>1131</v>
      </c>
      <c r="E1853">
        <v>-690100</v>
      </c>
      <c r="F1853" t="s">
        <v>1454</v>
      </c>
    </row>
    <row r="1854" spans="1:6" x14ac:dyDescent="0.35">
      <c r="A1854">
        <v>20270401</v>
      </c>
      <c r="B1854" t="s">
        <v>1150</v>
      </c>
      <c r="C1854">
        <v>5000</v>
      </c>
      <c r="D1854" t="s">
        <v>1131</v>
      </c>
      <c r="E1854">
        <v>484100</v>
      </c>
      <c r="F1854" t="s">
        <v>1454</v>
      </c>
    </row>
    <row r="1855" spans="1:6" x14ac:dyDescent="0.35">
      <c r="A1855">
        <v>20270401</v>
      </c>
      <c r="B1855" t="s">
        <v>1150</v>
      </c>
      <c r="C1855">
        <v>3900</v>
      </c>
      <c r="D1855" t="s">
        <v>1131</v>
      </c>
      <c r="E1855">
        <v>-690100</v>
      </c>
      <c r="F1855" t="s">
        <v>1454</v>
      </c>
    </row>
    <row r="1856" spans="1:6" x14ac:dyDescent="0.35">
      <c r="A1856">
        <v>20270401</v>
      </c>
      <c r="B1856" t="s">
        <v>1158</v>
      </c>
      <c r="C1856">
        <v>5000</v>
      </c>
      <c r="D1856" t="s">
        <v>1131</v>
      </c>
      <c r="E1856">
        <v>484100</v>
      </c>
      <c r="F1856" t="s">
        <v>1454</v>
      </c>
    </row>
    <row r="1857" spans="1:6" x14ac:dyDescent="0.35">
      <c r="A1857">
        <v>20270401</v>
      </c>
      <c r="B1857" t="s">
        <v>1158</v>
      </c>
      <c r="C1857">
        <v>3900</v>
      </c>
      <c r="D1857" t="s">
        <v>1131</v>
      </c>
      <c r="E1857">
        <v>-690100</v>
      </c>
      <c r="F1857" t="s">
        <v>1454</v>
      </c>
    </row>
    <row r="1858" spans="1:6" x14ac:dyDescent="0.35">
      <c r="A1858">
        <v>20270401</v>
      </c>
      <c r="B1858" t="s">
        <v>1205</v>
      </c>
      <c r="C1858">
        <v>5000</v>
      </c>
      <c r="D1858" t="s">
        <v>1131</v>
      </c>
      <c r="E1858">
        <v>484100</v>
      </c>
      <c r="F1858" t="s">
        <v>1454</v>
      </c>
    </row>
    <row r="1859" spans="1:6" x14ac:dyDescent="0.35">
      <c r="A1859">
        <v>20270401</v>
      </c>
      <c r="B1859" t="s">
        <v>1205</v>
      </c>
      <c r="C1859">
        <v>3900</v>
      </c>
      <c r="D1859" t="s">
        <v>1131</v>
      </c>
      <c r="E1859">
        <v>-690100</v>
      </c>
      <c r="F1859" t="s">
        <v>1454</v>
      </c>
    </row>
    <row r="1860" spans="1:6" x14ac:dyDescent="0.35">
      <c r="A1860">
        <v>20270401</v>
      </c>
      <c r="B1860" t="s">
        <v>1164</v>
      </c>
      <c r="C1860">
        <v>5000</v>
      </c>
      <c r="D1860" t="s">
        <v>1131</v>
      </c>
      <c r="E1860">
        <v>484100</v>
      </c>
      <c r="F1860" t="s">
        <v>1454</v>
      </c>
    </row>
    <row r="1861" spans="1:6" x14ac:dyDescent="0.35">
      <c r="A1861">
        <v>20270401</v>
      </c>
      <c r="B1861" t="s">
        <v>1164</v>
      </c>
      <c r="C1861">
        <v>3900</v>
      </c>
      <c r="D1861" t="s">
        <v>1131</v>
      </c>
      <c r="E1861">
        <v>-690100</v>
      </c>
      <c r="F1861" t="s">
        <v>1454</v>
      </c>
    </row>
    <row r="1862" spans="1:6" x14ac:dyDescent="0.35">
      <c r="A1862">
        <v>20270401</v>
      </c>
      <c r="B1862" t="s">
        <v>1169</v>
      </c>
      <c r="C1862">
        <v>5000</v>
      </c>
      <c r="D1862" t="s">
        <v>1131</v>
      </c>
      <c r="E1862">
        <v>484100</v>
      </c>
      <c r="F1862" t="s">
        <v>1454</v>
      </c>
    </row>
    <row r="1863" spans="1:6" x14ac:dyDescent="0.35">
      <c r="A1863">
        <v>20270401</v>
      </c>
      <c r="B1863" t="s">
        <v>1169</v>
      </c>
      <c r="C1863">
        <v>3900</v>
      </c>
      <c r="D1863" t="s">
        <v>1131</v>
      </c>
      <c r="E1863">
        <v>-690100</v>
      </c>
      <c r="F1863" t="s">
        <v>1454</v>
      </c>
    </row>
    <row r="1864" spans="1:6" x14ac:dyDescent="0.35">
      <c r="A1864">
        <v>20270401</v>
      </c>
      <c r="B1864" t="s">
        <v>1175</v>
      </c>
      <c r="C1864">
        <v>5000</v>
      </c>
      <c r="D1864" t="s">
        <v>1131</v>
      </c>
      <c r="E1864">
        <v>484100</v>
      </c>
      <c r="F1864" t="s">
        <v>1454</v>
      </c>
    </row>
    <row r="1865" spans="1:6" x14ac:dyDescent="0.35">
      <c r="A1865">
        <v>20270401</v>
      </c>
      <c r="B1865" t="s">
        <v>1175</v>
      </c>
      <c r="C1865">
        <v>3900</v>
      </c>
      <c r="D1865" t="s">
        <v>1131</v>
      </c>
      <c r="E1865">
        <v>-690100</v>
      </c>
      <c r="F1865" t="s">
        <v>1454</v>
      </c>
    </row>
    <row r="1866" spans="1:6" x14ac:dyDescent="0.35">
      <c r="A1866">
        <v>20270401</v>
      </c>
      <c r="B1866" t="s">
        <v>1130</v>
      </c>
      <c r="C1866">
        <v>5000</v>
      </c>
      <c r="D1866" t="s">
        <v>1131</v>
      </c>
      <c r="E1866">
        <v>484100</v>
      </c>
      <c r="F1866" t="s">
        <v>1454</v>
      </c>
    </row>
    <row r="1867" spans="1:6" x14ac:dyDescent="0.35">
      <c r="A1867">
        <v>20270401</v>
      </c>
      <c r="B1867" t="s">
        <v>1130</v>
      </c>
      <c r="C1867">
        <v>3900</v>
      </c>
      <c r="D1867" t="s">
        <v>1131</v>
      </c>
      <c r="E1867">
        <v>-690100</v>
      </c>
      <c r="F1867" t="s">
        <v>1454</v>
      </c>
    </row>
    <row r="1868" spans="1:6" x14ac:dyDescent="0.35">
      <c r="A1868">
        <v>20270401</v>
      </c>
      <c r="B1868" t="s">
        <v>1173</v>
      </c>
      <c r="C1868">
        <v>5000</v>
      </c>
      <c r="D1868" t="s">
        <v>1131</v>
      </c>
      <c r="E1868">
        <v>484100</v>
      </c>
      <c r="F1868" t="s">
        <v>1454</v>
      </c>
    </row>
    <row r="1869" spans="1:6" x14ac:dyDescent="0.35">
      <c r="A1869">
        <v>20270401</v>
      </c>
      <c r="B1869" t="s">
        <v>1173</v>
      </c>
      <c r="C1869">
        <v>3900</v>
      </c>
      <c r="D1869" t="s">
        <v>1131</v>
      </c>
      <c r="E1869">
        <v>-690100</v>
      </c>
      <c r="F1869" t="s">
        <v>1454</v>
      </c>
    </row>
    <row r="1870" spans="1:6" x14ac:dyDescent="0.35">
      <c r="A1870">
        <v>20270401</v>
      </c>
      <c r="B1870" t="s">
        <v>1155</v>
      </c>
      <c r="C1870">
        <v>5000</v>
      </c>
      <c r="D1870" t="s">
        <v>1131</v>
      </c>
      <c r="E1870">
        <v>484100</v>
      </c>
      <c r="F1870" t="s">
        <v>1454</v>
      </c>
    </row>
    <row r="1871" spans="1:6" x14ac:dyDescent="0.35">
      <c r="A1871">
        <v>20270401</v>
      </c>
      <c r="B1871" t="s">
        <v>1155</v>
      </c>
      <c r="C1871">
        <v>3900</v>
      </c>
      <c r="D1871" t="s">
        <v>1131</v>
      </c>
      <c r="E1871">
        <v>-690100</v>
      </c>
      <c r="F1871" t="s">
        <v>1454</v>
      </c>
    </row>
    <row r="1872" spans="1:6" x14ac:dyDescent="0.35">
      <c r="A1872">
        <v>20270401</v>
      </c>
      <c r="B1872" t="s">
        <v>1138</v>
      </c>
      <c r="C1872">
        <v>5000</v>
      </c>
      <c r="D1872" t="s">
        <v>1131</v>
      </c>
      <c r="E1872">
        <v>484100</v>
      </c>
      <c r="F1872" t="s">
        <v>1454</v>
      </c>
    </row>
    <row r="1873" spans="1:6" x14ac:dyDescent="0.35">
      <c r="A1873">
        <v>20270401</v>
      </c>
      <c r="B1873" t="s">
        <v>1138</v>
      </c>
      <c r="C1873">
        <v>3900</v>
      </c>
      <c r="D1873" t="s">
        <v>1131</v>
      </c>
      <c r="E1873">
        <v>-690100</v>
      </c>
      <c r="F1873" t="s">
        <v>1454</v>
      </c>
    </row>
    <row r="1874" spans="1:6" x14ac:dyDescent="0.35">
      <c r="A1874">
        <v>20270501</v>
      </c>
      <c r="B1874" t="s">
        <v>1150</v>
      </c>
      <c r="C1874">
        <v>5000</v>
      </c>
      <c r="D1874" t="s">
        <v>1131</v>
      </c>
      <c r="E1874">
        <v>484100</v>
      </c>
      <c r="F1874" t="s">
        <v>1454</v>
      </c>
    </row>
    <row r="1875" spans="1:6" x14ac:dyDescent="0.35">
      <c r="A1875">
        <v>20270501</v>
      </c>
      <c r="B1875" t="s">
        <v>1150</v>
      </c>
      <c r="C1875">
        <v>3900</v>
      </c>
      <c r="D1875" t="s">
        <v>1131</v>
      </c>
      <c r="E1875">
        <v>-690100</v>
      </c>
      <c r="F1875" t="s">
        <v>1454</v>
      </c>
    </row>
    <row r="1876" spans="1:6" x14ac:dyDescent="0.35">
      <c r="A1876">
        <v>20270501</v>
      </c>
      <c r="B1876" t="s">
        <v>1158</v>
      </c>
      <c r="C1876">
        <v>5000</v>
      </c>
      <c r="D1876" t="s">
        <v>1131</v>
      </c>
      <c r="E1876">
        <v>484100</v>
      </c>
      <c r="F1876" t="s">
        <v>1454</v>
      </c>
    </row>
    <row r="1877" spans="1:6" x14ac:dyDescent="0.35">
      <c r="A1877">
        <v>20270501</v>
      </c>
      <c r="B1877" t="s">
        <v>1158</v>
      </c>
      <c r="C1877">
        <v>3900</v>
      </c>
      <c r="D1877" t="s">
        <v>1131</v>
      </c>
      <c r="E1877">
        <v>-690100</v>
      </c>
      <c r="F1877" t="s">
        <v>1454</v>
      </c>
    </row>
    <row r="1878" spans="1:6" x14ac:dyDescent="0.35">
      <c r="A1878">
        <v>20270501</v>
      </c>
      <c r="B1878" t="s">
        <v>1205</v>
      </c>
      <c r="C1878">
        <v>5000</v>
      </c>
      <c r="D1878" t="s">
        <v>1131</v>
      </c>
      <c r="E1878">
        <v>484100</v>
      </c>
      <c r="F1878" t="s">
        <v>1454</v>
      </c>
    </row>
    <row r="1879" spans="1:6" x14ac:dyDescent="0.35">
      <c r="A1879">
        <v>20270501</v>
      </c>
      <c r="B1879" t="s">
        <v>1205</v>
      </c>
      <c r="C1879">
        <v>3900</v>
      </c>
      <c r="D1879" t="s">
        <v>1131</v>
      </c>
      <c r="E1879">
        <v>-690100</v>
      </c>
      <c r="F1879" t="s">
        <v>1454</v>
      </c>
    </row>
    <row r="1880" spans="1:6" x14ac:dyDescent="0.35">
      <c r="A1880">
        <v>20270501</v>
      </c>
      <c r="B1880" t="s">
        <v>1164</v>
      </c>
      <c r="C1880">
        <v>5000</v>
      </c>
      <c r="D1880" t="s">
        <v>1131</v>
      </c>
      <c r="E1880">
        <v>484100</v>
      </c>
      <c r="F1880" t="s">
        <v>1454</v>
      </c>
    </row>
    <row r="1881" spans="1:6" x14ac:dyDescent="0.35">
      <c r="A1881">
        <v>20270501</v>
      </c>
      <c r="B1881" t="s">
        <v>1164</v>
      </c>
      <c r="C1881">
        <v>3900</v>
      </c>
      <c r="D1881" t="s">
        <v>1131</v>
      </c>
      <c r="E1881">
        <v>-690100</v>
      </c>
      <c r="F1881" t="s">
        <v>1454</v>
      </c>
    </row>
    <row r="1882" spans="1:6" x14ac:dyDescent="0.35">
      <c r="A1882">
        <v>20270501</v>
      </c>
      <c r="B1882" t="s">
        <v>1169</v>
      </c>
      <c r="C1882">
        <v>5000</v>
      </c>
      <c r="D1882" t="s">
        <v>1131</v>
      </c>
      <c r="E1882">
        <v>484100</v>
      </c>
      <c r="F1882" t="s">
        <v>1454</v>
      </c>
    </row>
    <row r="1883" spans="1:6" x14ac:dyDescent="0.35">
      <c r="A1883">
        <v>20270501</v>
      </c>
      <c r="B1883" t="s">
        <v>1169</v>
      </c>
      <c r="C1883">
        <v>3900</v>
      </c>
      <c r="D1883" t="s">
        <v>1131</v>
      </c>
      <c r="E1883">
        <v>-690100</v>
      </c>
      <c r="F1883" t="s">
        <v>1454</v>
      </c>
    </row>
    <row r="1884" spans="1:6" x14ac:dyDescent="0.35">
      <c r="A1884">
        <v>20270501</v>
      </c>
      <c r="B1884" t="s">
        <v>1175</v>
      </c>
      <c r="C1884">
        <v>5000</v>
      </c>
      <c r="D1884" t="s">
        <v>1131</v>
      </c>
      <c r="E1884">
        <v>484100</v>
      </c>
      <c r="F1884" t="s">
        <v>1454</v>
      </c>
    </row>
    <row r="1885" spans="1:6" x14ac:dyDescent="0.35">
      <c r="A1885">
        <v>20270501</v>
      </c>
      <c r="B1885" t="s">
        <v>1175</v>
      </c>
      <c r="C1885">
        <v>3900</v>
      </c>
      <c r="D1885" t="s">
        <v>1131</v>
      </c>
      <c r="E1885">
        <v>-690100</v>
      </c>
      <c r="F1885" t="s">
        <v>1454</v>
      </c>
    </row>
    <row r="1886" spans="1:6" x14ac:dyDescent="0.35">
      <c r="A1886">
        <v>20270501</v>
      </c>
      <c r="B1886" t="s">
        <v>1130</v>
      </c>
      <c r="C1886">
        <v>5000</v>
      </c>
      <c r="D1886" t="s">
        <v>1131</v>
      </c>
      <c r="E1886">
        <v>484100</v>
      </c>
      <c r="F1886" t="s">
        <v>1454</v>
      </c>
    </row>
    <row r="1887" spans="1:6" x14ac:dyDescent="0.35">
      <c r="A1887">
        <v>20270501</v>
      </c>
      <c r="B1887" t="s">
        <v>1130</v>
      </c>
      <c r="C1887">
        <v>3900</v>
      </c>
      <c r="D1887" t="s">
        <v>1131</v>
      </c>
      <c r="E1887">
        <v>-690100</v>
      </c>
      <c r="F1887" t="s">
        <v>1454</v>
      </c>
    </row>
    <row r="1888" spans="1:6" x14ac:dyDescent="0.35">
      <c r="A1888">
        <v>20270501</v>
      </c>
      <c r="B1888" t="s">
        <v>1173</v>
      </c>
      <c r="C1888">
        <v>5000</v>
      </c>
      <c r="D1888" t="s">
        <v>1131</v>
      </c>
      <c r="E1888">
        <v>484100</v>
      </c>
      <c r="F1888" t="s">
        <v>1454</v>
      </c>
    </row>
    <row r="1889" spans="1:6" x14ac:dyDescent="0.35">
      <c r="A1889">
        <v>20270501</v>
      </c>
      <c r="B1889" t="s">
        <v>1173</v>
      </c>
      <c r="C1889">
        <v>3900</v>
      </c>
      <c r="D1889" t="s">
        <v>1131</v>
      </c>
      <c r="E1889">
        <v>-690100</v>
      </c>
      <c r="F1889" t="s">
        <v>1454</v>
      </c>
    </row>
    <row r="1890" spans="1:6" x14ac:dyDescent="0.35">
      <c r="A1890">
        <v>20270501</v>
      </c>
      <c r="B1890" t="s">
        <v>1155</v>
      </c>
      <c r="C1890">
        <v>5000</v>
      </c>
      <c r="D1890" t="s">
        <v>1131</v>
      </c>
      <c r="E1890">
        <v>484100</v>
      </c>
      <c r="F1890" t="s">
        <v>1454</v>
      </c>
    </row>
    <row r="1891" spans="1:6" x14ac:dyDescent="0.35">
      <c r="A1891">
        <v>20270501</v>
      </c>
      <c r="B1891" t="s">
        <v>1155</v>
      </c>
      <c r="C1891">
        <v>3900</v>
      </c>
      <c r="D1891" t="s">
        <v>1131</v>
      </c>
      <c r="E1891">
        <v>-690100</v>
      </c>
      <c r="F1891" t="s">
        <v>1454</v>
      </c>
    </row>
    <row r="1892" spans="1:6" x14ac:dyDescent="0.35">
      <c r="A1892">
        <v>20270501</v>
      </c>
      <c r="B1892" t="s">
        <v>1138</v>
      </c>
      <c r="C1892">
        <v>5000</v>
      </c>
      <c r="D1892" t="s">
        <v>1131</v>
      </c>
      <c r="E1892">
        <v>484100</v>
      </c>
      <c r="F1892" t="s">
        <v>1454</v>
      </c>
    </row>
    <row r="1893" spans="1:6" x14ac:dyDescent="0.35">
      <c r="A1893">
        <v>20270501</v>
      </c>
      <c r="B1893" t="s">
        <v>1138</v>
      </c>
      <c r="C1893">
        <v>3900</v>
      </c>
      <c r="D1893" t="s">
        <v>1131</v>
      </c>
      <c r="E1893">
        <v>-690100</v>
      </c>
      <c r="F1893" t="s">
        <v>1454</v>
      </c>
    </row>
    <row r="1894" spans="1:6" x14ac:dyDescent="0.35">
      <c r="A1894">
        <v>20270601</v>
      </c>
      <c r="B1894" t="s">
        <v>1150</v>
      </c>
      <c r="C1894">
        <v>5000</v>
      </c>
      <c r="D1894" t="s">
        <v>1131</v>
      </c>
      <c r="E1894">
        <v>484100</v>
      </c>
      <c r="F1894" t="s">
        <v>1454</v>
      </c>
    </row>
    <row r="1895" spans="1:6" x14ac:dyDescent="0.35">
      <c r="A1895">
        <v>20270601</v>
      </c>
      <c r="B1895" t="s">
        <v>1150</v>
      </c>
      <c r="C1895">
        <v>3900</v>
      </c>
      <c r="D1895" t="s">
        <v>1131</v>
      </c>
      <c r="E1895">
        <v>-690100</v>
      </c>
      <c r="F1895" t="s">
        <v>1454</v>
      </c>
    </row>
    <row r="1896" spans="1:6" x14ac:dyDescent="0.35">
      <c r="A1896">
        <v>20270601</v>
      </c>
      <c r="B1896" t="s">
        <v>1158</v>
      </c>
      <c r="C1896">
        <v>5000</v>
      </c>
      <c r="D1896" t="s">
        <v>1131</v>
      </c>
      <c r="E1896">
        <v>484100</v>
      </c>
      <c r="F1896" t="s">
        <v>1454</v>
      </c>
    </row>
    <row r="1897" spans="1:6" x14ac:dyDescent="0.35">
      <c r="A1897">
        <v>20270601</v>
      </c>
      <c r="B1897" t="s">
        <v>1158</v>
      </c>
      <c r="C1897">
        <v>3900</v>
      </c>
      <c r="D1897" t="s">
        <v>1131</v>
      </c>
      <c r="E1897">
        <v>-690100</v>
      </c>
      <c r="F1897" t="s">
        <v>1454</v>
      </c>
    </row>
    <row r="1898" spans="1:6" x14ac:dyDescent="0.35">
      <c r="A1898">
        <v>20270601</v>
      </c>
      <c r="B1898" t="s">
        <v>1205</v>
      </c>
      <c r="C1898">
        <v>5000</v>
      </c>
      <c r="D1898" t="s">
        <v>1131</v>
      </c>
      <c r="E1898">
        <v>484100</v>
      </c>
      <c r="F1898" t="s">
        <v>1454</v>
      </c>
    </row>
    <row r="1899" spans="1:6" x14ac:dyDescent="0.35">
      <c r="A1899">
        <v>20270601</v>
      </c>
      <c r="B1899" t="s">
        <v>1205</v>
      </c>
      <c r="C1899">
        <v>3900</v>
      </c>
      <c r="D1899" t="s">
        <v>1131</v>
      </c>
      <c r="E1899">
        <v>-690100</v>
      </c>
      <c r="F1899" t="s">
        <v>1454</v>
      </c>
    </row>
    <row r="1900" spans="1:6" x14ac:dyDescent="0.35">
      <c r="A1900">
        <v>20270601</v>
      </c>
      <c r="B1900" t="s">
        <v>1164</v>
      </c>
      <c r="C1900">
        <v>5000</v>
      </c>
      <c r="D1900" t="s">
        <v>1131</v>
      </c>
      <c r="E1900">
        <v>484100</v>
      </c>
      <c r="F1900" t="s">
        <v>1454</v>
      </c>
    </row>
    <row r="1901" spans="1:6" x14ac:dyDescent="0.35">
      <c r="A1901">
        <v>20270601</v>
      </c>
      <c r="B1901" t="s">
        <v>1164</v>
      </c>
      <c r="C1901">
        <v>3900</v>
      </c>
      <c r="D1901" t="s">
        <v>1131</v>
      </c>
      <c r="E1901">
        <v>-690100</v>
      </c>
      <c r="F1901" t="s">
        <v>1454</v>
      </c>
    </row>
    <row r="1902" spans="1:6" x14ac:dyDescent="0.35">
      <c r="A1902">
        <v>20270601</v>
      </c>
      <c r="B1902" t="s">
        <v>1169</v>
      </c>
      <c r="C1902">
        <v>5000</v>
      </c>
      <c r="D1902" t="s">
        <v>1131</v>
      </c>
      <c r="E1902">
        <v>484100</v>
      </c>
      <c r="F1902" t="s">
        <v>1454</v>
      </c>
    </row>
    <row r="1903" spans="1:6" x14ac:dyDescent="0.35">
      <c r="A1903">
        <v>20270601</v>
      </c>
      <c r="B1903" t="s">
        <v>1169</v>
      </c>
      <c r="C1903">
        <v>3900</v>
      </c>
      <c r="D1903" t="s">
        <v>1131</v>
      </c>
      <c r="E1903">
        <v>-690100</v>
      </c>
      <c r="F1903" t="s">
        <v>1454</v>
      </c>
    </row>
    <row r="1904" spans="1:6" x14ac:dyDescent="0.35">
      <c r="A1904">
        <v>20270601</v>
      </c>
      <c r="B1904" t="s">
        <v>1175</v>
      </c>
      <c r="C1904">
        <v>5000</v>
      </c>
      <c r="D1904" t="s">
        <v>1131</v>
      </c>
      <c r="E1904">
        <v>484100</v>
      </c>
      <c r="F1904" t="s">
        <v>1454</v>
      </c>
    </row>
    <row r="1905" spans="1:6" x14ac:dyDescent="0.35">
      <c r="A1905">
        <v>20270601</v>
      </c>
      <c r="B1905" t="s">
        <v>1175</v>
      </c>
      <c r="C1905">
        <v>3900</v>
      </c>
      <c r="D1905" t="s">
        <v>1131</v>
      </c>
      <c r="E1905">
        <v>-690100</v>
      </c>
      <c r="F1905" t="s">
        <v>1454</v>
      </c>
    </row>
    <row r="1906" spans="1:6" x14ac:dyDescent="0.35">
      <c r="A1906">
        <v>20270601</v>
      </c>
      <c r="B1906" t="s">
        <v>1130</v>
      </c>
      <c r="C1906">
        <v>5000</v>
      </c>
      <c r="D1906" t="s">
        <v>1131</v>
      </c>
      <c r="E1906">
        <v>484100</v>
      </c>
      <c r="F1906" t="s">
        <v>1454</v>
      </c>
    </row>
    <row r="1907" spans="1:6" x14ac:dyDescent="0.35">
      <c r="A1907">
        <v>20270601</v>
      </c>
      <c r="B1907" t="s">
        <v>1130</v>
      </c>
      <c r="C1907">
        <v>3900</v>
      </c>
      <c r="D1907" t="s">
        <v>1131</v>
      </c>
      <c r="E1907">
        <v>-690100</v>
      </c>
      <c r="F1907" t="s">
        <v>1454</v>
      </c>
    </row>
    <row r="1908" spans="1:6" x14ac:dyDescent="0.35">
      <c r="A1908">
        <v>20270601</v>
      </c>
      <c r="B1908" t="s">
        <v>1173</v>
      </c>
      <c r="C1908">
        <v>5000</v>
      </c>
      <c r="D1908" t="s">
        <v>1131</v>
      </c>
      <c r="E1908">
        <v>484100</v>
      </c>
      <c r="F1908" t="s">
        <v>1454</v>
      </c>
    </row>
    <row r="1909" spans="1:6" x14ac:dyDescent="0.35">
      <c r="A1909">
        <v>20270601</v>
      </c>
      <c r="B1909" t="s">
        <v>1173</v>
      </c>
      <c r="C1909">
        <v>3900</v>
      </c>
      <c r="D1909" t="s">
        <v>1131</v>
      </c>
      <c r="E1909">
        <v>-690100</v>
      </c>
      <c r="F1909" t="s">
        <v>1454</v>
      </c>
    </row>
    <row r="1910" spans="1:6" x14ac:dyDescent="0.35">
      <c r="A1910">
        <v>20270601</v>
      </c>
      <c r="B1910" t="s">
        <v>1155</v>
      </c>
      <c r="C1910">
        <v>5000</v>
      </c>
      <c r="D1910" t="s">
        <v>1131</v>
      </c>
      <c r="E1910">
        <v>484100</v>
      </c>
      <c r="F1910" t="s">
        <v>1454</v>
      </c>
    </row>
    <row r="1911" spans="1:6" x14ac:dyDescent="0.35">
      <c r="A1911">
        <v>20270601</v>
      </c>
      <c r="B1911" t="s">
        <v>1155</v>
      </c>
      <c r="C1911">
        <v>3900</v>
      </c>
      <c r="D1911" t="s">
        <v>1131</v>
      </c>
      <c r="E1911">
        <v>-690100</v>
      </c>
      <c r="F1911" t="s">
        <v>1454</v>
      </c>
    </row>
    <row r="1912" spans="1:6" x14ac:dyDescent="0.35">
      <c r="A1912">
        <v>20270601</v>
      </c>
      <c r="B1912" t="s">
        <v>1138</v>
      </c>
      <c r="C1912">
        <v>5000</v>
      </c>
      <c r="D1912" t="s">
        <v>1131</v>
      </c>
      <c r="E1912">
        <v>484100</v>
      </c>
      <c r="F1912" t="s">
        <v>1454</v>
      </c>
    </row>
    <row r="1913" spans="1:6" x14ac:dyDescent="0.35">
      <c r="A1913">
        <v>20270601</v>
      </c>
      <c r="B1913" t="s">
        <v>1138</v>
      </c>
      <c r="C1913">
        <v>3900</v>
      </c>
      <c r="D1913" t="s">
        <v>1131</v>
      </c>
      <c r="E1913">
        <v>-690100</v>
      </c>
      <c r="F1913" t="s">
        <v>1454</v>
      </c>
    </row>
    <row r="1914" spans="1:6" x14ac:dyDescent="0.35">
      <c r="A1914">
        <v>20270701</v>
      </c>
      <c r="B1914" t="s">
        <v>1150</v>
      </c>
      <c r="C1914">
        <v>5000</v>
      </c>
      <c r="D1914" t="s">
        <v>1131</v>
      </c>
      <c r="E1914">
        <v>484100</v>
      </c>
      <c r="F1914" t="s">
        <v>1454</v>
      </c>
    </row>
    <row r="1915" spans="1:6" x14ac:dyDescent="0.35">
      <c r="A1915">
        <v>20270701</v>
      </c>
      <c r="B1915" t="s">
        <v>1150</v>
      </c>
      <c r="C1915">
        <v>3900</v>
      </c>
      <c r="D1915" t="s">
        <v>1131</v>
      </c>
      <c r="E1915">
        <v>-690100</v>
      </c>
      <c r="F1915" t="s">
        <v>1454</v>
      </c>
    </row>
    <row r="1916" spans="1:6" x14ac:dyDescent="0.35">
      <c r="A1916">
        <v>20270701</v>
      </c>
      <c r="B1916" t="s">
        <v>1158</v>
      </c>
      <c r="C1916">
        <v>5000</v>
      </c>
      <c r="D1916" t="s">
        <v>1131</v>
      </c>
      <c r="E1916">
        <v>484100</v>
      </c>
      <c r="F1916" t="s">
        <v>1454</v>
      </c>
    </row>
    <row r="1917" spans="1:6" x14ac:dyDescent="0.35">
      <c r="A1917">
        <v>20270701</v>
      </c>
      <c r="B1917" t="s">
        <v>1158</v>
      </c>
      <c r="C1917">
        <v>3900</v>
      </c>
      <c r="D1917" t="s">
        <v>1131</v>
      </c>
      <c r="E1917">
        <v>-690100</v>
      </c>
      <c r="F1917" t="s">
        <v>1454</v>
      </c>
    </row>
    <row r="1918" spans="1:6" x14ac:dyDescent="0.35">
      <c r="A1918">
        <v>20270701</v>
      </c>
      <c r="B1918" t="s">
        <v>1205</v>
      </c>
      <c r="C1918">
        <v>5000</v>
      </c>
      <c r="D1918" t="s">
        <v>1131</v>
      </c>
      <c r="E1918">
        <v>484100</v>
      </c>
      <c r="F1918" t="s">
        <v>1454</v>
      </c>
    </row>
    <row r="1919" spans="1:6" x14ac:dyDescent="0.35">
      <c r="A1919">
        <v>20270701</v>
      </c>
      <c r="B1919" t="s">
        <v>1205</v>
      </c>
      <c r="C1919">
        <v>3900</v>
      </c>
      <c r="D1919" t="s">
        <v>1131</v>
      </c>
      <c r="E1919">
        <v>-690100</v>
      </c>
      <c r="F1919" t="s">
        <v>1454</v>
      </c>
    </row>
    <row r="1920" spans="1:6" x14ac:dyDescent="0.35">
      <c r="A1920">
        <v>20270701</v>
      </c>
      <c r="B1920" t="s">
        <v>1164</v>
      </c>
      <c r="C1920">
        <v>5000</v>
      </c>
      <c r="D1920" t="s">
        <v>1131</v>
      </c>
      <c r="E1920">
        <v>484100</v>
      </c>
      <c r="F1920" t="s">
        <v>1454</v>
      </c>
    </row>
    <row r="1921" spans="1:6" x14ac:dyDescent="0.35">
      <c r="A1921">
        <v>20270701</v>
      </c>
      <c r="B1921" t="s">
        <v>1164</v>
      </c>
      <c r="C1921">
        <v>3900</v>
      </c>
      <c r="D1921" t="s">
        <v>1131</v>
      </c>
      <c r="E1921">
        <v>-690100</v>
      </c>
      <c r="F1921" t="s">
        <v>1454</v>
      </c>
    </row>
    <row r="1922" spans="1:6" x14ac:dyDescent="0.35">
      <c r="A1922">
        <v>20270701</v>
      </c>
      <c r="B1922" t="s">
        <v>1169</v>
      </c>
      <c r="C1922">
        <v>5000</v>
      </c>
      <c r="D1922" t="s">
        <v>1131</v>
      </c>
      <c r="E1922">
        <v>484100</v>
      </c>
      <c r="F1922" t="s">
        <v>1454</v>
      </c>
    </row>
    <row r="1923" spans="1:6" x14ac:dyDescent="0.35">
      <c r="A1923">
        <v>20270701</v>
      </c>
      <c r="B1923" t="s">
        <v>1169</v>
      </c>
      <c r="C1923">
        <v>3900</v>
      </c>
      <c r="D1923" t="s">
        <v>1131</v>
      </c>
      <c r="E1923">
        <v>-690100</v>
      </c>
      <c r="F1923" t="s">
        <v>1454</v>
      </c>
    </row>
    <row r="1924" spans="1:6" x14ac:dyDescent="0.35">
      <c r="A1924">
        <v>20270701</v>
      </c>
      <c r="B1924" t="s">
        <v>1175</v>
      </c>
      <c r="C1924">
        <v>5000</v>
      </c>
      <c r="D1924" t="s">
        <v>1131</v>
      </c>
      <c r="E1924">
        <v>484100</v>
      </c>
      <c r="F1924" t="s">
        <v>1454</v>
      </c>
    </row>
    <row r="1925" spans="1:6" x14ac:dyDescent="0.35">
      <c r="A1925">
        <v>20270701</v>
      </c>
      <c r="B1925" t="s">
        <v>1175</v>
      </c>
      <c r="C1925">
        <v>3900</v>
      </c>
      <c r="D1925" t="s">
        <v>1131</v>
      </c>
      <c r="E1925">
        <v>-690100</v>
      </c>
      <c r="F1925" t="s">
        <v>1454</v>
      </c>
    </row>
    <row r="1926" spans="1:6" x14ac:dyDescent="0.35">
      <c r="A1926">
        <v>20270701</v>
      </c>
      <c r="B1926" t="s">
        <v>1130</v>
      </c>
      <c r="C1926">
        <v>5000</v>
      </c>
      <c r="D1926" t="s">
        <v>1131</v>
      </c>
      <c r="E1926">
        <v>484100</v>
      </c>
      <c r="F1926" t="s">
        <v>1454</v>
      </c>
    </row>
    <row r="1927" spans="1:6" x14ac:dyDescent="0.35">
      <c r="A1927">
        <v>20270701</v>
      </c>
      <c r="B1927" t="s">
        <v>1130</v>
      </c>
      <c r="C1927">
        <v>3900</v>
      </c>
      <c r="D1927" t="s">
        <v>1131</v>
      </c>
      <c r="E1927">
        <v>-690100</v>
      </c>
      <c r="F1927" t="s">
        <v>1454</v>
      </c>
    </row>
    <row r="1928" spans="1:6" x14ac:dyDescent="0.35">
      <c r="A1928">
        <v>20270701</v>
      </c>
      <c r="B1928" t="s">
        <v>1173</v>
      </c>
      <c r="C1928">
        <v>5000</v>
      </c>
      <c r="D1928" t="s">
        <v>1131</v>
      </c>
      <c r="E1928">
        <v>484100</v>
      </c>
      <c r="F1928" t="s">
        <v>1454</v>
      </c>
    </row>
    <row r="1929" spans="1:6" x14ac:dyDescent="0.35">
      <c r="A1929">
        <v>20270701</v>
      </c>
      <c r="B1929" t="s">
        <v>1173</v>
      </c>
      <c r="C1929">
        <v>3900</v>
      </c>
      <c r="D1929" t="s">
        <v>1131</v>
      </c>
      <c r="E1929">
        <v>-690100</v>
      </c>
      <c r="F1929" t="s">
        <v>1454</v>
      </c>
    </row>
    <row r="1930" spans="1:6" x14ac:dyDescent="0.35">
      <c r="A1930">
        <v>20270701</v>
      </c>
      <c r="B1930" t="s">
        <v>1155</v>
      </c>
      <c r="C1930">
        <v>5000</v>
      </c>
      <c r="D1930" t="s">
        <v>1131</v>
      </c>
      <c r="E1930">
        <v>484100</v>
      </c>
      <c r="F1930" t="s">
        <v>1454</v>
      </c>
    </row>
    <row r="1931" spans="1:6" x14ac:dyDescent="0.35">
      <c r="A1931">
        <v>20270701</v>
      </c>
      <c r="B1931" t="s">
        <v>1155</v>
      </c>
      <c r="C1931">
        <v>3900</v>
      </c>
      <c r="D1931" t="s">
        <v>1131</v>
      </c>
      <c r="E1931">
        <v>-690100</v>
      </c>
      <c r="F1931" t="s">
        <v>1454</v>
      </c>
    </row>
    <row r="1932" spans="1:6" x14ac:dyDescent="0.35">
      <c r="A1932">
        <v>20270701</v>
      </c>
      <c r="B1932" t="s">
        <v>1138</v>
      </c>
      <c r="C1932">
        <v>5000</v>
      </c>
      <c r="D1932" t="s">
        <v>1131</v>
      </c>
      <c r="E1932">
        <v>484100</v>
      </c>
      <c r="F1932" t="s">
        <v>1454</v>
      </c>
    </row>
    <row r="1933" spans="1:6" x14ac:dyDescent="0.35">
      <c r="A1933">
        <v>20270701</v>
      </c>
      <c r="B1933" t="s">
        <v>1138</v>
      </c>
      <c r="C1933">
        <v>3900</v>
      </c>
      <c r="D1933" t="s">
        <v>1131</v>
      </c>
      <c r="E1933">
        <v>-690100</v>
      </c>
      <c r="F1933" t="s">
        <v>1454</v>
      </c>
    </row>
    <row r="1934" spans="1:6" x14ac:dyDescent="0.35">
      <c r="A1934">
        <v>20270801</v>
      </c>
      <c r="B1934" t="s">
        <v>1150</v>
      </c>
      <c r="C1934">
        <v>5000</v>
      </c>
      <c r="D1934" t="s">
        <v>1131</v>
      </c>
      <c r="E1934">
        <v>484100</v>
      </c>
      <c r="F1934" t="s">
        <v>1454</v>
      </c>
    </row>
    <row r="1935" spans="1:6" x14ac:dyDescent="0.35">
      <c r="A1935">
        <v>20270801</v>
      </c>
      <c r="B1935" t="s">
        <v>1150</v>
      </c>
      <c r="C1935">
        <v>3900</v>
      </c>
      <c r="D1935" t="s">
        <v>1131</v>
      </c>
      <c r="E1935">
        <v>-690100</v>
      </c>
      <c r="F1935" t="s">
        <v>1454</v>
      </c>
    </row>
    <row r="1936" spans="1:6" x14ac:dyDescent="0.35">
      <c r="A1936">
        <v>20270801</v>
      </c>
      <c r="B1936" t="s">
        <v>1158</v>
      </c>
      <c r="C1936">
        <v>5000</v>
      </c>
      <c r="D1936" t="s">
        <v>1131</v>
      </c>
      <c r="E1936">
        <v>484100</v>
      </c>
      <c r="F1936" t="s">
        <v>1454</v>
      </c>
    </row>
    <row r="1937" spans="1:6" x14ac:dyDescent="0.35">
      <c r="A1937">
        <v>20270801</v>
      </c>
      <c r="B1937" t="s">
        <v>1158</v>
      </c>
      <c r="C1937">
        <v>3900</v>
      </c>
      <c r="D1937" t="s">
        <v>1131</v>
      </c>
      <c r="E1937">
        <v>-690100</v>
      </c>
      <c r="F1937" t="s">
        <v>1454</v>
      </c>
    </row>
    <row r="1938" spans="1:6" x14ac:dyDescent="0.35">
      <c r="A1938">
        <v>20270801</v>
      </c>
      <c r="B1938" t="s">
        <v>1205</v>
      </c>
      <c r="C1938">
        <v>5000</v>
      </c>
      <c r="D1938" t="s">
        <v>1131</v>
      </c>
      <c r="E1938">
        <v>484100</v>
      </c>
      <c r="F1938" t="s">
        <v>1454</v>
      </c>
    </row>
    <row r="1939" spans="1:6" x14ac:dyDescent="0.35">
      <c r="A1939">
        <v>20270801</v>
      </c>
      <c r="B1939" t="s">
        <v>1205</v>
      </c>
      <c r="C1939">
        <v>3900</v>
      </c>
      <c r="D1939" t="s">
        <v>1131</v>
      </c>
      <c r="E1939">
        <v>-690100</v>
      </c>
      <c r="F1939" t="s">
        <v>1454</v>
      </c>
    </row>
    <row r="1940" spans="1:6" x14ac:dyDescent="0.35">
      <c r="A1940">
        <v>20270801</v>
      </c>
      <c r="B1940" t="s">
        <v>1164</v>
      </c>
      <c r="C1940">
        <v>5000</v>
      </c>
      <c r="D1940" t="s">
        <v>1131</v>
      </c>
      <c r="E1940">
        <v>484100</v>
      </c>
      <c r="F1940" t="s">
        <v>1454</v>
      </c>
    </row>
    <row r="1941" spans="1:6" x14ac:dyDescent="0.35">
      <c r="A1941">
        <v>20270801</v>
      </c>
      <c r="B1941" t="s">
        <v>1164</v>
      </c>
      <c r="C1941">
        <v>3900</v>
      </c>
      <c r="D1941" t="s">
        <v>1131</v>
      </c>
      <c r="E1941">
        <v>-690100</v>
      </c>
      <c r="F1941" t="s">
        <v>1454</v>
      </c>
    </row>
    <row r="1942" spans="1:6" x14ac:dyDescent="0.35">
      <c r="A1942">
        <v>20270801</v>
      </c>
      <c r="B1942" t="s">
        <v>1169</v>
      </c>
      <c r="C1942">
        <v>5000</v>
      </c>
      <c r="D1942" t="s">
        <v>1131</v>
      </c>
      <c r="E1942">
        <v>484100</v>
      </c>
      <c r="F1942" t="s">
        <v>1454</v>
      </c>
    </row>
    <row r="1943" spans="1:6" x14ac:dyDescent="0.35">
      <c r="A1943">
        <v>20270801</v>
      </c>
      <c r="B1943" t="s">
        <v>1169</v>
      </c>
      <c r="C1943">
        <v>3900</v>
      </c>
      <c r="D1943" t="s">
        <v>1131</v>
      </c>
      <c r="E1943">
        <v>-690100</v>
      </c>
      <c r="F1943" t="s">
        <v>1454</v>
      </c>
    </row>
    <row r="1944" spans="1:6" x14ac:dyDescent="0.35">
      <c r="A1944">
        <v>20270801</v>
      </c>
      <c r="B1944" t="s">
        <v>1175</v>
      </c>
      <c r="C1944">
        <v>5000</v>
      </c>
      <c r="D1944" t="s">
        <v>1131</v>
      </c>
      <c r="E1944">
        <v>484100</v>
      </c>
      <c r="F1944" t="s">
        <v>1454</v>
      </c>
    </row>
    <row r="1945" spans="1:6" x14ac:dyDescent="0.35">
      <c r="A1945">
        <v>20270801</v>
      </c>
      <c r="B1945" t="s">
        <v>1175</v>
      </c>
      <c r="C1945">
        <v>3900</v>
      </c>
      <c r="D1945" t="s">
        <v>1131</v>
      </c>
      <c r="E1945">
        <v>-690100</v>
      </c>
      <c r="F1945" t="s">
        <v>1454</v>
      </c>
    </row>
    <row r="1946" spans="1:6" x14ac:dyDescent="0.35">
      <c r="A1946">
        <v>20270801</v>
      </c>
      <c r="B1946" t="s">
        <v>1130</v>
      </c>
      <c r="C1946">
        <v>5000</v>
      </c>
      <c r="D1946" t="s">
        <v>1131</v>
      </c>
      <c r="E1946">
        <v>484100</v>
      </c>
      <c r="F1946" t="s">
        <v>1454</v>
      </c>
    </row>
    <row r="1947" spans="1:6" x14ac:dyDescent="0.35">
      <c r="A1947">
        <v>20270801</v>
      </c>
      <c r="B1947" t="s">
        <v>1130</v>
      </c>
      <c r="C1947">
        <v>3900</v>
      </c>
      <c r="D1947" t="s">
        <v>1131</v>
      </c>
      <c r="E1947">
        <v>-690100</v>
      </c>
      <c r="F1947" t="s">
        <v>1454</v>
      </c>
    </row>
    <row r="1948" spans="1:6" x14ac:dyDescent="0.35">
      <c r="A1948">
        <v>20270801</v>
      </c>
      <c r="B1948" t="s">
        <v>1173</v>
      </c>
      <c r="C1948">
        <v>5000</v>
      </c>
      <c r="D1948" t="s">
        <v>1131</v>
      </c>
      <c r="E1948">
        <v>484100</v>
      </c>
      <c r="F1948" t="s">
        <v>1454</v>
      </c>
    </row>
    <row r="1949" spans="1:6" x14ac:dyDescent="0.35">
      <c r="A1949">
        <v>20270801</v>
      </c>
      <c r="B1949" t="s">
        <v>1173</v>
      </c>
      <c r="C1949">
        <v>3900</v>
      </c>
      <c r="D1949" t="s">
        <v>1131</v>
      </c>
      <c r="E1949">
        <v>-690100</v>
      </c>
      <c r="F1949" t="s">
        <v>1454</v>
      </c>
    </row>
    <row r="1950" spans="1:6" x14ac:dyDescent="0.35">
      <c r="A1950">
        <v>20270801</v>
      </c>
      <c r="B1950" t="s">
        <v>1155</v>
      </c>
      <c r="C1950">
        <v>5000</v>
      </c>
      <c r="D1950" t="s">
        <v>1131</v>
      </c>
      <c r="E1950">
        <v>484100</v>
      </c>
      <c r="F1950" t="s">
        <v>1454</v>
      </c>
    </row>
    <row r="1951" spans="1:6" x14ac:dyDescent="0.35">
      <c r="A1951">
        <v>20270801</v>
      </c>
      <c r="B1951" t="s">
        <v>1155</v>
      </c>
      <c r="C1951">
        <v>3900</v>
      </c>
      <c r="D1951" t="s">
        <v>1131</v>
      </c>
      <c r="E1951">
        <v>-690100</v>
      </c>
      <c r="F1951" t="s">
        <v>1454</v>
      </c>
    </row>
    <row r="1952" spans="1:6" x14ac:dyDescent="0.35">
      <c r="A1952">
        <v>20270801</v>
      </c>
      <c r="B1952" t="s">
        <v>1138</v>
      </c>
      <c r="C1952">
        <v>5000</v>
      </c>
      <c r="D1952" t="s">
        <v>1131</v>
      </c>
      <c r="E1952">
        <v>484100</v>
      </c>
      <c r="F1952" t="s">
        <v>1454</v>
      </c>
    </row>
    <row r="1953" spans="1:6" x14ac:dyDescent="0.35">
      <c r="A1953">
        <v>20270801</v>
      </c>
      <c r="B1953" t="s">
        <v>1138</v>
      </c>
      <c r="C1953">
        <v>3900</v>
      </c>
      <c r="D1953" t="s">
        <v>1131</v>
      </c>
      <c r="E1953">
        <v>-690100</v>
      </c>
      <c r="F1953" t="s">
        <v>1454</v>
      </c>
    </row>
    <row r="1954" spans="1:6" x14ac:dyDescent="0.35">
      <c r="A1954">
        <v>20270901</v>
      </c>
      <c r="B1954" t="s">
        <v>1150</v>
      </c>
      <c r="C1954">
        <v>5000</v>
      </c>
      <c r="D1954" t="s">
        <v>1131</v>
      </c>
      <c r="E1954">
        <v>484100</v>
      </c>
      <c r="F1954" t="s">
        <v>1454</v>
      </c>
    </row>
    <row r="1955" spans="1:6" x14ac:dyDescent="0.35">
      <c r="A1955">
        <v>20270901</v>
      </c>
      <c r="B1955" t="s">
        <v>1150</v>
      </c>
      <c r="C1955">
        <v>3900</v>
      </c>
      <c r="D1955" t="s">
        <v>1131</v>
      </c>
      <c r="E1955">
        <v>-690100</v>
      </c>
      <c r="F1955" t="s">
        <v>1454</v>
      </c>
    </row>
    <row r="1956" spans="1:6" x14ac:dyDescent="0.35">
      <c r="A1956">
        <v>20270901</v>
      </c>
      <c r="B1956" t="s">
        <v>1158</v>
      </c>
      <c r="C1956">
        <v>5000</v>
      </c>
      <c r="D1956" t="s">
        <v>1131</v>
      </c>
      <c r="E1956">
        <v>484100</v>
      </c>
      <c r="F1956" t="s">
        <v>1454</v>
      </c>
    </row>
    <row r="1957" spans="1:6" x14ac:dyDescent="0.35">
      <c r="A1957">
        <v>20270901</v>
      </c>
      <c r="B1957" t="s">
        <v>1158</v>
      </c>
      <c r="C1957">
        <v>3900</v>
      </c>
      <c r="D1957" t="s">
        <v>1131</v>
      </c>
      <c r="E1957">
        <v>-690100</v>
      </c>
      <c r="F1957" t="s">
        <v>1454</v>
      </c>
    </row>
    <row r="1958" spans="1:6" x14ac:dyDescent="0.35">
      <c r="A1958">
        <v>20270901</v>
      </c>
      <c r="B1958" t="s">
        <v>1205</v>
      </c>
      <c r="C1958">
        <v>5000</v>
      </c>
      <c r="D1958" t="s">
        <v>1131</v>
      </c>
      <c r="E1958">
        <v>484100</v>
      </c>
      <c r="F1958" t="s">
        <v>1454</v>
      </c>
    </row>
    <row r="1959" spans="1:6" x14ac:dyDescent="0.35">
      <c r="A1959">
        <v>20270901</v>
      </c>
      <c r="B1959" t="s">
        <v>1205</v>
      </c>
      <c r="C1959">
        <v>3900</v>
      </c>
      <c r="D1959" t="s">
        <v>1131</v>
      </c>
      <c r="E1959">
        <v>-690100</v>
      </c>
      <c r="F1959" t="s">
        <v>1454</v>
      </c>
    </row>
    <row r="1960" spans="1:6" x14ac:dyDescent="0.35">
      <c r="A1960">
        <v>20270901</v>
      </c>
      <c r="B1960" t="s">
        <v>1164</v>
      </c>
      <c r="C1960">
        <v>5000</v>
      </c>
      <c r="D1960" t="s">
        <v>1131</v>
      </c>
      <c r="E1960">
        <v>484100</v>
      </c>
      <c r="F1960" t="s">
        <v>1454</v>
      </c>
    </row>
    <row r="1961" spans="1:6" x14ac:dyDescent="0.35">
      <c r="A1961">
        <v>20270901</v>
      </c>
      <c r="B1961" t="s">
        <v>1164</v>
      </c>
      <c r="C1961">
        <v>3900</v>
      </c>
      <c r="D1961" t="s">
        <v>1131</v>
      </c>
      <c r="E1961">
        <v>-690100</v>
      </c>
      <c r="F1961" t="s">
        <v>1454</v>
      </c>
    </row>
    <row r="1962" spans="1:6" x14ac:dyDescent="0.35">
      <c r="A1962">
        <v>20270901</v>
      </c>
      <c r="B1962" t="s">
        <v>1169</v>
      </c>
      <c r="C1962">
        <v>5000</v>
      </c>
      <c r="D1962" t="s">
        <v>1131</v>
      </c>
      <c r="E1962">
        <v>484100</v>
      </c>
      <c r="F1962" t="s">
        <v>1454</v>
      </c>
    </row>
    <row r="1963" spans="1:6" x14ac:dyDescent="0.35">
      <c r="A1963">
        <v>20270901</v>
      </c>
      <c r="B1963" t="s">
        <v>1169</v>
      </c>
      <c r="C1963">
        <v>3900</v>
      </c>
      <c r="D1963" t="s">
        <v>1131</v>
      </c>
      <c r="E1963">
        <v>-690100</v>
      </c>
      <c r="F1963" t="s">
        <v>1454</v>
      </c>
    </row>
    <row r="1964" spans="1:6" x14ac:dyDescent="0.35">
      <c r="A1964">
        <v>20270901</v>
      </c>
      <c r="B1964" t="s">
        <v>1175</v>
      </c>
      <c r="C1964">
        <v>5000</v>
      </c>
      <c r="D1964" t="s">
        <v>1131</v>
      </c>
      <c r="E1964">
        <v>484100</v>
      </c>
      <c r="F1964" t="s">
        <v>1454</v>
      </c>
    </row>
    <row r="1965" spans="1:6" x14ac:dyDescent="0.35">
      <c r="A1965">
        <v>20270901</v>
      </c>
      <c r="B1965" t="s">
        <v>1175</v>
      </c>
      <c r="C1965">
        <v>3900</v>
      </c>
      <c r="D1965" t="s">
        <v>1131</v>
      </c>
      <c r="E1965">
        <v>-690100</v>
      </c>
      <c r="F1965" t="s">
        <v>1454</v>
      </c>
    </row>
    <row r="1966" spans="1:6" x14ac:dyDescent="0.35">
      <c r="A1966">
        <v>20270901</v>
      </c>
      <c r="B1966" t="s">
        <v>1130</v>
      </c>
      <c r="C1966">
        <v>5000</v>
      </c>
      <c r="D1966" t="s">
        <v>1131</v>
      </c>
      <c r="E1966">
        <v>484100</v>
      </c>
      <c r="F1966" t="s">
        <v>1454</v>
      </c>
    </row>
    <row r="1967" spans="1:6" x14ac:dyDescent="0.35">
      <c r="A1967">
        <v>20270901</v>
      </c>
      <c r="B1967" t="s">
        <v>1130</v>
      </c>
      <c r="C1967">
        <v>3900</v>
      </c>
      <c r="D1967" t="s">
        <v>1131</v>
      </c>
      <c r="E1967">
        <v>-690100</v>
      </c>
      <c r="F1967" t="s">
        <v>1454</v>
      </c>
    </row>
    <row r="1968" spans="1:6" x14ac:dyDescent="0.35">
      <c r="A1968">
        <v>20270901</v>
      </c>
      <c r="B1968" t="s">
        <v>1173</v>
      </c>
      <c r="C1968">
        <v>5000</v>
      </c>
      <c r="D1968" t="s">
        <v>1131</v>
      </c>
      <c r="E1968">
        <v>484100</v>
      </c>
      <c r="F1968" t="s">
        <v>1454</v>
      </c>
    </row>
    <row r="1969" spans="1:6" x14ac:dyDescent="0.35">
      <c r="A1969">
        <v>20270901</v>
      </c>
      <c r="B1969" t="s">
        <v>1173</v>
      </c>
      <c r="C1969">
        <v>3900</v>
      </c>
      <c r="D1969" t="s">
        <v>1131</v>
      </c>
      <c r="E1969">
        <v>-690100</v>
      </c>
      <c r="F1969" t="s">
        <v>1454</v>
      </c>
    </row>
    <row r="1970" spans="1:6" x14ac:dyDescent="0.35">
      <c r="A1970">
        <v>20270901</v>
      </c>
      <c r="B1970" t="s">
        <v>1155</v>
      </c>
      <c r="C1970">
        <v>5000</v>
      </c>
      <c r="D1970" t="s">
        <v>1131</v>
      </c>
      <c r="E1970">
        <v>484100</v>
      </c>
      <c r="F1970" t="s">
        <v>1454</v>
      </c>
    </row>
    <row r="1971" spans="1:6" x14ac:dyDescent="0.35">
      <c r="A1971">
        <v>20270901</v>
      </c>
      <c r="B1971" t="s">
        <v>1155</v>
      </c>
      <c r="C1971">
        <v>3900</v>
      </c>
      <c r="D1971" t="s">
        <v>1131</v>
      </c>
      <c r="E1971">
        <v>-690100</v>
      </c>
      <c r="F1971" t="s">
        <v>1454</v>
      </c>
    </row>
    <row r="1972" spans="1:6" x14ac:dyDescent="0.35">
      <c r="A1972">
        <v>20270901</v>
      </c>
      <c r="B1972" t="s">
        <v>1138</v>
      </c>
      <c r="C1972">
        <v>5000</v>
      </c>
      <c r="D1972" t="s">
        <v>1131</v>
      </c>
      <c r="E1972">
        <v>484100</v>
      </c>
      <c r="F1972" t="s">
        <v>1454</v>
      </c>
    </row>
    <row r="1973" spans="1:6" x14ac:dyDescent="0.35">
      <c r="A1973">
        <v>20270901</v>
      </c>
      <c r="B1973" t="s">
        <v>1138</v>
      </c>
      <c r="C1973">
        <v>3900</v>
      </c>
      <c r="D1973" t="s">
        <v>1131</v>
      </c>
      <c r="E1973">
        <v>-690100</v>
      </c>
      <c r="F1973" t="s">
        <v>1454</v>
      </c>
    </row>
    <row r="1974" spans="1:6" x14ac:dyDescent="0.35">
      <c r="A1974">
        <v>20271001</v>
      </c>
      <c r="B1974" t="s">
        <v>1150</v>
      </c>
      <c r="C1974">
        <v>5000</v>
      </c>
      <c r="D1974" t="s">
        <v>1131</v>
      </c>
      <c r="E1974">
        <v>484100</v>
      </c>
      <c r="F1974" t="s">
        <v>1454</v>
      </c>
    </row>
    <row r="1975" spans="1:6" x14ac:dyDescent="0.35">
      <c r="A1975">
        <v>20271001</v>
      </c>
      <c r="B1975" t="s">
        <v>1150</v>
      </c>
      <c r="C1975">
        <v>3900</v>
      </c>
      <c r="D1975" t="s">
        <v>1131</v>
      </c>
      <c r="E1975">
        <v>-690100</v>
      </c>
      <c r="F1975" t="s">
        <v>1454</v>
      </c>
    </row>
    <row r="1976" spans="1:6" x14ac:dyDescent="0.35">
      <c r="A1976">
        <v>20271001</v>
      </c>
      <c r="B1976" t="s">
        <v>1158</v>
      </c>
      <c r="C1976">
        <v>5000</v>
      </c>
      <c r="D1976" t="s">
        <v>1131</v>
      </c>
      <c r="E1976">
        <v>484100</v>
      </c>
      <c r="F1976" t="s">
        <v>1454</v>
      </c>
    </row>
    <row r="1977" spans="1:6" x14ac:dyDescent="0.35">
      <c r="A1977">
        <v>20271001</v>
      </c>
      <c r="B1977" t="s">
        <v>1158</v>
      </c>
      <c r="C1977">
        <v>3900</v>
      </c>
      <c r="D1977" t="s">
        <v>1131</v>
      </c>
      <c r="E1977">
        <v>-690100</v>
      </c>
      <c r="F1977" t="s">
        <v>1454</v>
      </c>
    </row>
    <row r="1978" spans="1:6" x14ac:dyDescent="0.35">
      <c r="A1978">
        <v>20271001</v>
      </c>
      <c r="B1978" t="s">
        <v>1205</v>
      </c>
      <c r="C1978">
        <v>5000</v>
      </c>
      <c r="D1978" t="s">
        <v>1131</v>
      </c>
      <c r="E1978">
        <v>484100</v>
      </c>
      <c r="F1978" t="s">
        <v>1454</v>
      </c>
    </row>
    <row r="1979" spans="1:6" x14ac:dyDescent="0.35">
      <c r="A1979">
        <v>20271001</v>
      </c>
      <c r="B1979" t="s">
        <v>1205</v>
      </c>
      <c r="C1979">
        <v>3900</v>
      </c>
      <c r="D1979" t="s">
        <v>1131</v>
      </c>
      <c r="E1979">
        <v>-690100</v>
      </c>
      <c r="F1979" t="s">
        <v>1454</v>
      </c>
    </row>
    <row r="1980" spans="1:6" x14ac:dyDescent="0.35">
      <c r="A1980">
        <v>20271001</v>
      </c>
      <c r="B1980" t="s">
        <v>1164</v>
      </c>
      <c r="C1980">
        <v>5000</v>
      </c>
      <c r="D1980" t="s">
        <v>1131</v>
      </c>
      <c r="E1980">
        <v>484100</v>
      </c>
      <c r="F1980" t="s">
        <v>1454</v>
      </c>
    </row>
    <row r="1981" spans="1:6" x14ac:dyDescent="0.35">
      <c r="A1981">
        <v>20271001</v>
      </c>
      <c r="B1981" t="s">
        <v>1164</v>
      </c>
      <c r="C1981">
        <v>3900</v>
      </c>
      <c r="D1981" t="s">
        <v>1131</v>
      </c>
      <c r="E1981">
        <v>-690100</v>
      </c>
      <c r="F1981" t="s">
        <v>1454</v>
      </c>
    </row>
    <row r="1982" spans="1:6" x14ac:dyDescent="0.35">
      <c r="A1982">
        <v>20271001</v>
      </c>
      <c r="B1982" t="s">
        <v>1169</v>
      </c>
      <c r="C1982">
        <v>5000</v>
      </c>
      <c r="D1982" t="s">
        <v>1131</v>
      </c>
      <c r="E1982">
        <v>484100</v>
      </c>
      <c r="F1982" t="s">
        <v>1454</v>
      </c>
    </row>
    <row r="1983" spans="1:6" x14ac:dyDescent="0.35">
      <c r="A1983">
        <v>20271001</v>
      </c>
      <c r="B1983" t="s">
        <v>1169</v>
      </c>
      <c r="C1983">
        <v>3900</v>
      </c>
      <c r="D1983" t="s">
        <v>1131</v>
      </c>
      <c r="E1983">
        <v>-690100</v>
      </c>
      <c r="F1983" t="s">
        <v>1454</v>
      </c>
    </row>
    <row r="1984" spans="1:6" x14ac:dyDescent="0.35">
      <c r="A1984">
        <v>20271001</v>
      </c>
      <c r="B1984" t="s">
        <v>1175</v>
      </c>
      <c r="C1984">
        <v>5000</v>
      </c>
      <c r="D1984" t="s">
        <v>1131</v>
      </c>
      <c r="E1984">
        <v>484100</v>
      </c>
      <c r="F1984" t="s">
        <v>1454</v>
      </c>
    </row>
    <row r="1985" spans="1:6" x14ac:dyDescent="0.35">
      <c r="A1985">
        <v>20271001</v>
      </c>
      <c r="B1985" t="s">
        <v>1175</v>
      </c>
      <c r="C1985">
        <v>3900</v>
      </c>
      <c r="D1985" t="s">
        <v>1131</v>
      </c>
      <c r="E1985">
        <v>-690100</v>
      </c>
      <c r="F1985" t="s">
        <v>1454</v>
      </c>
    </row>
    <row r="1986" spans="1:6" x14ac:dyDescent="0.35">
      <c r="A1986">
        <v>20271001</v>
      </c>
      <c r="B1986" t="s">
        <v>1130</v>
      </c>
      <c r="C1986">
        <v>5000</v>
      </c>
      <c r="D1986" t="s">
        <v>1131</v>
      </c>
      <c r="E1986">
        <v>484100</v>
      </c>
      <c r="F1986" t="s">
        <v>1454</v>
      </c>
    </row>
    <row r="1987" spans="1:6" x14ac:dyDescent="0.35">
      <c r="A1987">
        <v>20271001</v>
      </c>
      <c r="B1987" t="s">
        <v>1130</v>
      </c>
      <c r="C1987">
        <v>3900</v>
      </c>
      <c r="D1987" t="s">
        <v>1131</v>
      </c>
      <c r="E1987">
        <v>-690100</v>
      </c>
      <c r="F1987" t="s">
        <v>1454</v>
      </c>
    </row>
    <row r="1988" spans="1:6" x14ac:dyDescent="0.35">
      <c r="A1988">
        <v>20271001</v>
      </c>
      <c r="B1988" t="s">
        <v>1173</v>
      </c>
      <c r="C1988">
        <v>5000</v>
      </c>
      <c r="D1988" t="s">
        <v>1131</v>
      </c>
      <c r="E1988">
        <v>484100</v>
      </c>
      <c r="F1988" t="s">
        <v>1454</v>
      </c>
    </row>
    <row r="1989" spans="1:6" x14ac:dyDescent="0.35">
      <c r="A1989">
        <v>20271001</v>
      </c>
      <c r="B1989" t="s">
        <v>1173</v>
      </c>
      <c r="C1989">
        <v>3900</v>
      </c>
      <c r="D1989" t="s">
        <v>1131</v>
      </c>
      <c r="E1989">
        <v>-690100</v>
      </c>
      <c r="F1989" t="s">
        <v>1454</v>
      </c>
    </row>
    <row r="1990" spans="1:6" x14ac:dyDescent="0.35">
      <c r="A1990">
        <v>20271001</v>
      </c>
      <c r="B1990" t="s">
        <v>1155</v>
      </c>
      <c r="C1990">
        <v>5000</v>
      </c>
      <c r="D1990" t="s">
        <v>1131</v>
      </c>
      <c r="E1990">
        <v>484100</v>
      </c>
      <c r="F1990" t="s">
        <v>1454</v>
      </c>
    </row>
    <row r="1991" spans="1:6" x14ac:dyDescent="0.35">
      <c r="A1991">
        <v>20271001</v>
      </c>
      <c r="B1991" t="s">
        <v>1155</v>
      </c>
      <c r="C1991">
        <v>3900</v>
      </c>
      <c r="D1991" t="s">
        <v>1131</v>
      </c>
      <c r="E1991">
        <v>-690100</v>
      </c>
      <c r="F1991" t="s">
        <v>1454</v>
      </c>
    </row>
    <row r="1992" spans="1:6" x14ac:dyDescent="0.35">
      <c r="A1992">
        <v>20271001</v>
      </c>
      <c r="B1992" t="s">
        <v>1138</v>
      </c>
      <c r="C1992">
        <v>5000</v>
      </c>
      <c r="D1992" t="s">
        <v>1131</v>
      </c>
      <c r="E1992">
        <v>484100</v>
      </c>
      <c r="F1992" t="s">
        <v>1454</v>
      </c>
    </row>
    <row r="1993" spans="1:6" x14ac:dyDescent="0.35">
      <c r="A1993">
        <v>20271001</v>
      </c>
      <c r="B1993" t="s">
        <v>1138</v>
      </c>
      <c r="C1993">
        <v>3900</v>
      </c>
      <c r="D1993" t="s">
        <v>1131</v>
      </c>
      <c r="E1993">
        <v>-690100</v>
      </c>
      <c r="F1993" t="s">
        <v>1454</v>
      </c>
    </row>
    <row r="1994" spans="1:6" x14ac:dyDescent="0.35">
      <c r="A1994">
        <v>20271101</v>
      </c>
      <c r="B1994" t="s">
        <v>1150</v>
      </c>
      <c r="C1994">
        <v>5000</v>
      </c>
      <c r="D1994" t="s">
        <v>1131</v>
      </c>
      <c r="E1994">
        <v>484100</v>
      </c>
      <c r="F1994" t="s">
        <v>1454</v>
      </c>
    </row>
    <row r="1995" spans="1:6" x14ac:dyDescent="0.35">
      <c r="A1995">
        <v>20271101</v>
      </c>
      <c r="B1995" t="s">
        <v>1150</v>
      </c>
      <c r="C1995">
        <v>3900</v>
      </c>
      <c r="D1995" t="s">
        <v>1131</v>
      </c>
      <c r="E1995">
        <v>-690100</v>
      </c>
      <c r="F1995" t="s">
        <v>1454</v>
      </c>
    </row>
    <row r="1996" spans="1:6" x14ac:dyDescent="0.35">
      <c r="A1996">
        <v>20271101</v>
      </c>
      <c r="B1996" t="s">
        <v>1158</v>
      </c>
      <c r="C1996">
        <v>5000</v>
      </c>
      <c r="D1996" t="s">
        <v>1131</v>
      </c>
      <c r="E1996">
        <v>484100</v>
      </c>
      <c r="F1996" t="s">
        <v>1454</v>
      </c>
    </row>
    <row r="1997" spans="1:6" x14ac:dyDescent="0.35">
      <c r="A1997">
        <v>20271101</v>
      </c>
      <c r="B1997" t="s">
        <v>1158</v>
      </c>
      <c r="C1997">
        <v>3900</v>
      </c>
      <c r="D1997" t="s">
        <v>1131</v>
      </c>
      <c r="E1997">
        <v>-690100</v>
      </c>
      <c r="F1997" t="s">
        <v>1454</v>
      </c>
    </row>
    <row r="1998" spans="1:6" x14ac:dyDescent="0.35">
      <c r="A1998">
        <v>20271101</v>
      </c>
      <c r="B1998" t="s">
        <v>1205</v>
      </c>
      <c r="C1998">
        <v>5000</v>
      </c>
      <c r="D1998" t="s">
        <v>1131</v>
      </c>
      <c r="E1998">
        <v>484100</v>
      </c>
      <c r="F1998" t="s">
        <v>1454</v>
      </c>
    </row>
    <row r="1999" spans="1:6" x14ac:dyDescent="0.35">
      <c r="A1999">
        <v>20271101</v>
      </c>
      <c r="B1999" t="s">
        <v>1205</v>
      </c>
      <c r="C1999">
        <v>3900</v>
      </c>
      <c r="D1999" t="s">
        <v>1131</v>
      </c>
      <c r="E1999">
        <v>-690100</v>
      </c>
      <c r="F1999" t="s">
        <v>1454</v>
      </c>
    </row>
    <row r="2000" spans="1:6" x14ac:dyDescent="0.35">
      <c r="A2000">
        <v>20271101</v>
      </c>
      <c r="B2000" t="s">
        <v>1164</v>
      </c>
      <c r="C2000">
        <v>5000</v>
      </c>
      <c r="D2000" t="s">
        <v>1131</v>
      </c>
      <c r="E2000">
        <v>484100</v>
      </c>
      <c r="F2000" t="s">
        <v>1454</v>
      </c>
    </row>
    <row r="2001" spans="1:6" x14ac:dyDescent="0.35">
      <c r="A2001">
        <v>20271101</v>
      </c>
      <c r="B2001" t="s">
        <v>1164</v>
      </c>
      <c r="C2001">
        <v>3900</v>
      </c>
      <c r="D2001" t="s">
        <v>1131</v>
      </c>
      <c r="E2001">
        <v>-690100</v>
      </c>
      <c r="F2001" t="s">
        <v>1454</v>
      </c>
    </row>
    <row r="2002" spans="1:6" x14ac:dyDescent="0.35">
      <c r="A2002">
        <v>20271101</v>
      </c>
      <c r="B2002" t="s">
        <v>1169</v>
      </c>
      <c r="C2002">
        <v>5000</v>
      </c>
      <c r="D2002" t="s">
        <v>1131</v>
      </c>
      <c r="E2002">
        <v>484100</v>
      </c>
      <c r="F2002" t="s">
        <v>1454</v>
      </c>
    </row>
    <row r="2003" spans="1:6" x14ac:dyDescent="0.35">
      <c r="A2003">
        <v>20271101</v>
      </c>
      <c r="B2003" t="s">
        <v>1169</v>
      </c>
      <c r="C2003">
        <v>3900</v>
      </c>
      <c r="D2003" t="s">
        <v>1131</v>
      </c>
      <c r="E2003">
        <v>-690100</v>
      </c>
      <c r="F2003" t="s">
        <v>1454</v>
      </c>
    </row>
    <row r="2004" spans="1:6" x14ac:dyDescent="0.35">
      <c r="A2004">
        <v>20271101</v>
      </c>
      <c r="B2004" t="s">
        <v>1175</v>
      </c>
      <c r="C2004">
        <v>5000</v>
      </c>
      <c r="D2004" t="s">
        <v>1131</v>
      </c>
      <c r="E2004">
        <v>484100</v>
      </c>
      <c r="F2004" t="s">
        <v>1454</v>
      </c>
    </row>
    <row r="2005" spans="1:6" x14ac:dyDescent="0.35">
      <c r="A2005">
        <v>20271101</v>
      </c>
      <c r="B2005" t="s">
        <v>1175</v>
      </c>
      <c r="C2005">
        <v>3900</v>
      </c>
      <c r="D2005" t="s">
        <v>1131</v>
      </c>
      <c r="E2005">
        <v>-690100</v>
      </c>
      <c r="F2005" t="s">
        <v>1454</v>
      </c>
    </row>
    <row r="2006" spans="1:6" x14ac:dyDescent="0.35">
      <c r="A2006">
        <v>20271101</v>
      </c>
      <c r="B2006" t="s">
        <v>1130</v>
      </c>
      <c r="C2006">
        <v>5000</v>
      </c>
      <c r="D2006" t="s">
        <v>1131</v>
      </c>
      <c r="E2006">
        <v>484100</v>
      </c>
      <c r="F2006" t="s">
        <v>1454</v>
      </c>
    </row>
    <row r="2007" spans="1:6" x14ac:dyDescent="0.35">
      <c r="A2007">
        <v>20271101</v>
      </c>
      <c r="B2007" t="s">
        <v>1130</v>
      </c>
      <c r="C2007">
        <v>3900</v>
      </c>
      <c r="D2007" t="s">
        <v>1131</v>
      </c>
      <c r="E2007">
        <v>-690100</v>
      </c>
      <c r="F2007" t="s">
        <v>1454</v>
      </c>
    </row>
    <row r="2008" spans="1:6" x14ac:dyDescent="0.35">
      <c r="A2008">
        <v>20271101</v>
      </c>
      <c r="B2008" t="s">
        <v>1173</v>
      </c>
      <c r="C2008">
        <v>5000</v>
      </c>
      <c r="D2008" t="s">
        <v>1131</v>
      </c>
      <c r="E2008">
        <v>484100</v>
      </c>
      <c r="F2008" t="s">
        <v>1454</v>
      </c>
    </row>
    <row r="2009" spans="1:6" x14ac:dyDescent="0.35">
      <c r="A2009">
        <v>20271101</v>
      </c>
      <c r="B2009" t="s">
        <v>1173</v>
      </c>
      <c r="C2009">
        <v>3900</v>
      </c>
      <c r="D2009" t="s">
        <v>1131</v>
      </c>
      <c r="E2009">
        <v>-690100</v>
      </c>
      <c r="F2009" t="s">
        <v>1454</v>
      </c>
    </row>
    <row r="2010" spans="1:6" x14ac:dyDescent="0.35">
      <c r="A2010">
        <v>20271101</v>
      </c>
      <c r="B2010" t="s">
        <v>1155</v>
      </c>
      <c r="C2010">
        <v>5000</v>
      </c>
      <c r="D2010" t="s">
        <v>1131</v>
      </c>
      <c r="E2010">
        <v>484100</v>
      </c>
      <c r="F2010" t="s">
        <v>1454</v>
      </c>
    </row>
    <row r="2011" spans="1:6" x14ac:dyDescent="0.35">
      <c r="A2011">
        <v>20271101</v>
      </c>
      <c r="B2011" t="s">
        <v>1155</v>
      </c>
      <c r="C2011">
        <v>3900</v>
      </c>
      <c r="D2011" t="s">
        <v>1131</v>
      </c>
      <c r="E2011">
        <v>-690100</v>
      </c>
      <c r="F2011" t="s">
        <v>1454</v>
      </c>
    </row>
    <row r="2012" spans="1:6" x14ac:dyDescent="0.35">
      <c r="A2012">
        <v>20271101</v>
      </c>
      <c r="B2012" t="s">
        <v>1138</v>
      </c>
      <c r="C2012">
        <v>5000</v>
      </c>
      <c r="D2012" t="s">
        <v>1131</v>
      </c>
      <c r="E2012">
        <v>484100</v>
      </c>
      <c r="F2012" t="s">
        <v>1454</v>
      </c>
    </row>
    <row r="2013" spans="1:6" x14ac:dyDescent="0.35">
      <c r="A2013">
        <v>20271101</v>
      </c>
      <c r="B2013" t="s">
        <v>1138</v>
      </c>
      <c r="C2013">
        <v>3900</v>
      </c>
      <c r="D2013" t="s">
        <v>1131</v>
      </c>
      <c r="E2013">
        <v>-690100</v>
      </c>
      <c r="F2013" t="s">
        <v>1454</v>
      </c>
    </row>
    <row r="2014" spans="1:6" x14ac:dyDescent="0.35">
      <c r="A2014">
        <v>20271201</v>
      </c>
      <c r="B2014" t="s">
        <v>1150</v>
      </c>
      <c r="C2014">
        <v>5000</v>
      </c>
      <c r="D2014" t="s">
        <v>1131</v>
      </c>
      <c r="E2014">
        <v>484100</v>
      </c>
      <c r="F2014" t="s">
        <v>1454</v>
      </c>
    </row>
    <row r="2015" spans="1:6" x14ac:dyDescent="0.35">
      <c r="A2015">
        <v>20271201</v>
      </c>
      <c r="B2015" t="s">
        <v>1150</v>
      </c>
      <c r="C2015">
        <v>3900</v>
      </c>
      <c r="D2015" t="s">
        <v>1131</v>
      </c>
      <c r="E2015">
        <v>-690100</v>
      </c>
      <c r="F2015" t="s">
        <v>1454</v>
      </c>
    </row>
    <row r="2016" spans="1:6" x14ac:dyDescent="0.35">
      <c r="A2016">
        <v>20271201</v>
      </c>
      <c r="B2016" t="s">
        <v>1158</v>
      </c>
      <c r="C2016">
        <v>5000</v>
      </c>
      <c r="D2016" t="s">
        <v>1131</v>
      </c>
      <c r="E2016">
        <v>484100</v>
      </c>
      <c r="F2016" t="s">
        <v>1454</v>
      </c>
    </row>
    <row r="2017" spans="1:6" x14ac:dyDescent="0.35">
      <c r="A2017">
        <v>20271201</v>
      </c>
      <c r="B2017" t="s">
        <v>1158</v>
      </c>
      <c r="C2017">
        <v>3900</v>
      </c>
      <c r="D2017" t="s">
        <v>1131</v>
      </c>
      <c r="E2017">
        <v>-690100</v>
      </c>
      <c r="F2017" t="s">
        <v>1454</v>
      </c>
    </row>
    <row r="2018" spans="1:6" x14ac:dyDescent="0.35">
      <c r="A2018">
        <v>20271201</v>
      </c>
      <c r="B2018" t="s">
        <v>1205</v>
      </c>
      <c r="C2018">
        <v>5000</v>
      </c>
      <c r="D2018" t="s">
        <v>1131</v>
      </c>
      <c r="E2018">
        <v>484100</v>
      </c>
      <c r="F2018" t="s">
        <v>1454</v>
      </c>
    </row>
    <row r="2019" spans="1:6" x14ac:dyDescent="0.35">
      <c r="A2019">
        <v>20271201</v>
      </c>
      <c r="B2019" t="s">
        <v>1205</v>
      </c>
      <c r="C2019">
        <v>3900</v>
      </c>
      <c r="D2019" t="s">
        <v>1131</v>
      </c>
      <c r="E2019">
        <v>-690100</v>
      </c>
      <c r="F2019" t="s">
        <v>1454</v>
      </c>
    </row>
    <row r="2020" spans="1:6" x14ac:dyDescent="0.35">
      <c r="A2020">
        <v>20271201</v>
      </c>
      <c r="B2020" t="s">
        <v>1164</v>
      </c>
      <c r="C2020">
        <v>5000</v>
      </c>
      <c r="D2020" t="s">
        <v>1131</v>
      </c>
      <c r="E2020">
        <v>484100</v>
      </c>
      <c r="F2020" t="s">
        <v>1454</v>
      </c>
    </row>
    <row r="2021" spans="1:6" x14ac:dyDescent="0.35">
      <c r="A2021">
        <v>20271201</v>
      </c>
      <c r="B2021" t="s">
        <v>1164</v>
      </c>
      <c r="C2021">
        <v>3900</v>
      </c>
      <c r="D2021" t="s">
        <v>1131</v>
      </c>
      <c r="E2021">
        <v>-690100</v>
      </c>
      <c r="F2021" t="s">
        <v>1454</v>
      </c>
    </row>
    <row r="2022" spans="1:6" x14ac:dyDescent="0.35">
      <c r="A2022">
        <v>20271201</v>
      </c>
      <c r="B2022" t="s">
        <v>1169</v>
      </c>
      <c r="C2022">
        <v>5000</v>
      </c>
      <c r="D2022" t="s">
        <v>1131</v>
      </c>
      <c r="E2022">
        <v>484100</v>
      </c>
      <c r="F2022" t="s">
        <v>1454</v>
      </c>
    </row>
    <row r="2023" spans="1:6" x14ac:dyDescent="0.35">
      <c r="A2023">
        <v>20271201</v>
      </c>
      <c r="B2023" t="s">
        <v>1169</v>
      </c>
      <c r="C2023">
        <v>3900</v>
      </c>
      <c r="D2023" t="s">
        <v>1131</v>
      </c>
      <c r="E2023">
        <v>-690100</v>
      </c>
      <c r="F2023" t="s">
        <v>1454</v>
      </c>
    </row>
    <row r="2024" spans="1:6" x14ac:dyDescent="0.35">
      <c r="A2024">
        <v>20271201</v>
      </c>
      <c r="B2024" t="s">
        <v>1175</v>
      </c>
      <c r="C2024">
        <v>5000</v>
      </c>
      <c r="D2024" t="s">
        <v>1131</v>
      </c>
      <c r="E2024">
        <v>484100</v>
      </c>
      <c r="F2024" t="s">
        <v>1454</v>
      </c>
    </row>
    <row r="2025" spans="1:6" x14ac:dyDescent="0.35">
      <c r="A2025">
        <v>20271201</v>
      </c>
      <c r="B2025" t="s">
        <v>1175</v>
      </c>
      <c r="C2025">
        <v>3900</v>
      </c>
      <c r="D2025" t="s">
        <v>1131</v>
      </c>
      <c r="E2025">
        <v>-690100</v>
      </c>
      <c r="F2025" t="s">
        <v>1454</v>
      </c>
    </row>
    <row r="2026" spans="1:6" x14ac:dyDescent="0.35">
      <c r="A2026">
        <v>20271201</v>
      </c>
      <c r="B2026" t="s">
        <v>1130</v>
      </c>
      <c r="C2026">
        <v>5000</v>
      </c>
      <c r="D2026" t="s">
        <v>1131</v>
      </c>
      <c r="E2026">
        <v>484100</v>
      </c>
      <c r="F2026" t="s">
        <v>1454</v>
      </c>
    </row>
    <row r="2027" spans="1:6" x14ac:dyDescent="0.35">
      <c r="A2027">
        <v>20271201</v>
      </c>
      <c r="B2027" t="s">
        <v>1130</v>
      </c>
      <c r="C2027">
        <v>3900</v>
      </c>
      <c r="D2027" t="s">
        <v>1131</v>
      </c>
      <c r="E2027">
        <v>-690100</v>
      </c>
      <c r="F2027" t="s">
        <v>1454</v>
      </c>
    </row>
    <row r="2028" spans="1:6" x14ac:dyDescent="0.35">
      <c r="A2028">
        <v>20271201</v>
      </c>
      <c r="B2028" t="s">
        <v>1173</v>
      </c>
      <c r="C2028">
        <v>5000</v>
      </c>
      <c r="D2028" t="s">
        <v>1131</v>
      </c>
      <c r="E2028">
        <v>484100</v>
      </c>
      <c r="F2028" t="s">
        <v>1454</v>
      </c>
    </row>
    <row r="2029" spans="1:6" x14ac:dyDescent="0.35">
      <c r="A2029">
        <v>20271201</v>
      </c>
      <c r="B2029" t="s">
        <v>1173</v>
      </c>
      <c r="C2029">
        <v>3900</v>
      </c>
      <c r="D2029" t="s">
        <v>1131</v>
      </c>
      <c r="E2029">
        <v>-690100</v>
      </c>
      <c r="F2029" t="s">
        <v>1454</v>
      </c>
    </row>
    <row r="2030" spans="1:6" x14ac:dyDescent="0.35">
      <c r="A2030">
        <v>20271201</v>
      </c>
      <c r="B2030" t="s">
        <v>1155</v>
      </c>
      <c r="C2030">
        <v>5000</v>
      </c>
      <c r="D2030" t="s">
        <v>1131</v>
      </c>
      <c r="E2030">
        <v>484100</v>
      </c>
      <c r="F2030" t="s">
        <v>1454</v>
      </c>
    </row>
    <row r="2031" spans="1:6" x14ac:dyDescent="0.35">
      <c r="A2031">
        <v>20271201</v>
      </c>
      <c r="B2031" t="s">
        <v>1155</v>
      </c>
      <c r="C2031">
        <v>3900</v>
      </c>
      <c r="D2031" t="s">
        <v>1131</v>
      </c>
      <c r="E2031">
        <v>-690100</v>
      </c>
      <c r="F2031" t="s">
        <v>1454</v>
      </c>
    </row>
    <row r="2032" spans="1:6" x14ac:dyDescent="0.35">
      <c r="A2032">
        <v>20271201</v>
      </c>
      <c r="B2032" t="s">
        <v>1138</v>
      </c>
      <c r="C2032">
        <v>5000</v>
      </c>
      <c r="D2032" t="s">
        <v>1131</v>
      </c>
      <c r="E2032">
        <v>484100</v>
      </c>
      <c r="F2032" t="s">
        <v>1454</v>
      </c>
    </row>
    <row r="2033" spans="1:6" x14ac:dyDescent="0.35">
      <c r="A2033">
        <v>20271201</v>
      </c>
      <c r="B2033" t="s">
        <v>1138</v>
      </c>
      <c r="C2033">
        <v>3900</v>
      </c>
      <c r="D2033" t="s">
        <v>1131</v>
      </c>
      <c r="E2033">
        <v>-690100</v>
      </c>
      <c r="F2033" t="s">
        <v>1454</v>
      </c>
    </row>
    <row r="2034" spans="1:6" x14ac:dyDescent="0.35">
      <c r="A2034">
        <v>20280101</v>
      </c>
      <c r="B2034" t="s">
        <v>1150</v>
      </c>
      <c r="C2034">
        <v>5000</v>
      </c>
      <c r="D2034" t="s">
        <v>1131</v>
      </c>
      <c r="E2034">
        <v>498200</v>
      </c>
      <c r="F2034" t="s">
        <v>1455</v>
      </c>
    </row>
    <row r="2035" spans="1:6" x14ac:dyDescent="0.35">
      <c r="A2035">
        <v>20280101</v>
      </c>
      <c r="B2035" t="s">
        <v>1150</v>
      </c>
      <c r="C2035">
        <v>3900</v>
      </c>
      <c r="D2035" t="s">
        <v>1131</v>
      </c>
      <c r="E2035">
        <v>-710200</v>
      </c>
      <c r="F2035" t="s">
        <v>1455</v>
      </c>
    </row>
    <row r="2036" spans="1:6" x14ac:dyDescent="0.35">
      <c r="A2036">
        <v>20280101</v>
      </c>
      <c r="B2036" t="s">
        <v>1158</v>
      </c>
      <c r="C2036">
        <v>5000</v>
      </c>
      <c r="D2036" t="s">
        <v>1131</v>
      </c>
      <c r="E2036">
        <v>498200</v>
      </c>
      <c r="F2036" t="s">
        <v>1455</v>
      </c>
    </row>
    <row r="2037" spans="1:6" x14ac:dyDescent="0.35">
      <c r="A2037">
        <v>20280101</v>
      </c>
      <c r="B2037" t="s">
        <v>1158</v>
      </c>
      <c r="C2037">
        <v>3900</v>
      </c>
      <c r="D2037" t="s">
        <v>1131</v>
      </c>
      <c r="E2037">
        <v>-710200</v>
      </c>
      <c r="F2037" t="s">
        <v>1455</v>
      </c>
    </row>
    <row r="2038" spans="1:6" x14ac:dyDescent="0.35">
      <c r="A2038">
        <v>20280101</v>
      </c>
      <c r="B2038" t="s">
        <v>1205</v>
      </c>
      <c r="C2038">
        <v>5000</v>
      </c>
      <c r="D2038" t="s">
        <v>1131</v>
      </c>
      <c r="E2038">
        <v>498200</v>
      </c>
      <c r="F2038" t="s">
        <v>1455</v>
      </c>
    </row>
    <row r="2039" spans="1:6" x14ac:dyDescent="0.35">
      <c r="A2039">
        <v>20280101</v>
      </c>
      <c r="B2039" t="s">
        <v>1205</v>
      </c>
      <c r="C2039">
        <v>3900</v>
      </c>
      <c r="D2039" t="s">
        <v>1131</v>
      </c>
      <c r="E2039">
        <v>-710200</v>
      </c>
      <c r="F2039" t="s">
        <v>1455</v>
      </c>
    </row>
    <row r="2040" spans="1:6" x14ac:dyDescent="0.35">
      <c r="A2040">
        <v>20280101</v>
      </c>
      <c r="B2040" t="s">
        <v>1164</v>
      </c>
      <c r="C2040">
        <v>5000</v>
      </c>
      <c r="D2040" t="s">
        <v>1131</v>
      </c>
      <c r="E2040">
        <v>498200</v>
      </c>
      <c r="F2040" t="s">
        <v>1455</v>
      </c>
    </row>
    <row r="2041" spans="1:6" x14ac:dyDescent="0.35">
      <c r="A2041">
        <v>20280101</v>
      </c>
      <c r="B2041" t="s">
        <v>1164</v>
      </c>
      <c r="C2041">
        <v>3900</v>
      </c>
      <c r="D2041" t="s">
        <v>1131</v>
      </c>
      <c r="E2041">
        <v>-710200</v>
      </c>
      <c r="F2041" t="s">
        <v>1455</v>
      </c>
    </row>
    <row r="2042" spans="1:6" x14ac:dyDescent="0.35">
      <c r="A2042">
        <v>20280101</v>
      </c>
      <c r="B2042" t="s">
        <v>1169</v>
      </c>
      <c r="C2042">
        <v>5000</v>
      </c>
      <c r="D2042" t="s">
        <v>1131</v>
      </c>
      <c r="E2042">
        <v>498200</v>
      </c>
      <c r="F2042" t="s">
        <v>1455</v>
      </c>
    </row>
    <row r="2043" spans="1:6" x14ac:dyDescent="0.35">
      <c r="A2043">
        <v>20280101</v>
      </c>
      <c r="B2043" t="s">
        <v>1169</v>
      </c>
      <c r="C2043">
        <v>3900</v>
      </c>
      <c r="D2043" t="s">
        <v>1131</v>
      </c>
      <c r="E2043">
        <v>-710200</v>
      </c>
      <c r="F2043" t="s">
        <v>1455</v>
      </c>
    </row>
    <row r="2044" spans="1:6" x14ac:dyDescent="0.35">
      <c r="A2044">
        <v>20280101</v>
      </c>
      <c r="B2044" t="s">
        <v>1175</v>
      </c>
      <c r="C2044">
        <v>5000</v>
      </c>
      <c r="D2044" t="s">
        <v>1131</v>
      </c>
      <c r="E2044">
        <v>498200</v>
      </c>
      <c r="F2044" t="s">
        <v>1455</v>
      </c>
    </row>
    <row r="2045" spans="1:6" x14ac:dyDescent="0.35">
      <c r="A2045">
        <v>20280101</v>
      </c>
      <c r="B2045" t="s">
        <v>1175</v>
      </c>
      <c r="C2045">
        <v>3900</v>
      </c>
      <c r="D2045" t="s">
        <v>1131</v>
      </c>
      <c r="E2045">
        <v>-710200</v>
      </c>
      <c r="F2045" t="s">
        <v>1455</v>
      </c>
    </row>
    <row r="2046" spans="1:6" x14ac:dyDescent="0.35">
      <c r="A2046">
        <v>20280101</v>
      </c>
      <c r="B2046" t="s">
        <v>1130</v>
      </c>
      <c r="C2046">
        <v>5000</v>
      </c>
      <c r="D2046" t="s">
        <v>1131</v>
      </c>
      <c r="E2046">
        <v>498200</v>
      </c>
      <c r="F2046" t="s">
        <v>1455</v>
      </c>
    </row>
    <row r="2047" spans="1:6" x14ac:dyDescent="0.35">
      <c r="A2047">
        <v>20280101</v>
      </c>
      <c r="B2047" t="s">
        <v>1130</v>
      </c>
      <c r="C2047">
        <v>3900</v>
      </c>
      <c r="D2047" t="s">
        <v>1131</v>
      </c>
      <c r="E2047">
        <v>-710200</v>
      </c>
      <c r="F2047" t="s">
        <v>1455</v>
      </c>
    </row>
    <row r="2048" spans="1:6" x14ac:dyDescent="0.35">
      <c r="A2048">
        <v>20280101</v>
      </c>
      <c r="B2048" t="s">
        <v>1173</v>
      </c>
      <c r="C2048">
        <v>5000</v>
      </c>
      <c r="D2048" t="s">
        <v>1131</v>
      </c>
      <c r="E2048">
        <v>498200</v>
      </c>
      <c r="F2048" t="s">
        <v>1455</v>
      </c>
    </row>
    <row r="2049" spans="1:6" x14ac:dyDescent="0.35">
      <c r="A2049">
        <v>20280101</v>
      </c>
      <c r="B2049" t="s">
        <v>1173</v>
      </c>
      <c r="C2049">
        <v>3900</v>
      </c>
      <c r="D2049" t="s">
        <v>1131</v>
      </c>
      <c r="E2049">
        <v>-710200</v>
      </c>
      <c r="F2049" t="s">
        <v>1455</v>
      </c>
    </row>
    <row r="2050" spans="1:6" x14ac:dyDescent="0.35">
      <c r="A2050">
        <v>20280101</v>
      </c>
      <c r="B2050" t="s">
        <v>1155</v>
      </c>
      <c r="C2050">
        <v>5000</v>
      </c>
      <c r="D2050" t="s">
        <v>1131</v>
      </c>
      <c r="E2050">
        <v>498200</v>
      </c>
      <c r="F2050" t="s">
        <v>1455</v>
      </c>
    </row>
    <row r="2051" spans="1:6" x14ac:dyDescent="0.35">
      <c r="A2051">
        <v>20280101</v>
      </c>
      <c r="B2051" t="s">
        <v>1155</v>
      </c>
      <c r="C2051">
        <v>3900</v>
      </c>
      <c r="D2051" t="s">
        <v>1131</v>
      </c>
      <c r="E2051">
        <v>-710200</v>
      </c>
      <c r="F2051" t="s">
        <v>1455</v>
      </c>
    </row>
    <row r="2052" spans="1:6" x14ac:dyDescent="0.35">
      <c r="A2052">
        <v>20280101</v>
      </c>
      <c r="B2052" t="s">
        <v>1138</v>
      </c>
      <c r="C2052">
        <v>5000</v>
      </c>
      <c r="D2052" t="s">
        <v>1131</v>
      </c>
      <c r="E2052">
        <v>498200</v>
      </c>
      <c r="F2052" t="s">
        <v>1455</v>
      </c>
    </row>
    <row r="2053" spans="1:6" x14ac:dyDescent="0.35">
      <c r="A2053">
        <v>20280101</v>
      </c>
      <c r="B2053" t="s">
        <v>1138</v>
      </c>
      <c r="C2053">
        <v>3900</v>
      </c>
      <c r="D2053" t="s">
        <v>1131</v>
      </c>
      <c r="E2053">
        <v>-710200</v>
      </c>
      <c r="F2053" t="s">
        <v>1455</v>
      </c>
    </row>
    <row r="2054" spans="1:6" x14ac:dyDescent="0.35">
      <c r="A2054">
        <v>20280201</v>
      </c>
      <c r="B2054" t="s">
        <v>1150</v>
      </c>
      <c r="C2054">
        <v>5000</v>
      </c>
      <c r="D2054" t="s">
        <v>1131</v>
      </c>
      <c r="E2054">
        <v>498200</v>
      </c>
      <c r="F2054" t="s">
        <v>1455</v>
      </c>
    </row>
    <row r="2055" spans="1:6" x14ac:dyDescent="0.35">
      <c r="A2055">
        <v>20280201</v>
      </c>
      <c r="B2055" t="s">
        <v>1150</v>
      </c>
      <c r="C2055">
        <v>3900</v>
      </c>
      <c r="D2055" t="s">
        <v>1131</v>
      </c>
      <c r="E2055">
        <v>-710200</v>
      </c>
      <c r="F2055" t="s">
        <v>1455</v>
      </c>
    </row>
    <row r="2056" spans="1:6" x14ac:dyDescent="0.35">
      <c r="A2056">
        <v>20280201</v>
      </c>
      <c r="B2056" t="s">
        <v>1158</v>
      </c>
      <c r="C2056">
        <v>5000</v>
      </c>
      <c r="D2056" t="s">
        <v>1131</v>
      </c>
      <c r="E2056">
        <v>498200</v>
      </c>
      <c r="F2056" t="s">
        <v>1455</v>
      </c>
    </row>
    <row r="2057" spans="1:6" x14ac:dyDescent="0.35">
      <c r="A2057">
        <v>20280201</v>
      </c>
      <c r="B2057" t="s">
        <v>1158</v>
      </c>
      <c r="C2057">
        <v>3900</v>
      </c>
      <c r="D2057" t="s">
        <v>1131</v>
      </c>
      <c r="E2057">
        <v>-710200</v>
      </c>
      <c r="F2057" t="s">
        <v>1455</v>
      </c>
    </row>
    <row r="2058" spans="1:6" x14ac:dyDescent="0.35">
      <c r="A2058">
        <v>20280201</v>
      </c>
      <c r="B2058" t="s">
        <v>1205</v>
      </c>
      <c r="C2058">
        <v>5000</v>
      </c>
      <c r="D2058" t="s">
        <v>1131</v>
      </c>
      <c r="E2058">
        <v>498200</v>
      </c>
      <c r="F2058" t="s">
        <v>1455</v>
      </c>
    </row>
    <row r="2059" spans="1:6" x14ac:dyDescent="0.35">
      <c r="A2059">
        <v>20280201</v>
      </c>
      <c r="B2059" t="s">
        <v>1205</v>
      </c>
      <c r="C2059">
        <v>3900</v>
      </c>
      <c r="D2059" t="s">
        <v>1131</v>
      </c>
      <c r="E2059">
        <v>-710200</v>
      </c>
      <c r="F2059" t="s">
        <v>1455</v>
      </c>
    </row>
    <row r="2060" spans="1:6" x14ac:dyDescent="0.35">
      <c r="A2060">
        <v>20280201</v>
      </c>
      <c r="B2060" t="s">
        <v>1164</v>
      </c>
      <c r="C2060">
        <v>5000</v>
      </c>
      <c r="D2060" t="s">
        <v>1131</v>
      </c>
      <c r="E2060">
        <v>498200</v>
      </c>
      <c r="F2060" t="s">
        <v>1455</v>
      </c>
    </row>
    <row r="2061" spans="1:6" x14ac:dyDescent="0.35">
      <c r="A2061">
        <v>20280201</v>
      </c>
      <c r="B2061" t="s">
        <v>1164</v>
      </c>
      <c r="C2061">
        <v>3900</v>
      </c>
      <c r="D2061" t="s">
        <v>1131</v>
      </c>
      <c r="E2061">
        <v>-710200</v>
      </c>
      <c r="F2061" t="s">
        <v>1455</v>
      </c>
    </row>
    <row r="2062" spans="1:6" x14ac:dyDescent="0.35">
      <c r="A2062">
        <v>20280201</v>
      </c>
      <c r="B2062" t="s">
        <v>1169</v>
      </c>
      <c r="C2062">
        <v>5000</v>
      </c>
      <c r="D2062" t="s">
        <v>1131</v>
      </c>
      <c r="E2062">
        <v>498200</v>
      </c>
      <c r="F2062" t="s">
        <v>1455</v>
      </c>
    </row>
    <row r="2063" spans="1:6" x14ac:dyDescent="0.35">
      <c r="A2063">
        <v>20280201</v>
      </c>
      <c r="B2063" t="s">
        <v>1169</v>
      </c>
      <c r="C2063">
        <v>3900</v>
      </c>
      <c r="D2063" t="s">
        <v>1131</v>
      </c>
      <c r="E2063">
        <v>-710200</v>
      </c>
      <c r="F2063" t="s">
        <v>1455</v>
      </c>
    </row>
    <row r="2064" spans="1:6" x14ac:dyDescent="0.35">
      <c r="A2064">
        <v>20280201</v>
      </c>
      <c r="B2064" t="s">
        <v>1175</v>
      </c>
      <c r="C2064">
        <v>5000</v>
      </c>
      <c r="D2064" t="s">
        <v>1131</v>
      </c>
      <c r="E2064">
        <v>498200</v>
      </c>
      <c r="F2064" t="s">
        <v>1455</v>
      </c>
    </row>
    <row r="2065" spans="1:6" x14ac:dyDescent="0.35">
      <c r="A2065">
        <v>20280201</v>
      </c>
      <c r="B2065" t="s">
        <v>1175</v>
      </c>
      <c r="C2065">
        <v>3900</v>
      </c>
      <c r="D2065" t="s">
        <v>1131</v>
      </c>
      <c r="E2065">
        <v>-710200</v>
      </c>
      <c r="F2065" t="s">
        <v>1455</v>
      </c>
    </row>
    <row r="2066" spans="1:6" x14ac:dyDescent="0.35">
      <c r="A2066">
        <v>20280201</v>
      </c>
      <c r="B2066" t="s">
        <v>1130</v>
      </c>
      <c r="C2066">
        <v>5000</v>
      </c>
      <c r="D2066" t="s">
        <v>1131</v>
      </c>
      <c r="E2066">
        <v>498200</v>
      </c>
      <c r="F2066" t="s">
        <v>1455</v>
      </c>
    </row>
    <row r="2067" spans="1:6" x14ac:dyDescent="0.35">
      <c r="A2067">
        <v>20280201</v>
      </c>
      <c r="B2067" t="s">
        <v>1130</v>
      </c>
      <c r="C2067">
        <v>3900</v>
      </c>
      <c r="D2067" t="s">
        <v>1131</v>
      </c>
      <c r="E2067">
        <v>-710200</v>
      </c>
      <c r="F2067" t="s">
        <v>1455</v>
      </c>
    </row>
    <row r="2068" spans="1:6" x14ac:dyDescent="0.35">
      <c r="A2068">
        <v>20280201</v>
      </c>
      <c r="B2068" t="s">
        <v>1173</v>
      </c>
      <c r="C2068">
        <v>5000</v>
      </c>
      <c r="D2068" t="s">
        <v>1131</v>
      </c>
      <c r="E2068">
        <v>498200</v>
      </c>
      <c r="F2068" t="s">
        <v>1455</v>
      </c>
    </row>
    <row r="2069" spans="1:6" x14ac:dyDescent="0.35">
      <c r="A2069">
        <v>20280201</v>
      </c>
      <c r="B2069" t="s">
        <v>1173</v>
      </c>
      <c r="C2069">
        <v>3900</v>
      </c>
      <c r="D2069" t="s">
        <v>1131</v>
      </c>
      <c r="E2069">
        <v>-710200</v>
      </c>
      <c r="F2069" t="s">
        <v>1455</v>
      </c>
    </row>
    <row r="2070" spans="1:6" x14ac:dyDescent="0.35">
      <c r="A2070">
        <v>20280201</v>
      </c>
      <c r="B2070" t="s">
        <v>1155</v>
      </c>
      <c r="C2070">
        <v>5000</v>
      </c>
      <c r="D2070" t="s">
        <v>1131</v>
      </c>
      <c r="E2070">
        <v>498200</v>
      </c>
      <c r="F2070" t="s">
        <v>1455</v>
      </c>
    </row>
    <row r="2071" spans="1:6" x14ac:dyDescent="0.35">
      <c r="A2071">
        <v>20280201</v>
      </c>
      <c r="B2071" t="s">
        <v>1155</v>
      </c>
      <c r="C2071">
        <v>3900</v>
      </c>
      <c r="D2071" t="s">
        <v>1131</v>
      </c>
      <c r="E2071">
        <v>-710200</v>
      </c>
      <c r="F2071" t="s">
        <v>1455</v>
      </c>
    </row>
    <row r="2072" spans="1:6" x14ac:dyDescent="0.35">
      <c r="A2072">
        <v>20280201</v>
      </c>
      <c r="B2072" t="s">
        <v>1138</v>
      </c>
      <c r="C2072">
        <v>5000</v>
      </c>
      <c r="D2072" t="s">
        <v>1131</v>
      </c>
      <c r="E2072">
        <v>498200</v>
      </c>
      <c r="F2072" t="s">
        <v>1455</v>
      </c>
    </row>
    <row r="2073" spans="1:6" x14ac:dyDescent="0.35">
      <c r="A2073">
        <v>20280201</v>
      </c>
      <c r="B2073" t="s">
        <v>1138</v>
      </c>
      <c r="C2073">
        <v>3900</v>
      </c>
      <c r="D2073" t="s">
        <v>1131</v>
      </c>
      <c r="E2073">
        <v>-710200</v>
      </c>
      <c r="F2073" t="s">
        <v>1455</v>
      </c>
    </row>
    <row r="2074" spans="1:6" x14ac:dyDescent="0.35">
      <c r="A2074">
        <v>20280301</v>
      </c>
      <c r="B2074" t="s">
        <v>1150</v>
      </c>
      <c r="C2074">
        <v>5000</v>
      </c>
      <c r="D2074" t="s">
        <v>1131</v>
      </c>
      <c r="E2074">
        <v>498200</v>
      </c>
      <c r="F2074" t="s">
        <v>1455</v>
      </c>
    </row>
    <row r="2075" spans="1:6" x14ac:dyDescent="0.35">
      <c r="A2075">
        <v>20280301</v>
      </c>
      <c r="B2075" t="s">
        <v>1150</v>
      </c>
      <c r="C2075">
        <v>3900</v>
      </c>
      <c r="D2075" t="s">
        <v>1131</v>
      </c>
      <c r="E2075">
        <v>-710200</v>
      </c>
      <c r="F2075" t="s">
        <v>1455</v>
      </c>
    </row>
    <row r="2076" spans="1:6" x14ac:dyDescent="0.35">
      <c r="A2076">
        <v>20280301</v>
      </c>
      <c r="B2076" t="s">
        <v>1158</v>
      </c>
      <c r="C2076">
        <v>5000</v>
      </c>
      <c r="D2076" t="s">
        <v>1131</v>
      </c>
      <c r="E2076">
        <v>498200</v>
      </c>
      <c r="F2076" t="s">
        <v>1455</v>
      </c>
    </row>
    <row r="2077" spans="1:6" x14ac:dyDescent="0.35">
      <c r="A2077">
        <v>20280301</v>
      </c>
      <c r="B2077" t="s">
        <v>1158</v>
      </c>
      <c r="C2077">
        <v>3900</v>
      </c>
      <c r="D2077" t="s">
        <v>1131</v>
      </c>
      <c r="E2077">
        <v>-710200</v>
      </c>
      <c r="F2077" t="s">
        <v>1455</v>
      </c>
    </row>
    <row r="2078" spans="1:6" x14ac:dyDescent="0.35">
      <c r="A2078">
        <v>20280301</v>
      </c>
      <c r="B2078" t="s">
        <v>1205</v>
      </c>
      <c r="C2078">
        <v>5000</v>
      </c>
      <c r="D2078" t="s">
        <v>1131</v>
      </c>
      <c r="E2078">
        <v>498200</v>
      </c>
      <c r="F2078" t="s">
        <v>1455</v>
      </c>
    </row>
    <row r="2079" spans="1:6" x14ac:dyDescent="0.35">
      <c r="A2079">
        <v>20280301</v>
      </c>
      <c r="B2079" t="s">
        <v>1205</v>
      </c>
      <c r="C2079">
        <v>3900</v>
      </c>
      <c r="D2079" t="s">
        <v>1131</v>
      </c>
      <c r="E2079">
        <v>-710200</v>
      </c>
      <c r="F2079" t="s">
        <v>1455</v>
      </c>
    </row>
    <row r="2080" spans="1:6" x14ac:dyDescent="0.35">
      <c r="A2080">
        <v>20280301</v>
      </c>
      <c r="B2080" t="s">
        <v>1164</v>
      </c>
      <c r="C2080">
        <v>5000</v>
      </c>
      <c r="D2080" t="s">
        <v>1131</v>
      </c>
      <c r="E2080">
        <v>498200</v>
      </c>
      <c r="F2080" t="s">
        <v>1455</v>
      </c>
    </row>
    <row r="2081" spans="1:6" x14ac:dyDescent="0.35">
      <c r="A2081">
        <v>20280301</v>
      </c>
      <c r="B2081" t="s">
        <v>1164</v>
      </c>
      <c r="C2081">
        <v>3900</v>
      </c>
      <c r="D2081" t="s">
        <v>1131</v>
      </c>
      <c r="E2081">
        <v>-710200</v>
      </c>
      <c r="F2081" t="s">
        <v>1455</v>
      </c>
    </row>
    <row r="2082" spans="1:6" x14ac:dyDescent="0.35">
      <c r="A2082">
        <v>20280301</v>
      </c>
      <c r="B2082" t="s">
        <v>1169</v>
      </c>
      <c r="C2082">
        <v>5000</v>
      </c>
      <c r="D2082" t="s">
        <v>1131</v>
      </c>
      <c r="E2082">
        <v>498200</v>
      </c>
      <c r="F2082" t="s">
        <v>1455</v>
      </c>
    </row>
    <row r="2083" spans="1:6" x14ac:dyDescent="0.35">
      <c r="A2083">
        <v>20280301</v>
      </c>
      <c r="B2083" t="s">
        <v>1169</v>
      </c>
      <c r="C2083">
        <v>3900</v>
      </c>
      <c r="D2083" t="s">
        <v>1131</v>
      </c>
      <c r="E2083">
        <v>-710200</v>
      </c>
      <c r="F2083" t="s">
        <v>1455</v>
      </c>
    </row>
    <row r="2084" spans="1:6" x14ac:dyDescent="0.35">
      <c r="A2084">
        <v>20280301</v>
      </c>
      <c r="B2084" t="s">
        <v>1175</v>
      </c>
      <c r="C2084">
        <v>5000</v>
      </c>
      <c r="D2084" t="s">
        <v>1131</v>
      </c>
      <c r="E2084">
        <v>498200</v>
      </c>
      <c r="F2084" t="s">
        <v>1455</v>
      </c>
    </row>
    <row r="2085" spans="1:6" x14ac:dyDescent="0.35">
      <c r="A2085">
        <v>20280301</v>
      </c>
      <c r="B2085" t="s">
        <v>1175</v>
      </c>
      <c r="C2085">
        <v>3900</v>
      </c>
      <c r="D2085" t="s">
        <v>1131</v>
      </c>
      <c r="E2085">
        <v>-710200</v>
      </c>
      <c r="F2085" t="s">
        <v>1455</v>
      </c>
    </row>
    <row r="2086" spans="1:6" x14ac:dyDescent="0.35">
      <c r="A2086">
        <v>20280301</v>
      </c>
      <c r="B2086" t="s">
        <v>1130</v>
      </c>
      <c r="C2086">
        <v>5000</v>
      </c>
      <c r="D2086" t="s">
        <v>1131</v>
      </c>
      <c r="E2086">
        <v>498200</v>
      </c>
      <c r="F2086" t="s">
        <v>1455</v>
      </c>
    </row>
    <row r="2087" spans="1:6" x14ac:dyDescent="0.35">
      <c r="A2087">
        <v>20280301</v>
      </c>
      <c r="B2087" t="s">
        <v>1130</v>
      </c>
      <c r="C2087">
        <v>3900</v>
      </c>
      <c r="D2087" t="s">
        <v>1131</v>
      </c>
      <c r="E2087">
        <v>-710200</v>
      </c>
      <c r="F2087" t="s">
        <v>1455</v>
      </c>
    </row>
    <row r="2088" spans="1:6" x14ac:dyDescent="0.35">
      <c r="A2088">
        <v>20280301</v>
      </c>
      <c r="B2088" t="s">
        <v>1173</v>
      </c>
      <c r="C2088">
        <v>5000</v>
      </c>
      <c r="D2088" t="s">
        <v>1131</v>
      </c>
      <c r="E2088">
        <v>498200</v>
      </c>
      <c r="F2088" t="s">
        <v>1455</v>
      </c>
    </row>
    <row r="2089" spans="1:6" x14ac:dyDescent="0.35">
      <c r="A2089">
        <v>20280301</v>
      </c>
      <c r="B2089" t="s">
        <v>1173</v>
      </c>
      <c r="C2089">
        <v>3900</v>
      </c>
      <c r="D2089" t="s">
        <v>1131</v>
      </c>
      <c r="E2089">
        <v>-710200</v>
      </c>
      <c r="F2089" t="s">
        <v>1455</v>
      </c>
    </row>
    <row r="2090" spans="1:6" x14ac:dyDescent="0.35">
      <c r="A2090">
        <v>20280301</v>
      </c>
      <c r="B2090" t="s">
        <v>1155</v>
      </c>
      <c r="C2090">
        <v>5000</v>
      </c>
      <c r="D2090" t="s">
        <v>1131</v>
      </c>
      <c r="E2090">
        <v>498200</v>
      </c>
      <c r="F2090" t="s">
        <v>1455</v>
      </c>
    </row>
    <row r="2091" spans="1:6" x14ac:dyDescent="0.35">
      <c r="A2091">
        <v>20280301</v>
      </c>
      <c r="B2091" t="s">
        <v>1155</v>
      </c>
      <c r="C2091">
        <v>3900</v>
      </c>
      <c r="D2091" t="s">
        <v>1131</v>
      </c>
      <c r="E2091">
        <v>-710200</v>
      </c>
      <c r="F2091" t="s">
        <v>1455</v>
      </c>
    </row>
    <row r="2092" spans="1:6" x14ac:dyDescent="0.35">
      <c r="A2092">
        <v>20280301</v>
      </c>
      <c r="B2092" t="s">
        <v>1138</v>
      </c>
      <c r="C2092">
        <v>5000</v>
      </c>
      <c r="D2092" t="s">
        <v>1131</v>
      </c>
      <c r="E2092">
        <v>498200</v>
      </c>
      <c r="F2092" t="s">
        <v>1455</v>
      </c>
    </row>
    <row r="2093" spans="1:6" x14ac:dyDescent="0.35">
      <c r="A2093">
        <v>20280301</v>
      </c>
      <c r="B2093" t="s">
        <v>1138</v>
      </c>
      <c r="C2093">
        <v>3900</v>
      </c>
      <c r="D2093" t="s">
        <v>1131</v>
      </c>
      <c r="E2093">
        <v>-710200</v>
      </c>
      <c r="F2093" t="s">
        <v>1455</v>
      </c>
    </row>
    <row r="2094" spans="1:6" x14ac:dyDescent="0.35">
      <c r="A2094">
        <v>20280401</v>
      </c>
      <c r="B2094" t="s">
        <v>1150</v>
      </c>
      <c r="C2094">
        <v>5000</v>
      </c>
      <c r="D2094" t="s">
        <v>1131</v>
      </c>
      <c r="E2094">
        <v>498200</v>
      </c>
      <c r="F2094" t="s">
        <v>1455</v>
      </c>
    </row>
    <row r="2095" spans="1:6" x14ac:dyDescent="0.35">
      <c r="A2095">
        <v>20280401</v>
      </c>
      <c r="B2095" t="s">
        <v>1150</v>
      </c>
      <c r="C2095">
        <v>3900</v>
      </c>
      <c r="D2095" t="s">
        <v>1131</v>
      </c>
      <c r="E2095">
        <v>-710200</v>
      </c>
      <c r="F2095" t="s">
        <v>1455</v>
      </c>
    </row>
    <row r="2096" spans="1:6" x14ac:dyDescent="0.35">
      <c r="A2096">
        <v>20280401</v>
      </c>
      <c r="B2096" t="s">
        <v>1158</v>
      </c>
      <c r="C2096">
        <v>5000</v>
      </c>
      <c r="D2096" t="s">
        <v>1131</v>
      </c>
      <c r="E2096">
        <v>498200</v>
      </c>
      <c r="F2096" t="s">
        <v>1455</v>
      </c>
    </row>
    <row r="2097" spans="1:6" x14ac:dyDescent="0.35">
      <c r="A2097">
        <v>20280401</v>
      </c>
      <c r="B2097" t="s">
        <v>1158</v>
      </c>
      <c r="C2097">
        <v>3900</v>
      </c>
      <c r="D2097" t="s">
        <v>1131</v>
      </c>
      <c r="E2097">
        <v>-710200</v>
      </c>
      <c r="F2097" t="s">
        <v>1455</v>
      </c>
    </row>
    <row r="2098" spans="1:6" x14ac:dyDescent="0.35">
      <c r="A2098">
        <v>20280401</v>
      </c>
      <c r="B2098" t="s">
        <v>1205</v>
      </c>
      <c r="C2098">
        <v>5000</v>
      </c>
      <c r="D2098" t="s">
        <v>1131</v>
      </c>
      <c r="E2098">
        <v>498200</v>
      </c>
      <c r="F2098" t="s">
        <v>1455</v>
      </c>
    </row>
    <row r="2099" spans="1:6" x14ac:dyDescent="0.35">
      <c r="A2099">
        <v>20280401</v>
      </c>
      <c r="B2099" t="s">
        <v>1205</v>
      </c>
      <c r="C2099">
        <v>3900</v>
      </c>
      <c r="D2099" t="s">
        <v>1131</v>
      </c>
      <c r="E2099">
        <v>-710200</v>
      </c>
      <c r="F2099" t="s">
        <v>1455</v>
      </c>
    </row>
    <row r="2100" spans="1:6" x14ac:dyDescent="0.35">
      <c r="A2100">
        <v>20280401</v>
      </c>
      <c r="B2100" t="s">
        <v>1164</v>
      </c>
      <c r="C2100">
        <v>5000</v>
      </c>
      <c r="D2100" t="s">
        <v>1131</v>
      </c>
      <c r="E2100">
        <v>498200</v>
      </c>
      <c r="F2100" t="s">
        <v>1455</v>
      </c>
    </row>
    <row r="2101" spans="1:6" x14ac:dyDescent="0.35">
      <c r="A2101">
        <v>20280401</v>
      </c>
      <c r="B2101" t="s">
        <v>1164</v>
      </c>
      <c r="C2101">
        <v>3900</v>
      </c>
      <c r="D2101" t="s">
        <v>1131</v>
      </c>
      <c r="E2101">
        <v>-710200</v>
      </c>
      <c r="F2101" t="s">
        <v>1455</v>
      </c>
    </row>
    <row r="2102" spans="1:6" x14ac:dyDescent="0.35">
      <c r="A2102">
        <v>20280401</v>
      </c>
      <c r="B2102" t="s">
        <v>1169</v>
      </c>
      <c r="C2102">
        <v>5000</v>
      </c>
      <c r="D2102" t="s">
        <v>1131</v>
      </c>
      <c r="E2102">
        <v>498200</v>
      </c>
      <c r="F2102" t="s">
        <v>1455</v>
      </c>
    </row>
    <row r="2103" spans="1:6" x14ac:dyDescent="0.35">
      <c r="A2103">
        <v>20280401</v>
      </c>
      <c r="B2103" t="s">
        <v>1169</v>
      </c>
      <c r="C2103">
        <v>3900</v>
      </c>
      <c r="D2103" t="s">
        <v>1131</v>
      </c>
      <c r="E2103">
        <v>-710200</v>
      </c>
      <c r="F2103" t="s">
        <v>1455</v>
      </c>
    </row>
    <row r="2104" spans="1:6" x14ac:dyDescent="0.35">
      <c r="A2104">
        <v>20280401</v>
      </c>
      <c r="B2104" t="s">
        <v>1175</v>
      </c>
      <c r="C2104">
        <v>5000</v>
      </c>
      <c r="D2104" t="s">
        <v>1131</v>
      </c>
      <c r="E2104">
        <v>498200</v>
      </c>
      <c r="F2104" t="s">
        <v>1455</v>
      </c>
    </row>
    <row r="2105" spans="1:6" x14ac:dyDescent="0.35">
      <c r="A2105">
        <v>20280401</v>
      </c>
      <c r="B2105" t="s">
        <v>1175</v>
      </c>
      <c r="C2105">
        <v>3900</v>
      </c>
      <c r="D2105" t="s">
        <v>1131</v>
      </c>
      <c r="E2105">
        <v>-710200</v>
      </c>
      <c r="F2105" t="s">
        <v>1455</v>
      </c>
    </row>
    <row r="2106" spans="1:6" x14ac:dyDescent="0.35">
      <c r="A2106">
        <v>20280401</v>
      </c>
      <c r="B2106" t="s">
        <v>1130</v>
      </c>
      <c r="C2106">
        <v>5000</v>
      </c>
      <c r="D2106" t="s">
        <v>1131</v>
      </c>
      <c r="E2106">
        <v>498200</v>
      </c>
      <c r="F2106" t="s">
        <v>1455</v>
      </c>
    </row>
    <row r="2107" spans="1:6" x14ac:dyDescent="0.35">
      <c r="A2107">
        <v>20280401</v>
      </c>
      <c r="B2107" t="s">
        <v>1130</v>
      </c>
      <c r="C2107">
        <v>3900</v>
      </c>
      <c r="D2107" t="s">
        <v>1131</v>
      </c>
      <c r="E2107">
        <v>-710200</v>
      </c>
      <c r="F2107" t="s">
        <v>1455</v>
      </c>
    </row>
    <row r="2108" spans="1:6" x14ac:dyDescent="0.35">
      <c r="A2108">
        <v>20280401</v>
      </c>
      <c r="B2108" t="s">
        <v>1173</v>
      </c>
      <c r="C2108">
        <v>5000</v>
      </c>
      <c r="D2108" t="s">
        <v>1131</v>
      </c>
      <c r="E2108">
        <v>498200</v>
      </c>
      <c r="F2108" t="s">
        <v>1455</v>
      </c>
    </row>
    <row r="2109" spans="1:6" x14ac:dyDescent="0.35">
      <c r="A2109">
        <v>20280401</v>
      </c>
      <c r="B2109" t="s">
        <v>1173</v>
      </c>
      <c r="C2109">
        <v>3900</v>
      </c>
      <c r="D2109" t="s">
        <v>1131</v>
      </c>
      <c r="E2109">
        <v>-710200</v>
      </c>
      <c r="F2109" t="s">
        <v>1455</v>
      </c>
    </row>
    <row r="2110" spans="1:6" x14ac:dyDescent="0.35">
      <c r="A2110">
        <v>20280401</v>
      </c>
      <c r="B2110" t="s">
        <v>1155</v>
      </c>
      <c r="C2110">
        <v>5000</v>
      </c>
      <c r="D2110" t="s">
        <v>1131</v>
      </c>
      <c r="E2110">
        <v>498200</v>
      </c>
      <c r="F2110" t="s">
        <v>1455</v>
      </c>
    </row>
    <row r="2111" spans="1:6" x14ac:dyDescent="0.35">
      <c r="A2111">
        <v>20280401</v>
      </c>
      <c r="B2111" t="s">
        <v>1155</v>
      </c>
      <c r="C2111">
        <v>3900</v>
      </c>
      <c r="D2111" t="s">
        <v>1131</v>
      </c>
      <c r="E2111">
        <v>-710200</v>
      </c>
      <c r="F2111" t="s">
        <v>1455</v>
      </c>
    </row>
    <row r="2112" spans="1:6" x14ac:dyDescent="0.35">
      <c r="A2112">
        <v>20280401</v>
      </c>
      <c r="B2112" t="s">
        <v>1138</v>
      </c>
      <c r="C2112">
        <v>5000</v>
      </c>
      <c r="D2112" t="s">
        <v>1131</v>
      </c>
      <c r="E2112">
        <v>498200</v>
      </c>
      <c r="F2112" t="s">
        <v>1455</v>
      </c>
    </row>
    <row r="2113" spans="1:6" x14ac:dyDescent="0.35">
      <c r="A2113">
        <v>20280401</v>
      </c>
      <c r="B2113" t="s">
        <v>1138</v>
      </c>
      <c r="C2113">
        <v>3900</v>
      </c>
      <c r="D2113" t="s">
        <v>1131</v>
      </c>
      <c r="E2113">
        <v>-710200</v>
      </c>
      <c r="F2113" t="s">
        <v>1455</v>
      </c>
    </row>
    <row r="2114" spans="1:6" x14ac:dyDescent="0.35">
      <c r="A2114">
        <v>20280501</v>
      </c>
      <c r="B2114" t="s">
        <v>1150</v>
      </c>
      <c r="C2114">
        <v>5000</v>
      </c>
      <c r="D2114" t="s">
        <v>1131</v>
      </c>
      <c r="E2114">
        <v>498200</v>
      </c>
      <c r="F2114" t="s">
        <v>1455</v>
      </c>
    </row>
    <row r="2115" spans="1:6" x14ac:dyDescent="0.35">
      <c r="A2115">
        <v>20280501</v>
      </c>
      <c r="B2115" t="s">
        <v>1150</v>
      </c>
      <c r="C2115">
        <v>3900</v>
      </c>
      <c r="D2115" t="s">
        <v>1131</v>
      </c>
      <c r="E2115">
        <v>-710200</v>
      </c>
      <c r="F2115" t="s">
        <v>1455</v>
      </c>
    </row>
    <row r="2116" spans="1:6" x14ac:dyDescent="0.35">
      <c r="A2116">
        <v>20280501</v>
      </c>
      <c r="B2116" t="s">
        <v>1158</v>
      </c>
      <c r="C2116">
        <v>5000</v>
      </c>
      <c r="D2116" t="s">
        <v>1131</v>
      </c>
      <c r="E2116">
        <v>498200</v>
      </c>
      <c r="F2116" t="s">
        <v>1455</v>
      </c>
    </row>
    <row r="2117" spans="1:6" x14ac:dyDescent="0.35">
      <c r="A2117">
        <v>20280501</v>
      </c>
      <c r="B2117" t="s">
        <v>1158</v>
      </c>
      <c r="C2117">
        <v>3900</v>
      </c>
      <c r="D2117" t="s">
        <v>1131</v>
      </c>
      <c r="E2117">
        <v>-710200</v>
      </c>
      <c r="F2117" t="s">
        <v>1455</v>
      </c>
    </row>
    <row r="2118" spans="1:6" x14ac:dyDescent="0.35">
      <c r="A2118">
        <v>20280501</v>
      </c>
      <c r="B2118" t="s">
        <v>1205</v>
      </c>
      <c r="C2118">
        <v>5000</v>
      </c>
      <c r="D2118" t="s">
        <v>1131</v>
      </c>
      <c r="E2118">
        <v>498200</v>
      </c>
      <c r="F2118" t="s">
        <v>1455</v>
      </c>
    </row>
    <row r="2119" spans="1:6" x14ac:dyDescent="0.35">
      <c r="A2119">
        <v>20280501</v>
      </c>
      <c r="B2119" t="s">
        <v>1205</v>
      </c>
      <c r="C2119">
        <v>3900</v>
      </c>
      <c r="D2119" t="s">
        <v>1131</v>
      </c>
      <c r="E2119">
        <v>-710200</v>
      </c>
      <c r="F2119" t="s">
        <v>1455</v>
      </c>
    </row>
    <row r="2120" spans="1:6" x14ac:dyDescent="0.35">
      <c r="A2120">
        <v>20280501</v>
      </c>
      <c r="B2120" t="s">
        <v>1164</v>
      </c>
      <c r="C2120">
        <v>5000</v>
      </c>
      <c r="D2120" t="s">
        <v>1131</v>
      </c>
      <c r="E2120">
        <v>498200</v>
      </c>
      <c r="F2120" t="s">
        <v>1455</v>
      </c>
    </row>
    <row r="2121" spans="1:6" x14ac:dyDescent="0.35">
      <c r="A2121">
        <v>20280501</v>
      </c>
      <c r="B2121" t="s">
        <v>1164</v>
      </c>
      <c r="C2121">
        <v>3900</v>
      </c>
      <c r="D2121" t="s">
        <v>1131</v>
      </c>
      <c r="E2121">
        <v>-710200</v>
      </c>
      <c r="F2121" t="s">
        <v>1455</v>
      </c>
    </row>
    <row r="2122" spans="1:6" x14ac:dyDescent="0.35">
      <c r="A2122">
        <v>20280501</v>
      </c>
      <c r="B2122" t="s">
        <v>1169</v>
      </c>
      <c r="C2122">
        <v>5000</v>
      </c>
      <c r="D2122" t="s">
        <v>1131</v>
      </c>
      <c r="E2122">
        <v>498200</v>
      </c>
      <c r="F2122" t="s">
        <v>1455</v>
      </c>
    </row>
    <row r="2123" spans="1:6" x14ac:dyDescent="0.35">
      <c r="A2123">
        <v>20280501</v>
      </c>
      <c r="B2123" t="s">
        <v>1169</v>
      </c>
      <c r="C2123">
        <v>3900</v>
      </c>
      <c r="D2123" t="s">
        <v>1131</v>
      </c>
      <c r="E2123">
        <v>-710200</v>
      </c>
      <c r="F2123" t="s">
        <v>1455</v>
      </c>
    </row>
    <row r="2124" spans="1:6" x14ac:dyDescent="0.35">
      <c r="A2124">
        <v>20280501</v>
      </c>
      <c r="B2124" t="s">
        <v>1175</v>
      </c>
      <c r="C2124">
        <v>5000</v>
      </c>
      <c r="D2124" t="s">
        <v>1131</v>
      </c>
      <c r="E2124">
        <v>498200</v>
      </c>
      <c r="F2124" t="s">
        <v>1455</v>
      </c>
    </row>
    <row r="2125" spans="1:6" x14ac:dyDescent="0.35">
      <c r="A2125">
        <v>20280501</v>
      </c>
      <c r="B2125" t="s">
        <v>1175</v>
      </c>
      <c r="C2125">
        <v>3900</v>
      </c>
      <c r="D2125" t="s">
        <v>1131</v>
      </c>
      <c r="E2125">
        <v>-710200</v>
      </c>
      <c r="F2125" t="s">
        <v>1455</v>
      </c>
    </row>
    <row r="2126" spans="1:6" x14ac:dyDescent="0.35">
      <c r="A2126">
        <v>20280501</v>
      </c>
      <c r="B2126" t="s">
        <v>1130</v>
      </c>
      <c r="C2126">
        <v>5000</v>
      </c>
      <c r="D2126" t="s">
        <v>1131</v>
      </c>
      <c r="E2126">
        <v>498200</v>
      </c>
      <c r="F2126" t="s">
        <v>1455</v>
      </c>
    </row>
    <row r="2127" spans="1:6" x14ac:dyDescent="0.35">
      <c r="A2127">
        <v>20280501</v>
      </c>
      <c r="B2127" t="s">
        <v>1130</v>
      </c>
      <c r="C2127">
        <v>3900</v>
      </c>
      <c r="D2127" t="s">
        <v>1131</v>
      </c>
      <c r="E2127">
        <v>-710200</v>
      </c>
      <c r="F2127" t="s">
        <v>1455</v>
      </c>
    </row>
    <row r="2128" spans="1:6" x14ac:dyDescent="0.35">
      <c r="A2128">
        <v>20280501</v>
      </c>
      <c r="B2128" t="s">
        <v>1173</v>
      </c>
      <c r="C2128">
        <v>5000</v>
      </c>
      <c r="D2128" t="s">
        <v>1131</v>
      </c>
      <c r="E2128">
        <v>498200</v>
      </c>
      <c r="F2128" t="s">
        <v>1455</v>
      </c>
    </row>
    <row r="2129" spans="1:6" x14ac:dyDescent="0.35">
      <c r="A2129">
        <v>20280501</v>
      </c>
      <c r="B2129" t="s">
        <v>1173</v>
      </c>
      <c r="C2129">
        <v>3900</v>
      </c>
      <c r="D2129" t="s">
        <v>1131</v>
      </c>
      <c r="E2129">
        <v>-710200</v>
      </c>
      <c r="F2129" t="s">
        <v>1455</v>
      </c>
    </row>
    <row r="2130" spans="1:6" x14ac:dyDescent="0.35">
      <c r="A2130">
        <v>20280501</v>
      </c>
      <c r="B2130" t="s">
        <v>1155</v>
      </c>
      <c r="C2130">
        <v>5000</v>
      </c>
      <c r="D2130" t="s">
        <v>1131</v>
      </c>
      <c r="E2130">
        <v>498200</v>
      </c>
      <c r="F2130" t="s">
        <v>1455</v>
      </c>
    </row>
    <row r="2131" spans="1:6" x14ac:dyDescent="0.35">
      <c r="A2131">
        <v>20280501</v>
      </c>
      <c r="B2131" t="s">
        <v>1155</v>
      </c>
      <c r="C2131">
        <v>3900</v>
      </c>
      <c r="D2131" t="s">
        <v>1131</v>
      </c>
      <c r="E2131">
        <v>-710200</v>
      </c>
      <c r="F2131" t="s">
        <v>1455</v>
      </c>
    </row>
    <row r="2132" spans="1:6" x14ac:dyDescent="0.35">
      <c r="A2132">
        <v>20280501</v>
      </c>
      <c r="B2132" t="s">
        <v>1138</v>
      </c>
      <c r="C2132">
        <v>5000</v>
      </c>
      <c r="D2132" t="s">
        <v>1131</v>
      </c>
      <c r="E2132">
        <v>498200</v>
      </c>
      <c r="F2132" t="s">
        <v>1455</v>
      </c>
    </row>
    <row r="2133" spans="1:6" x14ac:dyDescent="0.35">
      <c r="A2133">
        <v>20280501</v>
      </c>
      <c r="B2133" t="s">
        <v>1138</v>
      </c>
      <c r="C2133">
        <v>3900</v>
      </c>
      <c r="D2133" t="s">
        <v>1131</v>
      </c>
      <c r="E2133">
        <v>-710200</v>
      </c>
      <c r="F2133" t="s">
        <v>1455</v>
      </c>
    </row>
    <row r="2134" spans="1:6" x14ac:dyDescent="0.35">
      <c r="A2134">
        <v>20280601</v>
      </c>
      <c r="B2134" t="s">
        <v>1150</v>
      </c>
      <c r="C2134">
        <v>5000</v>
      </c>
      <c r="D2134" t="s">
        <v>1131</v>
      </c>
      <c r="E2134">
        <v>498200</v>
      </c>
      <c r="F2134" t="s">
        <v>1455</v>
      </c>
    </row>
    <row r="2135" spans="1:6" x14ac:dyDescent="0.35">
      <c r="A2135">
        <v>20280601</v>
      </c>
      <c r="B2135" t="s">
        <v>1150</v>
      </c>
      <c r="C2135">
        <v>3900</v>
      </c>
      <c r="D2135" t="s">
        <v>1131</v>
      </c>
      <c r="E2135">
        <v>-710200</v>
      </c>
      <c r="F2135" t="s">
        <v>1455</v>
      </c>
    </row>
    <row r="2136" spans="1:6" x14ac:dyDescent="0.35">
      <c r="A2136">
        <v>20280601</v>
      </c>
      <c r="B2136" t="s">
        <v>1158</v>
      </c>
      <c r="C2136">
        <v>5000</v>
      </c>
      <c r="D2136" t="s">
        <v>1131</v>
      </c>
      <c r="E2136">
        <v>498200</v>
      </c>
      <c r="F2136" t="s">
        <v>1455</v>
      </c>
    </row>
    <row r="2137" spans="1:6" x14ac:dyDescent="0.35">
      <c r="A2137">
        <v>20280601</v>
      </c>
      <c r="B2137" t="s">
        <v>1158</v>
      </c>
      <c r="C2137">
        <v>3900</v>
      </c>
      <c r="D2137" t="s">
        <v>1131</v>
      </c>
      <c r="E2137">
        <v>-710200</v>
      </c>
      <c r="F2137" t="s">
        <v>1455</v>
      </c>
    </row>
    <row r="2138" spans="1:6" x14ac:dyDescent="0.35">
      <c r="A2138">
        <v>20280601</v>
      </c>
      <c r="B2138" t="s">
        <v>1205</v>
      </c>
      <c r="C2138">
        <v>5000</v>
      </c>
      <c r="D2138" t="s">
        <v>1131</v>
      </c>
      <c r="E2138">
        <v>498200</v>
      </c>
      <c r="F2138" t="s">
        <v>1455</v>
      </c>
    </row>
    <row r="2139" spans="1:6" x14ac:dyDescent="0.35">
      <c r="A2139">
        <v>20280601</v>
      </c>
      <c r="B2139" t="s">
        <v>1205</v>
      </c>
      <c r="C2139">
        <v>3900</v>
      </c>
      <c r="D2139" t="s">
        <v>1131</v>
      </c>
      <c r="E2139">
        <v>-710200</v>
      </c>
      <c r="F2139" t="s">
        <v>1455</v>
      </c>
    </row>
    <row r="2140" spans="1:6" x14ac:dyDescent="0.35">
      <c r="A2140">
        <v>20280601</v>
      </c>
      <c r="B2140" t="s">
        <v>1164</v>
      </c>
      <c r="C2140">
        <v>5000</v>
      </c>
      <c r="D2140" t="s">
        <v>1131</v>
      </c>
      <c r="E2140">
        <v>498200</v>
      </c>
      <c r="F2140" t="s">
        <v>1455</v>
      </c>
    </row>
    <row r="2141" spans="1:6" x14ac:dyDescent="0.35">
      <c r="A2141">
        <v>20280601</v>
      </c>
      <c r="B2141" t="s">
        <v>1164</v>
      </c>
      <c r="C2141">
        <v>3900</v>
      </c>
      <c r="D2141" t="s">
        <v>1131</v>
      </c>
      <c r="E2141">
        <v>-710200</v>
      </c>
      <c r="F2141" t="s">
        <v>1455</v>
      </c>
    </row>
    <row r="2142" spans="1:6" x14ac:dyDescent="0.35">
      <c r="A2142">
        <v>20280601</v>
      </c>
      <c r="B2142" t="s">
        <v>1169</v>
      </c>
      <c r="C2142">
        <v>5000</v>
      </c>
      <c r="D2142" t="s">
        <v>1131</v>
      </c>
      <c r="E2142">
        <v>498200</v>
      </c>
      <c r="F2142" t="s">
        <v>1455</v>
      </c>
    </row>
    <row r="2143" spans="1:6" x14ac:dyDescent="0.35">
      <c r="A2143">
        <v>20280601</v>
      </c>
      <c r="B2143" t="s">
        <v>1169</v>
      </c>
      <c r="C2143">
        <v>3900</v>
      </c>
      <c r="D2143" t="s">
        <v>1131</v>
      </c>
      <c r="E2143">
        <v>-710200</v>
      </c>
      <c r="F2143" t="s">
        <v>1455</v>
      </c>
    </row>
    <row r="2144" spans="1:6" x14ac:dyDescent="0.35">
      <c r="A2144">
        <v>20280601</v>
      </c>
      <c r="B2144" t="s">
        <v>1175</v>
      </c>
      <c r="C2144">
        <v>5000</v>
      </c>
      <c r="D2144" t="s">
        <v>1131</v>
      </c>
      <c r="E2144">
        <v>498200</v>
      </c>
      <c r="F2144" t="s">
        <v>1455</v>
      </c>
    </row>
    <row r="2145" spans="1:6" x14ac:dyDescent="0.35">
      <c r="A2145">
        <v>20280601</v>
      </c>
      <c r="B2145" t="s">
        <v>1175</v>
      </c>
      <c r="C2145">
        <v>3900</v>
      </c>
      <c r="D2145" t="s">
        <v>1131</v>
      </c>
      <c r="E2145">
        <v>-710200</v>
      </c>
      <c r="F2145" t="s">
        <v>1455</v>
      </c>
    </row>
    <row r="2146" spans="1:6" x14ac:dyDescent="0.35">
      <c r="A2146">
        <v>20280601</v>
      </c>
      <c r="B2146" t="s">
        <v>1130</v>
      </c>
      <c r="C2146">
        <v>5000</v>
      </c>
      <c r="D2146" t="s">
        <v>1131</v>
      </c>
      <c r="E2146">
        <v>498200</v>
      </c>
      <c r="F2146" t="s">
        <v>1455</v>
      </c>
    </row>
    <row r="2147" spans="1:6" x14ac:dyDescent="0.35">
      <c r="A2147">
        <v>20280601</v>
      </c>
      <c r="B2147" t="s">
        <v>1130</v>
      </c>
      <c r="C2147">
        <v>3900</v>
      </c>
      <c r="D2147" t="s">
        <v>1131</v>
      </c>
      <c r="E2147">
        <v>-710200</v>
      </c>
      <c r="F2147" t="s">
        <v>1455</v>
      </c>
    </row>
    <row r="2148" spans="1:6" x14ac:dyDescent="0.35">
      <c r="A2148">
        <v>20280601</v>
      </c>
      <c r="B2148" t="s">
        <v>1173</v>
      </c>
      <c r="C2148">
        <v>5000</v>
      </c>
      <c r="D2148" t="s">
        <v>1131</v>
      </c>
      <c r="E2148">
        <v>498200</v>
      </c>
      <c r="F2148" t="s">
        <v>1455</v>
      </c>
    </row>
    <row r="2149" spans="1:6" x14ac:dyDescent="0.35">
      <c r="A2149">
        <v>20280601</v>
      </c>
      <c r="B2149" t="s">
        <v>1173</v>
      </c>
      <c r="C2149">
        <v>3900</v>
      </c>
      <c r="D2149" t="s">
        <v>1131</v>
      </c>
      <c r="E2149">
        <v>-710200</v>
      </c>
      <c r="F2149" t="s">
        <v>1455</v>
      </c>
    </row>
    <row r="2150" spans="1:6" x14ac:dyDescent="0.35">
      <c r="A2150">
        <v>20280601</v>
      </c>
      <c r="B2150" t="s">
        <v>1155</v>
      </c>
      <c r="C2150">
        <v>5000</v>
      </c>
      <c r="D2150" t="s">
        <v>1131</v>
      </c>
      <c r="E2150">
        <v>498200</v>
      </c>
      <c r="F2150" t="s">
        <v>1455</v>
      </c>
    </row>
    <row r="2151" spans="1:6" x14ac:dyDescent="0.35">
      <c r="A2151">
        <v>20280601</v>
      </c>
      <c r="B2151" t="s">
        <v>1155</v>
      </c>
      <c r="C2151">
        <v>3900</v>
      </c>
      <c r="D2151" t="s">
        <v>1131</v>
      </c>
      <c r="E2151">
        <v>-710200</v>
      </c>
      <c r="F2151" t="s">
        <v>1455</v>
      </c>
    </row>
    <row r="2152" spans="1:6" x14ac:dyDescent="0.35">
      <c r="A2152">
        <v>20280601</v>
      </c>
      <c r="B2152" t="s">
        <v>1138</v>
      </c>
      <c r="C2152">
        <v>5000</v>
      </c>
      <c r="D2152" t="s">
        <v>1131</v>
      </c>
      <c r="E2152">
        <v>498200</v>
      </c>
      <c r="F2152" t="s">
        <v>1455</v>
      </c>
    </row>
    <row r="2153" spans="1:6" x14ac:dyDescent="0.35">
      <c r="A2153">
        <v>20280601</v>
      </c>
      <c r="B2153" t="s">
        <v>1138</v>
      </c>
      <c r="C2153">
        <v>3900</v>
      </c>
      <c r="D2153" t="s">
        <v>1131</v>
      </c>
      <c r="E2153">
        <v>-710200</v>
      </c>
      <c r="F2153" t="s">
        <v>1455</v>
      </c>
    </row>
    <row r="2154" spans="1:6" x14ac:dyDescent="0.35">
      <c r="A2154">
        <v>20280701</v>
      </c>
      <c r="B2154" t="s">
        <v>1150</v>
      </c>
      <c r="C2154">
        <v>5000</v>
      </c>
      <c r="D2154" t="s">
        <v>1131</v>
      </c>
      <c r="E2154">
        <v>498200</v>
      </c>
      <c r="F2154" t="s">
        <v>1455</v>
      </c>
    </row>
    <row r="2155" spans="1:6" x14ac:dyDescent="0.35">
      <c r="A2155">
        <v>20280701</v>
      </c>
      <c r="B2155" t="s">
        <v>1150</v>
      </c>
      <c r="C2155">
        <v>3900</v>
      </c>
      <c r="D2155" t="s">
        <v>1131</v>
      </c>
      <c r="E2155">
        <v>-710200</v>
      </c>
      <c r="F2155" t="s">
        <v>1455</v>
      </c>
    </row>
    <row r="2156" spans="1:6" x14ac:dyDescent="0.35">
      <c r="A2156">
        <v>20280701</v>
      </c>
      <c r="B2156" t="s">
        <v>1158</v>
      </c>
      <c r="C2156">
        <v>5000</v>
      </c>
      <c r="D2156" t="s">
        <v>1131</v>
      </c>
      <c r="E2156">
        <v>498200</v>
      </c>
      <c r="F2156" t="s">
        <v>1455</v>
      </c>
    </row>
    <row r="2157" spans="1:6" x14ac:dyDescent="0.35">
      <c r="A2157">
        <v>20280701</v>
      </c>
      <c r="B2157" t="s">
        <v>1158</v>
      </c>
      <c r="C2157">
        <v>3900</v>
      </c>
      <c r="D2157" t="s">
        <v>1131</v>
      </c>
      <c r="E2157">
        <v>-710200</v>
      </c>
      <c r="F2157" t="s">
        <v>1455</v>
      </c>
    </row>
    <row r="2158" spans="1:6" x14ac:dyDescent="0.35">
      <c r="A2158">
        <v>20280701</v>
      </c>
      <c r="B2158" t="s">
        <v>1205</v>
      </c>
      <c r="C2158">
        <v>5000</v>
      </c>
      <c r="D2158" t="s">
        <v>1131</v>
      </c>
      <c r="E2158">
        <v>498200</v>
      </c>
      <c r="F2158" t="s">
        <v>1455</v>
      </c>
    </row>
    <row r="2159" spans="1:6" x14ac:dyDescent="0.35">
      <c r="A2159">
        <v>20280701</v>
      </c>
      <c r="B2159" t="s">
        <v>1205</v>
      </c>
      <c r="C2159">
        <v>3900</v>
      </c>
      <c r="D2159" t="s">
        <v>1131</v>
      </c>
      <c r="E2159">
        <v>-710200</v>
      </c>
      <c r="F2159" t="s">
        <v>1455</v>
      </c>
    </row>
    <row r="2160" spans="1:6" x14ac:dyDescent="0.35">
      <c r="A2160">
        <v>20280701</v>
      </c>
      <c r="B2160" t="s">
        <v>1164</v>
      </c>
      <c r="C2160">
        <v>5000</v>
      </c>
      <c r="D2160" t="s">
        <v>1131</v>
      </c>
      <c r="E2160">
        <v>498200</v>
      </c>
      <c r="F2160" t="s">
        <v>1455</v>
      </c>
    </row>
    <row r="2161" spans="1:6" x14ac:dyDescent="0.35">
      <c r="A2161">
        <v>20280701</v>
      </c>
      <c r="B2161" t="s">
        <v>1164</v>
      </c>
      <c r="C2161">
        <v>3900</v>
      </c>
      <c r="D2161" t="s">
        <v>1131</v>
      </c>
      <c r="E2161">
        <v>-710200</v>
      </c>
      <c r="F2161" t="s">
        <v>1455</v>
      </c>
    </row>
    <row r="2162" spans="1:6" x14ac:dyDescent="0.35">
      <c r="A2162">
        <v>20280701</v>
      </c>
      <c r="B2162" t="s">
        <v>1169</v>
      </c>
      <c r="C2162">
        <v>5000</v>
      </c>
      <c r="D2162" t="s">
        <v>1131</v>
      </c>
      <c r="E2162">
        <v>498200</v>
      </c>
      <c r="F2162" t="s">
        <v>1455</v>
      </c>
    </row>
    <row r="2163" spans="1:6" x14ac:dyDescent="0.35">
      <c r="A2163">
        <v>20280701</v>
      </c>
      <c r="B2163" t="s">
        <v>1169</v>
      </c>
      <c r="C2163">
        <v>3900</v>
      </c>
      <c r="D2163" t="s">
        <v>1131</v>
      </c>
      <c r="E2163">
        <v>-710200</v>
      </c>
      <c r="F2163" t="s">
        <v>1455</v>
      </c>
    </row>
    <row r="2164" spans="1:6" x14ac:dyDescent="0.35">
      <c r="A2164">
        <v>20280701</v>
      </c>
      <c r="B2164" t="s">
        <v>1175</v>
      </c>
      <c r="C2164">
        <v>5000</v>
      </c>
      <c r="D2164" t="s">
        <v>1131</v>
      </c>
      <c r="E2164">
        <v>498200</v>
      </c>
      <c r="F2164" t="s">
        <v>1455</v>
      </c>
    </row>
    <row r="2165" spans="1:6" x14ac:dyDescent="0.35">
      <c r="A2165">
        <v>20280701</v>
      </c>
      <c r="B2165" t="s">
        <v>1175</v>
      </c>
      <c r="C2165">
        <v>3900</v>
      </c>
      <c r="D2165" t="s">
        <v>1131</v>
      </c>
      <c r="E2165">
        <v>-710200</v>
      </c>
      <c r="F2165" t="s">
        <v>1455</v>
      </c>
    </row>
    <row r="2166" spans="1:6" x14ac:dyDescent="0.35">
      <c r="A2166">
        <v>20280701</v>
      </c>
      <c r="B2166" t="s">
        <v>1130</v>
      </c>
      <c r="C2166">
        <v>5000</v>
      </c>
      <c r="D2166" t="s">
        <v>1131</v>
      </c>
      <c r="E2166">
        <v>498200</v>
      </c>
      <c r="F2166" t="s">
        <v>1455</v>
      </c>
    </row>
    <row r="2167" spans="1:6" x14ac:dyDescent="0.35">
      <c r="A2167">
        <v>20280701</v>
      </c>
      <c r="B2167" t="s">
        <v>1130</v>
      </c>
      <c r="C2167">
        <v>3900</v>
      </c>
      <c r="D2167" t="s">
        <v>1131</v>
      </c>
      <c r="E2167">
        <v>-710200</v>
      </c>
      <c r="F2167" t="s">
        <v>1455</v>
      </c>
    </row>
    <row r="2168" spans="1:6" x14ac:dyDescent="0.35">
      <c r="A2168">
        <v>20280701</v>
      </c>
      <c r="B2168" t="s">
        <v>1173</v>
      </c>
      <c r="C2168">
        <v>5000</v>
      </c>
      <c r="D2168" t="s">
        <v>1131</v>
      </c>
      <c r="E2168">
        <v>498200</v>
      </c>
      <c r="F2168" t="s">
        <v>1455</v>
      </c>
    </row>
    <row r="2169" spans="1:6" x14ac:dyDescent="0.35">
      <c r="A2169">
        <v>20280701</v>
      </c>
      <c r="B2169" t="s">
        <v>1173</v>
      </c>
      <c r="C2169">
        <v>3900</v>
      </c>
      <c r="D2169" t="s">
        <v>1131</v>
      </c>
      <c r="E2169">
        <v>-710200</v>
      </c>
      <c r="F2169" t="s">
        <v>1455</v>
      </c>
    </row>
    <row r="2170" spans="1:6" x14ac:dyDescent="0.35">
      <c r="A2170">
        <v>20280701</v>
      </c>
      <c r="B2170" t="s">
        <v>1155</v>
      </c>
      <c r="C2170">
        <v>5000</v>
      </c>
      <c r="D2170" t="s">
        <v>1131</v>
      </c>
      <c r="E2170">
        <v>498200</v>
      </c>
      <c r="F2170" t="s">
        <v>1455</v>
      </c>
    </row>
    <row r="2171" spans="1:6" x14ac:dyDescent="0.35">
      <c r="A2171">
        <v>20280701</v>
      </c>
      <c r="B2171" t="s">
        <v>1155</v>
      </c>
      <c r="C2171">
        <v>3900</v>
      </c>
      <c r="D2171" t="s">
        <v>1131</v>
      </c>
      <c r="E2171">
        <v>-710200</v>
      </c>
      <c r="F2171" t="s">
        <v>1455</v>
      </c>
    </row>
    <row r="2172" spans="1:6" x14ac:dyDescent="0.35">
      <c r="A2172">
        <v>20280701</v>
      </c>
      <c r="B2172" t="s">
        <v>1138</v>
      </c>
      <c r="C2172">
        <v>5000</v>
      </c>
      <c r="D2172" t="s">
        <v>1131</v>
      </c>
      <c r="E2172">
        <v>498200</v>
      </c>
      <c r="F2172" t="s">
        <v>1455</v>
      </c>
    </row>
    <row r="2173" spans="1:6" x14ac:dyDescent="0.35">
      <c r="A2173">
        <v>20280701</v>
      </c>
      <c r="B2173" t="s">
        <v>1138</v>
      </c>
      <c r="C2173">
        <v>3900</v>
      </c>
      <c r="D2173" t="s">
        <v>1131</v>
      </c>
      <c r="E2173">
        <v>-710200</v>
      </c>
      <c r="F2173" t="s">
        <v>1455</v>
      </c>
    </row>
    <row r="2174" spans="1:6" x14ac:dyDescent="0.35">
      <c r="A2174">
        <v>20280801</v>
      </c>
      <c r="B2174" t="s">
        <v>1150</v>
      </c>
      <c r="C2174">
        <v>5000</v>
      </c>
      <c r="D2174" t="s">
        <v>1131</v>
      </c>
      <c r="E2174">
        <v>498200</v>
      </c>
      <c r="F2174" t="s">
        <v>1455</v>
      </c>
    </row>
    <row r="2175" spans="1:6" x14ac:dyDescent="0.35">
      <c r="A2175">
        <v>20280801</v>
      </c>
      <c r="B2175" t="s">
        <v>1150</v>
      </c>
      <c r="C2175">
        <v>3900</v>
      </c>
      <c r="D2175" t="s">
        <v>1131</v>
      </c>
      <c r="E2175">
        <v>-710200</v>
      </c>
      <c r="F2175" t="s">
        <v>1455</v>
      </c>
    </row>
    <row r="2176" spans="1:6" x14ac:dyDescent="0.35">
      <c r="A2176">
        <v>20280801</v>
      </c>
      <c r="B2176" t="s">
        <v>1158</v>
      </c>
      <c r="C2176">
        <v>5000</v>
      </c>
      <c r="D2176" t="s">
        <v>1131</v>
      </c>
      <c r="E2176">
        <v>498200</v>
      </c>
      <c r="F2176" t="s">
        <v>1455</v>
      </c>
    </row>
    <row r="2177" spans="1:6" x14ac:dyDescent="0.35">
      <c r="A2177">
        <v>20280801</v>
      </c>
      <c r="B2177" t="s">
        <v>1158</v>
      </c>
      <c r="C2177">
        <v>3900</v>
      </c>
      <c r="D2177" t="s">
        <v>1131</v>
      </c>
      <c r="E2177">
        <v>-710200</v>
      </c>
      <c r="F2177" t="s">
        <v>1455</v>
      </c>
    </row>
    <row r="2178" spans="1:6" x14ac:dyDescent="0.35">
      <c r="A2178">
        <v>20280801</v>
      </c>
      <c r="B2178" t="s">
        <v>1205</v>
      </c>
      <c r="C2178">
        <v>5000</v>
      </c>
      <c r="D2178" t="s">
        <v>1131</v>
      </c>
      <c r="E2178">
        <v>498200</v>
      </c>
      <c r="F2178" t="s">
        <v>1455</v>
      </c>
    </row>
    <row r="2179" spans="1:6" x14ac:dyDescent="0.35">
      <c r="A2179">
        <v>20280801</v>
      </c>
      <c r="B2179" t="s">
        <v>1205</v>
      </c>
      <c r="C2179">
        <v>3900</v>
      </c>
      <c r="D2179" t="s">
        <v>1131</v>
      </c>
      <c r="E2179">
        <v>-710200</v>
      </c>
      <c r="F2179" t="s">
        <v>1455</v>
      </c>
    </row>
    <row r="2180" spans="1:6" x14ac:dyDescent="0.35">
      <c r="A2180">
        <v>20280801</v>
      </c>
      <c r="B2180" t="s">
        <v>1164</v>
      </c>
      <c r="C2180">
        <v>5000</v>
      </c>
      <c r="D2180" t="s">
        <v>1131</v>
      </c>
      <c r="E2180">
        <v>498200</v>
      </c>
      <c r="F2180" t="s">
        <v>1455</v>
      </c>
    </row>
    <row r="2181" spans="1:6" x14ac:dyDescent="0.35">
      <c r="A2181">
        <v>20280801</v>
      </c>
      <c r="B2181" t="s">
        <v>1164</v>
      </c>
      <c r="C2181">
        <v>3900</v>
      </c>
      <c r="D2181" t="s">
        <v>1131</v>
      </c>
      <c r="E2181">
        <v>-710200</v>
      </c>
      <c r="F2181" t="s">
        <v>1455</v>
      </c>
    </row>
    <row r="2182" spans="1:6" x14ac:dyDescent="0.35">
      <c r="A2182">
        <v>20280801</v>
      </c>
      <c r="B2182" t="s">
        <v>1169</v>
      </c>
      <c r="C2182">
        <v>5000</v>
      </c>
      <c r="D2182" t="s">
        <v>1131</v>
      </c>
      <c r="E2182">
        <v>498200</v>
      </c>
      <c r="F2182" t="s">
        <v>1455</v>
      </c>
    </row>
    <row r="2183" spans="1:6" x14ac:dyDescent="0.35">
      <c r="A2183">
        <v>20280801</v>
      </c>
      <c r="B2183" t="s">
        <v>1169</v>
      </c>
      <c r="C2183">
        <v>3900</v>
      </c>
      <c r="D2183" t="s">
        <v>1131</v>
      </c>
      <c r="E2183">
        <v>-710200</v>
      </c>
      <c r="F2183" t="s">
        <v>1455</v>
      </c>
    </row>
    <row r="2184" spans="1:6" x14ac:dyDescent="0.35">
      <c r="A2184">
        <v>20280801</v>
      </c>
      <c r="B2184" t="s">
        <v>1175</v>
      </c>
      <c r="C2184">
        <v>5000</v>
      </c>
      <c r="D2184" t="s">
        <v>1131</v>
      </c>
      <c r="E2184">
        <v>498200</v>
      </c>
      <c r="F2184" t="s">
        <v>1455</v>
      </c>
    </row>
    <row r="2185" spans="1:6" x14ac:dyDescent="0.35">
      <c r="A2185">
        <v>20280801</v>
      </c>
      <c r="B2185" t="s">
        <v>1175</v>
      </c>
      <c r="C2185">
        <v>3900</v>
      </c>
      <c r="D2185" t="s">
        <v>1131</v>
      </c>
      <c r="E2185">
        <v>-710200</v>
      </c>
      <c r="F2185" t="s">
        <v>1455</v>
      </c>
    </row>
    <row r="2186" spans="1:6" x14ac:dyDescent="0.35">
      <c r="A2186">
        <v>20280801</v>
      </c>
      <c r="B2186" t="s">
        <v>1130</v>
      </c>
      <c r="C2186">
        <v>5000</v>
      </c>
      <c r="D2186" t="s">
        <v>1131</v>
      </c>
      <c r="E2186">
        <v>498200</v>
      </c>
      <c r="F2186" t="s">
        <v>1455</v>
      </c>
    </row>
    <row r="2187" spans="1:6" x14ac:dyDescent="0.35">
      <c r="A2187">
        <v>20280801</v>
      </c>
      <c r="B2187" t="s">
        <v>1130</v>
      </c>
      <c r="C2187">
        <v>3900</v>
      </c>
      <c r="D2187" t="s">
        <v>1131</v>
      </c>
      <c r="E2187">
        <v>-710200</v>
      </c>
      <c r="F2187" t="s">
        <v>1455</v>
      </c>
    </row>
    <row r="2188" spans="1:6" x14ac:dyDescent="0.35">
      <c r="A2188">
        <v>20280801</v>
      </c>
      <c r="B2188" t="s">
        <v>1173</v>
      </c>
      <c r="C2188">
        <v>5000</v>
      </c>
      <c r="D2188" t="s">
        <v>1131</v>
      </c>
      <c r="E2188">
        <v>498200</v>
      </c>
      <c r="F2188" t="s">
        <v>1455</v>
      </c>
    </row>
    <row r="2189" spans="1:6" x14ac:dyDescent="0.35">
      <c r="A2189">
        <v>20280801</v>
      </c>
      <c r="B2189" t="s">
        <v>1173</v>
      </c>
      <c r="C2189">
        <v>3900</v>
      </c>
      <c r="D2189" t="s">
        <v>1131</v>
      </c>
      <c r="E2189">
        <v>-710200</v>
      </c>
      <c r="F2189" t="s">
        <v>1455</v>
      </c>
    </row>
    <row r="2190" spans="1:6" x14ac:dyDescent="0.35">
      <c r="A2190">
        <v>20280801</v>
      </c>
      <c r="B2190" t="s">
        <v>1155</v>
      </c>
      <c r="C2190">
        <v>5000</v>
      </c>
      <c r="D2190" t="s">
        <v>1131</v>
      </c>
      <c r="E2190">
        <v>498200</v>
      </c>
      <c r="F2190" t="s">
        <v>1455</v>
      </c>
    </row>
    <row r="2191" spans="1:6" x14ac:dyDescent="0.35">
      <c r="A2191">
        <v>20280801</v>
      </c>
      <c r="B2191" t="s">
        <v>1155</v>
      </c>
      <c r="C2191">
        <v>3900</v>
      </c>
      <c r="D2191" t="s">
        <v>1131</v>
      </c>
      <c r="E2191">
        <v>-710200</v>
      </c>
      <c r="F2191" t="s">
        <v>1455</v>
      </c>
    </row>
    <row r="2192" spans="1:6" x14ac:dyDescent="0.35">
      <c r="A2192">
        <v>20280801</v>
      </c>
      <c r="B2192" t="s">
        <v>1138</v>
      </c>
      <c r="C2192">
        <v>5000</v>
      </c>
      <c r="D2192" t="s">
        <v>1131</v>
      </c>
      <c r="E2192">
        <v>498200</v>
      </c>
      <c r="F2192" t="s">
        <v>1455</v>
      </c>
    </row>
    <row r="2193" spans="1:6" x14ac:dyDescent="0.35">
      <c r="A2193">
        <v>20280801</v>
      </c>
      <c r="B2193" t="s">
        <v>1138</v>
      </c>
      <c r="C2193">
        <v>3900</v>
      </c>
      <c r="D2193" t="s">
        <v>1131</v>
      </c>
      <c r="E2193">
        <v>-710200</v>
      </c>
      <c r="F2193" t="s">
        <v>1455</v>
      </c>
    </row>
    <row r="2194" spans="1:6" x14ac:dyDescent="0.35">
      <c r="A2194">
        <v>20280901</v>
      </c>
      <c r="B2194" t="s">
        <v>1150</v>
      </c>
      <c r="C2194">
        <v>5000</v>
      </c>
      <c r="D2194" t="s">
        <v>1131</v>
      </c>
      <c r="E2194">
        <v>498200</v>
      </c>
      <c r="F2194" t="s">
        <v>1455</v>
      </c>
    </row>
    <row r="2195" spans="1:6" x14ac:dyDescent="0.35">
      <c r="A2195">
        <v>20280901</v>
      </c>
      <c r="B2195" t="s">
        <v>1150</v>
      </c>
      <c r="C2195">
        <v>3900</v>
      </c>
      <c r="D2195" t="s">
        <v>1131</v>
      </c>
      <c r="E2195">
        <v>-710200</v>
      </c>
      <c r="F2195" t="s">
        <v>1455</v>
      </c>
    </row>
    <row r="2196" spans="1:6" x14ac:dyDescent="0.35">
      <c r="A2196">
        <v>20280901</v>
      </c>
      <c r="B2196" t="s">
        <v>1158</v>
      </c>
      <c r="C2196">
        <v>5000</v>
      </c>
      <c r="D2196" t="s">
        <v>1131</v>
      </c>
      <c r="E2196">
        <v>498200</v>
      </c>
      <c r="F2196" t="s">
        <v>1455</v>
      </c>
    </row>
    <row r="2197" spans="1:6" x14ac:dyDescent="0.35">
      <c r="A2197">
        <v>20280901</v>
      </c>
      <c r="B2197" t="s">
        <v>1158</v>
      </c>
      <c r="C2197">
        <v>3900</v>
      </c>
      <c r="D2197" t="s">
        <v>1131</v>
      </c>
      <c r="E2197">
        <v>-710200</v>
      </c>
      <c r="F2197" t="s">
        <v>1455</v>
      </c>
    </row>
    <row r="2198" spans="1:6" x14ac:dyDescent="0.35">
      <c r="A2198">
        <v>20280901</v>
      </c>
      <c r="B2198" t="s">
        <v>1205</v>
      </c>
      <c r="C2198">
        <v>5000</v>
      </c>
      <c r="D2198" t="s">
        <v>1131</v>
      </c>
      <c r="E2198">
        <v>498200</v>
      </c>
      <c r="F2198" t="s">
        <v>1455</v>
      </c>
    </row>
    <row r="2199" spans="1:6" x14ac:dyDescent="0.35">
      <c r="A2199">
        <v>20280901</v>
      </c>
      <c r="B2199" t="s">
        <v>1205</v>
      </c>
      <c r="C2199">
        <v>3900</v>
      </c>
      <c r="D2199" t="s">
        <v>1131</v>
      </c>
      <c r="E2199">
        <v>-710200</v>
      </c>
      <c r="F2199" t="s">
        <v>1455</v>
      </c>
    </row>
    <row r="2200" spans="1:6" x14ac:dyDescent="0.35">
      <c r="A2200">
        <v>20280901</v>
      </c>
      <c r="B2200" t="s">
        <v>1164</v>
      </c>
      <c r="C2200">
        <v>5000</v>
      </c>
      <c r="D2200" t="s">
        <v>1131</v>
      </c>
      <c r="E2200">
        <v>498200</v>
      </c>
      <c r="F2200" t="s">
        <v>1455</v>
      </c>
    </row>
    <row r="2201" spans="1:6" x14ac:dyDescent="0.35">
      <c r="A2201">
        <v>20280901</v>
      </c>
      <c r="B2201" t="s">
        <v>1164</v>
      </c>
      <c r="C2201">
        <v>3900</v>
      </c>
      <c r="D2201" t="s">
        <v>1131</v>
      </c>
      <c r="E2201">
        <v>-710200</v>
      </c>
      <c r="F2201" t="s">
        <v>1455</v>
      </c>
    </row>
    <row r="2202" spans="1:6" x14ac:dyDescent="0.35">
      <c r="A2202">
        <v>20280901</v>
      </c>
      <c r="B2202" t="s">
        <v>1169</v>
      </c>
      <c r="C2202">
        <v>5000</v>
      </c>
      <c r="D2202" t="s">
        <v>1131</v>
      </c>
      <c r="E2202">
        <v>498200</v>
      </c>
      <c r="F2202" t="s">
        <v>1455</v>
      </c>
    </row>
    <row r="2203" spans="1:6" x14ac:dyDescent="0.35">
      <c r="A2203">
        <v>20280901</v>
      </c>
      <c r="B2203" t="s">
        <v>1169</v>
      </c>
      <c r="C2203">
        <v>3900</v>
      </c>
      <c r="D2203" t="s">
        <v>1131</v>
      </c>
      <c r="E2203">
        <v>-710200</v>
      </c>
      <c r="F2203" t="s">
        <v>1455</v>
      </c>
    </row>
    <row r="2204" spans="1:6" x14ac:dyDescent="0.35">
      <c r="A2204">
        <v>20280901</v>
      </c>
      <c r="B2204" t="s">
        <v>1175</v>
      </c>
      <c r="C2204">
        <v>5000</v>
      </c>
      <c r="D2204" t="s">
        <v>1131</v>
      </c>
      <c r="E2204">
        <v>498200</v>
      </c>
      <c r="F2204" t="s">
        <v>1455</v>
      </c>
    </row>
    <row r="2205" spans="1:6" x14ac:dyDescent="0.35">
      <c r="A2205">
        <v>20280901</v>
      </c>
      <c r="B2205" t="s">
        <v>1175</v>
      </c>
      <c r="C2205">
        <v>3900</v>
      </c>
      <c r="D2205" t="s">
        <v>1131</v>
      </c>
      <c r="E2205">
        <v>-710200</v>
      </c>
      <c r="F2205" t="s">
        <v>1455</v>
      </c>
    </row>
    <row r="2206" spans="1:6" x14ac:dyDescent="0.35">
      <c r="A2206">
        <v>20280901</v>
      </c>
      <c r="B2206" t="s">
        <v>1130</v>
      </c>
      <c r="C2206">
        <v>5000</v>
      </c>
      <c r="D2206" t="s">
        <v>1131</v>
      </c>
      <c r="E2206">
        <v>498200</v>
      </c>
      <c r="F2206" t="s">
        <v>1455</v>
      </c>
    </row>
    <row r="2207" spans="1:6" x14ac:dyDescent="0.35">
      <c r="A2207">
        <v>20280901</v>
      </c>
      <c r="B2207" t="s">
        <v>1130</v>
      </c>
      <c r="C2207">
        <v>3900</v>
      </c>
      <c r="D2207" t="s">
        <v>1131</v>
      </c>
      <c r="E2207">
        <v>-710200</v>
      </c>
      <c r="F2207" t="s">
        <v>1455</v>
      </c>
    </row>
    <row r="2208" spans="1:6" x14ac:dyDescent="0.35">
      <c r="A2208">
        <v>20280901</v>
      </c>
      <c r="B2208" t="s">
        <v>1173</v>
      </c>
      <c r="C2208">
        <v>5000</v>
      </c>
      <c r="D2208" t="s">
        <v>1131</v>
      </c>
      <c r="E2208">
        <v>498200</v>
      </c>
      <c r="F2208" t="s">
        <v>1455</v>
      </c>
    </row>
    <row r="2209" spans="1:6" x14ac:dyDescent="0.35">
      <c r="A2209">
        <v>20280901</v>
      </c>
      <c r="B2209" t="s">
        <v>1173</v>
      </c>
      <c r="C2209">
        <v>3900</v>
      </c>
      <c r="D2209" t="s">
        <v>1131</v>
      </c>
      <c r="E2209">
        <v>-710200</v>
      </c>
      <c r="F2209" t="s">
        <v>1455</v>
      </c>
    </row>
    <row r="2210" spans="1:6" x14ac:dyDescent="0.35">
      <c r="A2210">
        <v>20280901</v>
      </c>
      <c r="B2210" t="s">
        <v>1155</v>
      </c>
      <c r="C2210">
        <v>5000</v>
      </c>
      <c r="D2210" t="s">
        <v>1131</v>
      </c>
      <c r="E2210">
        <v>498200</v>
      </c>
      <c r="F2210" t="s">
        <v>1455</v>
      </c>
    </row>
    <row r="2211" spans="1:6" x14ac:dyDescent="0.35">
      <c r="A2211">
        <v>20280901</v>
      </c>
      <c r="B2211" t="s">
        <v>1155</v>
      </c>
      <c r="C2211">
        <v>3900</v>
      </c>
      <c r="D2211" t="s">
        <v>1131</v>
      </c>
      <c r="E2211">
        <v>-710200</v>
      </c>
      <c r="F2211" t="s">
        <v>1455</v>
      </c>
    </row>
    <row r="2212" spans="1:6" x14ac:dyDescent="0.35">
      <c r="A2212">
        <v>20280901</v>
      </c>
      <c r="B2212" t="s">
        <v>1138</v>
      </c>
      <c r="C2212">
        <v>5000</v>
      </c>
      <c r="D2212" t="s">
        <v>1131</v>
      </c>
      <c r="E2212">
        <v>498200</v>
      </c>
      <c r="F2212" t="s">
        <v>1455</v>
      </c>
    </row>
    <row r="2213" spans="1:6" x14ac:dyDescent="0.35">
      <c r="A2213">
        <v>20280901</v>
      </c>
      <c r="B2213" t="s">
        <v>1138</v>
      </c>
      <c r="C2213">
        <v>3900</v>
      </c>
      <c r="D2213" t="s">
        <v>1131</v>
      </c>
      <c r="E2213">
        <v>-710200</v>
      </c>
      <c r="F2213" t="s">
        <v>1455</v>
      </c>
    </row>
    <row r="2214" spans="1:6" x14ac:dyDescent="0.35">
      <c r="A2214">
        <v>20281001</v>
      </c>
      <c r="B2214" t="s">
        <v>1150</v>
      </c>
      <c r="C2214">
        <v>5000</v>
      </c>
      <c r="D2214" t="s">
        <v>1131</v>
      </c>
      <c r="E2214">
        <v>498200</v>
      </c>
      <c r="F2214" t="s">
        <v>1455</v>
      </c>
    </row>
    <row r="2215" spans="1:6" x14ac:dyDescent="0.35">
      <c r="A2215">
        <v>20281001</v>
      </c>
      <c r="B2215" t="s">
        <v>1150</v>
      </c>
      <c r="C2215">
        <v>3900</v>
      </c>
      <c r="D2215" t="s">
        <v>1131</v>
      </c>
      <c r="E2215">
        <v>-710200</v>
      </c>
      <c r="F2215" t="s">
        <v>1455</v>
      </c>
    </row>
    <row r="2216" spans="1:6" x14ac:dyDescent="0.35">
      <c r="A2216">
        <v>20281001</v>
      </c>
      <c r="B2216" t="s">
        <v>1158</v>
      </c>
      <c r="C2216">
        <v>5000</v>
      </c>
      <c r="D2216" t="s">
        <v>1131</v>
      </c>
      <c r="E2216">
        <v>498200</v>
      </c>
      <c r="F2216" t="s">
        <v>1455</v>
      </c>
    </row>
    <row r="2217" spans="1:6" x14ac:dyDescent="0.35">
      <c r="A2217">
        <v>20281001</v>
      </c>
      <c r="B2217" t="s">
        <v>1158</v>
      </c>
      <c r="C2217">
        <v>3900</v>
      </c>
      <c r="D2217" t="s">
        <v>1131</v>
      </c>
      <c r="E2217">
        <v>-710200</v>
      </c>
      <c r="F2217" t="s">
        <v>1455</v>
      </c>
    </row>
    <row r="2218" spans="1:6" x14ac:dyDescent="0.35">
      <c r="A2218">
        <v>20281001</v>
      </c>
      <c r="B2218" t="s">
        <v>1205</v>
      </c>
      <c r="C2218">
        <v>5000</v>
      </c>
      <c r="D2218" t="s">
        <v>1131</v>
      </c>
      <c r="E2218">
        <v>498200</v>
      </c>
      <c r="F2218" t="s">
        <v>1455</v>
      </c>
    </row>
    <row r="2219" spans="1:6" x14ac:dyDescent="0.35">
      <c r="A2219">
        <v>20281001</v>
      </c>
      <c r="B2219" t="s">
        <v>1205</v>
      </c>
      <c r="C2219">
        <v>3900</v>
      </c>
      <c r="D2219" t="s">
        <v>1131</v>
      </c>
      <c r="E2219">
        <v>-710200</v>
      </c>
      <c r="F2219" t="s">
        <v>1455</v>
      </c>
    </row>
    <row r="2220" spans="1:6" x14ac:dyDescent="0.35">
      <c r="A2220">
        <v>20281001</v>
      </c>
      <c r="B2220" t="s">
        <v>1164</v>
      </c>
      <c r="C2220">
        <v>5000</v>
      </c>
      <c r="D2220" t="s">
        <v>1131</v>
      </c>
      <c r="E2220">
        <v>498200</v>
      </c>
      <c r="F2220" t="s">
        <v>1455</v>
      </c>
    </row>
    <row r="2221" spans="1:6" x14ac:dyDescent="0.35">
      <c r="A2221">
        <v>20281001</v>
      </c>
      <c r="B2221" t="s">
        <v>1164</v>
      </c>
      <c r="C2221">
        <v>3900</v>
      </c>
      <c r="D2221" t="s">
        <v>1131</v>
      </c>
      <c r="E2221">
        <v>-710200</v>
      </c>
      <c r="F2221" t="s">
        <v>1455</v>
      </c>
    </row>
    <row r="2222" spans="1:6" x14ac:dyDescent="0.35">
      <c r="A2222">
        <v>20281001</v>
      </c>
      <c r="B2222" t="s">
        <v>1169</v>
      </c>
      <c r="C2222">
        <v>5000</v>
      </c>
      <c r="D2222" t="s">
        <v>1131</v>
      </c>
      <c r="E2222">
        <v>498200</v>
      </c>
      <c r="F2222" t="s">
        <v>1455</v>
      </c>
    </row>
    <row r="2223" spans="1:6" x14ac:dyDescent="0.35">
      <c r="A2223">
        <v>20281001</v>
      </c>
      <c r="B2223" t="s">
        <v>1169</v>
      </c>
      <c r="C2223">
        <v>3900</v>
      </c>
      <c r="D2223" t="s">
        <v>1131</v>
      </c>
      <c r="E2223">
        <v>-710200</v>
      </c>
      <c r="F2223" t="s">
        <v>1455</v>
      </c>
    </row>
    <row r="2224" spans="1:6" x14ac:dyDescent="0.35">
      <c r="A2224">
        <v>20281001</v>
      </c>
      <c r="B2224" t="s">
        <v>1175</v>
      </c>
      <c r="C2224">
        <v>5000</v>
      </c>
      <c r="D2224" t="s">
        <v>1131</v>
      </c>
      <c r="E2224">
        <v>498200</v>
      </c>
      <c r="F2224" t="s">
        <v>1455</v>
      </c>
    </row>
    <row r="2225" spans="1:6" x14ac:dyDescent="0.35">
      <c r="A2225">
        <v>20281001</v>
      </c>
      <c r="B2225" t="s">
        <v>1175</v>
      </c>
      <c r="C2225">
        <v>3900</v>
      </c>
      <c r="D2225" t="s">
        <v>1131</v>
      </c>
      <c r="E2225">
        <v>-710200</v>
      </c>
      <c r="F2225" t="s">
        <v>1455</v>
      </c>
    </row>
    <row r="2226" spans="1:6" x14ac:dyDescent="0.35">
      <c r="A2226">
        <v>20281001</v>
      </c>
      <c r="B2226" t="s">
        <v>1130</v>
      </c>
      <c r="C2226">
        <v>5000</v>
      </c>
      <c r="D2226" t="s">
        <v>1131</v>
      </c>
      <c r="E2226">
        <v>498200</v>
      </c>
      <c r="F2226" t="s">
        <v>1455</v>
      </c>
    </row>
    <row r="2227" spans="1:6" x14ac:dyDescent="0.35">
      <c r="A2227">
        <v>20281001</v>
      </c>
      <c r="B2227" t="s">
        <v>1130</v>
      </c>
      <c r="C2227">
        <v>3900</v>
      </c>
      <c r="D2227" t="s">
        <v>1131</v>
      </c>
      <c r="E2227">
        <v>-710200</v>
      </c>
      <c r="F2227" t="s">
        <v>1455</v>
      </c>
    </row>
    <row r="2228" spans="1:6" x14ac:dyDescent="0.35">
      <c r="A2228">
        <v>20281001</v>
      </c>
      <c r="B2228" t="s">
        <v>1173</v>
      </c>
      <c r="C2228">
        <v>5000</v>
      </c>
      <c r="D2228" t="s">
        <v>1131</v>
      </c>
      <c r="E2228">
        <v>498200</v>
      </c>
      <c r="F2228" t="s">
        <v>1455</v>
      </c>
    </row>
    <row r="2229" spans="1:6" x14ac:dyDescent="0.35">
      <c r="A2229">
        <v>20281001</v>
      </c>
      <c r="B2229" t="s">
        <v>1173</v>
      </c>
      <c r="C2229">
        <v>3900</v>
      </c>
      <c r="D2229" t="s">
        <v>1131</v>
      </c>
      <c r="E2229">
        <v>-710200</v>
      </c>
      <c r="F2229" t="s">
        <v>1455</v>
      </c>
    </row>
    <row r="2230" spans="1:6" x14ac:dyDescent="0.35">
      <c r="A2230">
        <v>20281001</v>
      </c>
      <c r="B2230" t="s">
        <v>1155</v>
      </c>
      <c r="C2230">
        <v>5000</v>
      </c>
      <c r="D2230" t="s">
        <v>1131</v>
      </c>
      <c r="E2230">
        <v>498200</v>
      </c>
      <c r="F2230" t="s">
        <v>1455</v>
      </c>
    </row>
    <row r="2231" spans="1:6" x14ac:dyDescent="0.35">
      <c r="A2231">
        <v>20281001</v>
      </c>
      <c r="B2231" t="s">
        <v>1155</v>
      </c>
      <c r="C2231">
        <v>3900</v>
      </c>
      <c r="D2231" t="s">
        <v>1131</v>
      </c>
      <c r="E2231">
        <v>-710200</v>
      </c>
      <c r="F2231" t="s">
        <v>1455</v>
      </c>
    </row>
    <row r="2232" spans="1:6" x14ac:dyDescent="0.35">
      <c r="A2232">
        <v>20281001</v>
      </c>
      <c r="B2232" t="s">
        <v>1138</v>
      </c>
      <c r="C2232">
        <v>5000</v>
      </c>
      <c r="D2232" t="s">
        <v>1131</v>
      </c>
      <c r="E2232">
        <v>498200</v>
      </c>
      <c r="F2232" t="s">
        <v>1455</v>
      </c>
    </row>
    <row r="2233" spans="1:6" x14ac:dyDescent="0.35">
      <c r="A2233">
        <v>20281001</v>
      </c>
      <c r="B2233" t="s">
        <v>1138</v>
      </c>
      <c r="C2233">
        <v>3900</v>
      </c>
      <c r="D2233" t="s">
        <v>1131</v>
      </c>
      <c r="E2233">
        <v>-710200</v>
      </c>
      <c r="F2233" t="s">
        <v>1455</v>
      </c>
    </row>
    <row r="2234" spans="1:6" x14ac:dyDescent="0.35">
      <c r="A2234">
        <v>20281101</v>
      </c>
      <c r="B2234" t="s">
        <v>1150</v>
      </c>
      <c r="C2234">
        <v>5000</v>
      </c>
      <c r="D2234" t="s">
        <v>1131</v>
      </c>
      <c r="E2234">
        <v>498200</v>
      </c>
      <c r="F2234" t="s">
        <v>1455</v>
      </c>
    </row>
    <row r="2235" spans="1:6" x14ac:dyDescent="0.35">
      <c r="A2235">
        <v>20281101</v>
      </c>
      <c r="B2235" t="s">
        <v>1150</v>
      </c>
      <c r="C2235">
        <v>3900</v>
      </c>
      <c r="D2235" t="s">
        <v>1131</v>
      </c>
      <c r="E2235">
        <v>-710200</v>
      </c>
      <c r="F2235" t="s">
        <v>1455</v>
      </c>
    </row>
    <row r="2236" spans="1:6" x14ac:dyDescent="0.35">
      <c r="A2236">
        <v>20281101</v>
      </c>
      <c r="B2236" t="s">
        <v>1158</v>
      </c>
      <c r="C2236">
        <v>5000</v>
      </c>
      <c r="D2236" t="s">
        <v>1131</v>
      </c>
      <c r="E2236">
        <v>498200</v>
      </c>
      <c r="F2236" t="s">
        <v>1455</v>
      </c>
    </row>
    <row r="2237" spans="1:6" x14ac:dyDescent="0.35">
      <c r="A2237">
        <v>20281101</v>
      </c>
      <c r="B2237" t="s">
        <v>1158</v>
      </c>
      <c r="C2237">
        <v>3900</v>
      </c>
      <c r="D2237" t="s">
        <v>1131</v>
      </c>
      <c r="E2237">
        <v>-710200</v>
      </c>
      <c r="F2237" t="s">
        <v>1455</v>
      </c>
    </row>
    <row r="2238" spans="1:6" x14ac:dyDescent="0.35">
      <c r="A2238">
        <v>20281101</v>
      </c>
      <c r="B2238" t="s">
        <v>1205</v>
      </c>
      <c r="C2238">
        <v>5000</v>
      </c>
      <c r="D2238" t="s">
        <v>1131</v>
      </c>
      <c r="E2238">
        <v>498200</v>
      </c>
      <c r="F2238" t="s">
        <v>1455</v>
      </c>
    </row>
    <row r="2239" spans="1:6" x14ac:dyDescent="0.35">
      <c r="A2239">
        <v>20281101</v>
      </c>
      <c r="B2239" t="s">
        <v>1205</v>
      </c>
      <c r="C2239">
        <v>3900</v>
      </c>
      <c r="D2239" t="s">
        <v>1131</v>
      </c>
      <c r="E2239">
        <v>-710200</v>
      </c>
      <c r="F2239" t="s">
        <v>1455</v>
      </c>
    </row>
    <row r="2240" spans="1:6" x14ac:dyDescent="0.35">
      <c r="A2240">
        <v>20281101</v>
      </c>
      <c r="B2240" t="s">
        <v>1164</v>
      </c>
      <c r="C2240">
        <v>5000</v>
      </c>
      <c r="D2240" t="s">
        <v>1131</v>
      </c>
      <c r="E2240">
        <v>498200</v>
      </c>
      <c r="F2240" t="s">
        <v>1455</v>
      </c>
    </row>
    <row r="2241" spans="1:6" x14ac:dyDescent="0.35">
      <c r="A2241">
        <v>20281101</v>
      </c>
      <c r="B2241" t="s">
        <v>1164</v>
      </c>
      <c r="C2241">
        <v>3900</v>
      </c>
      <c r="D2241" t="s">
        <v>1131</v>
      </c>
      <c r="E2241">
        <v>-710200</v>
      </c>
      <c r="F2241" t="s">
        <v>1455</v>
      </c>
    </row>
    <row r="2242" spans="1:6" x14ac:dyDescent="0.35">
      <c r="A2242">
        <v>20281101</v>
      </c>
      <c r="B2242" t="s">
        <v>1169</v>
      </c>
      <c r="C2242">
        <v>5000</v>
      </c>
      <c r="D2242" t="s">
        <v>1131</v>
      </c>
      <c r="E2242">
        <v>498200</v>
      </c>
      <c r="F2242" t="s">
        <v>1455</v>
      </c>
    </row>
    <row r="2243" spans="1:6" x14ac:dyDescent="0.35">
      <c r="A2243">
        <v>20281101</v>
      </c>
      <c r="B2243" t="s">
        <v>1169</v>
      </c>
      <c r="C2243">
        <v>3900</v>
      </c>
      <c r="D2243" t="s">
        <v>1131</v>
      </c>
      <c r="E2243">
        <v>-710200</v>
      </c>
      <c r="F2243" t="s">
        <v>1455</v>
      </c>
    </row>
    <row r="2244" spans="1:6" x14ac:dyDescent="0.35">
      <c r="A2244">
        <v>20281101</v>
      </c>
      <c r="B2244" t="s">
        <v>1175</v>
      </c>
      <c r="C2244">
        <v>5000</v>
      </c>
      <c r="D2244" t="s">
        <v>1131</v>
      </c>
      <c r="E2244">
        <v>498200</v>
      </c>
      <c r="F2244" t="s">
        <v>1455</v>
      </c>
    </row>
    <row r="2245" spans="1:6" x14ac:dyDescent="0.35">
      <c r="A2245">
        <v>20281101</v>
      </c>
      <c r="B2245" t="s">
        <v>1175</v>
      </c>
      <c r="C2245">
        <v>3900</v>
      </c>
      <c r="D2245" t="s">
        <v>1131</v>
      </c>
      <c r="E2245">
        <v>-710200</v>
      </c>
      <c r="F2245" t="s">
        <v>1455</v>
      </c>
    </row>
    <row r="2246" spans="1:6" x14ac:dyDescent="0.35">
      <c r="A2246">
        <v>20281101</v>
      </c>
      <c r="B2246" t="s">
        <v>1130</v>
      </c>
      <c r="C2246">
        <v>5000</v>
      </c>
      <c r="D2246" t="s">
        <v>1131</v>
      </c>
      <c r="E2246">
        <v>498200</v>
      </c>
      <c r="F2246" t="s">
        <v>1455</v>
      </c>
    </row>
    <row r="2247" spans="1:6" x14ac:dyDescent="0.35">
      <c r="A2247">
        <v>20281101</v>
      </c>
      <c r="B2247" t="s">
        <v>1130</v>
      </c>
      <c r="C2247">
        <v>3900</v>
      </c>
      <c r="D2247" t="s">
        <v>1131</v>
      </c>
      <c r="E2247">
        <v>-710200</v>
      </c>
      <c r="F2247" t="s">
        <v>1455</v>
      </c>
    </row>
    <row r="2248" spans="1:6" x14ac:dyDescent="0.35">
      <c r="A2248">
        <v>20281101</v>
      </c>
      <c r="B2248" t="s">
        <v>1173</v>
      </c>
      <c r="C2248">
        <v>5000</v>
      </c>
      <c r="D2248" t="s">
        <v>1131</v>
      </c>
      <c r="E2248">
        <v>498200</v>
      </c>
      <c r="F2248" t="s">
        <v>1455</v>
      </c>
    </row>
    <row r="2249" spans="1:6" x14ac:dyDescent="0.35">
      <c r="A2249">
        <v>20281101</v>
      </c>
      <c r="B2249" t="s">
        <v>1173</v>
      </c>
      <c r="C2249">
        <v>3900</v>
      </c>
      <c r="D2249" t="s">
        <v>1131</v>
      </c>
      <c r="E2249">
        <v>-710200</v>
      </c>
      <c r="F2249" t="s">
        <v>1455</v>
      </c>
    </row>
    <row r="2250" spans="1:6" x14ac:dyDescent="0.35">
      <c r="A2250">
        <v>20281101</v>
      </c>
      <c r="B2250" t="s">
        <v>1155</v>
      </c>
      <c r="C2250">
        <v>5000</v>
      </c>
      <c r="D2250" t="s">
        <v>1131</v>
      </c>
      <c r="E2250">
        <v>498200</v>
      </c>
      <c r="F2250" t="s">
        <v>1455</v>
      </c>
    </row>
    <row r="2251" spans="1:6" x14ac:dyDescent="0.35">
      <c r="A2251">
        <v>20281101</v>
      </c>
      <c r="B2251" t="s">
        <v>1155</v>
      </c>
      <c r="C2251">
        <v>3900</v>
      </c>
      <c r="D2251" t="s">
        <v>1131</v>
      </c>
      <c r="E2251">
        <v>-710200</v>
      </c>
      <c r="F2251" t="s">
        <v>1455</v>
      </c>
    </row>
    <row r="2252" spans="1:6" x14ac:dyDescent="0.35">
      <c r="A2252">
        <v>20281101</v>
      </c>
      <c r="B2252" t="s">
        <v>1138</v>
      </c>
      <c r="C2252">
        <v>5000</v>
      </c>
      <c r="D2252" t="s">
        <v>1131</v>
      </c>
      <c r="E2252">
        <v>498200</v>
      </c>
      <c r="F2252" t="s">
        <v>1455</v>
      </c>
    </row>
    <row r="2253" spans="1:6" x14ac:dyDescent="0.35">
      <c r="A2253">
        <v>20281101</v>
      </c>
      <c r="B2253" t="s">
        <v>1138</v>
      </c>
      <c r="C2253">
        <v>3900</v>
      </c>
      <c r="D2253" t="s">
        <v>1131</v>
      </c>
      <c r="E2253">
        <v>-710200</v>
      </c>
      <c r="F2253" t="s">
        <v>1455</v>
      </c>
    </row>
    <row r="2254" spans="1:6" x14ac:dyDescent="0.35">
      <c r="A2254">
        <v>20281201</v>
      </c>
      <c r="B2254" t="s">
        <v>1150</v>
      </c>
      <c r="C2254">
        <v>5000</v>
      </c>
      <c r="D2254" t="s">
        <v>1131</v>
      </c>
      <c r="E2254">
        <v>498200</v>
      </c>
      <c r="F2254" t="s">
        <v>1455</v>
      </c>
    </row>
    <row r="2255" spans="1:6" x14ac:dyDescent="0.35">
      <c r="A2255">
        <v>20281201</v>
      </c>
      <c r="B2255" t="s">
        <v>1150</v>
      </c>
      <c r="C2255">
        <v>3900</v>
      </c>
      <c r="D2255" t="s">
        <v>1131</v>
      </c>
      <c r="E2255">
        <v>-710200</v>
      </c>
      <c r="F2255" t="s">
        <v>1455</v>
      </c>
    </row>
    <row r="2256" spans="1:6" x14ac:dyDescent="0.35">
      <c r="A2256">
        <v>20281201</v>
      </c>
      <c r="B2256" t="s">
        <v>1158</v>
      </c>
      <c r="C2256">
        <v>5000</v>
      </c>
      <c r="D2256" t="s">
        <v>1131</v>
      </c>
      <c r="E2256">
        <v>498200</v>
      </c>
      <c r="F2256" t="s">
        <v>1455</v>
      </c>
    </row>
    <row r="2257" spans="1:6" x14ac:dyDescent="0.35">
      <c r="A2257">
        <v>20281201</v>
      </c>
      <c r="B2257" t="s">
        <v>1158</v>
      </c>
      <c r="C2257">
        <v>3900</v>
      </c>
      <c r="D2257" t="s">
        <v>1131</v>
      </c>
      <c r="E2257">
        <v>-710200</v>
      </c>
      <c r="F2257" t="s">
        <v>1455</v>
      </c>
    </row>
    <row r="2258" spans="1:6" x14ac:dyDescent="0.35">
      <c r="A2258">
        <v>20281201</v>
      </c>
      <c r="B2258" t="s">
        <v>1205</v>
      </c>
      <c r="C2258">
        <v>5000</v>
      </c>
      <c r="D2258" t="s">
        <v>1131</v>
      </c>
      <c r="E2258">
        <v>498200</v>
      </c>
      <c r="F2258" t="s">
        <v>1455</v>
      </c>
    </row>
    <row r="2259" spans="1:6" x14ac:dyDescent="0.35">
      <c r="A2259">
        <v>20281201</v>
      </c>
      <c r="B2259" t="s">
        <v>1205</v>
      </c>
      <c r="C2259">
        <v>3900</v>
      </c>
      <c r="D2259" t="s">
        <v>1131</v>
      </c>
      <c r="E2259">
        <v>-710200</v>
      </c>
      <c r="F2259" t="s">
        <v>1455</v>
      </c>
    </row>
    <row r="2260" spans="1:6" x14ac:dyDescent="0.35">
      <c r="A2260">
        <v>20281201</v>
      </c>
      <c r="B2260" t="s">
        <v>1164</v>
      </c>
      <c r="C2260">
        <v>5000</v>
      </c>
      <c r="D2260" t="s">
        <v>1131</v>
      </c>
      <c r="E2260">
        <v>498200</v>
      </c>
      <c r="F2260" t="s">
        <v>1455</v>
      </c>
    </row>
    <row r="2261" spans="1:6" x14ac:dyDescent="0.35">
      <c r="A2261">
        <v>20281201</v>
      </c>
      <c r="B2261" t="s">
        <v>1164</v>
      </c>
      <c r="C2261">
        <v>3900</v>
      </c>
      <c r="D2261" t="s">
        <v>1131</v>
      </c>
      <c r="E2261">
        <v>-710200</v>
      </c>
      <c r="F2261" t="s">
        <v>1455</v>
      </c>
    </row>
    <row r="2262" spans="1:6" x14ac:dyDescent="0.35">
      <c r="A2262">
        <v>20281201</v>
      </c>
      <c r="B2262" t="s">
        <v>1169</v>
      </c>
      <c r="C2262">
        <v>5000</v>
      </c>
      <c r="D2262" t="s">
        <v>1131</v>
      </c>
      <c r="E2262">
        <v>498200</v>
      </c>
      <c r="F2262" t="s">
        <v>1455</v>
      </c>
    </row>
    <row r="2263" spans="1:6" x14ac:dyDescent="0.35">
      <c r="A2263">
        <v>20281201</v>
      </c>
      <c r="B2263" t="s">
        <v>1169</v>
      </c>
      <c r="C2263">
        <v>3900</v>
      </c>
      <c r="D2263" t="s">
        <v>1131</v>
      </c>
      <c r="E2263">
        <v>-710200</v>
      </c>
      <c r="F2263" t="s">
        <v>1455</v>
      </c>
    </row>
    <row r="2264" spans="1:6" x14ac:dyDescent="0.35">
      <c r="A2264">
        <v>20281201</v>
      </c>
      <c r="B2264" t="s">
        <v>1175</v>
      </c>
      <c r="C2264">
        <v>5000</v>
      </c>
      <c r="D2264" t="s">
        <v>1131</v>
      </c>
      <c r="E2264">
        <v>498200</v>
      </c>
      <c r="F2264" t="s">
        <v>1455</v>
      </c>
    </row>
    <row r="2265" spans="1:6" x14ac:dyDescent="0.35">
      <c r="A2265">
        <v>20281201</v>
      </c>
      <c r="B2265" t="s">
        <v>1175</v>
      </c>
      <c r="C2265">
        <v>3900</v>
      </c>
      <c r="D2265" t="s">
        <v>1131</v>
      </c>
      <c r="E2265">
        <v>-710200</v>
      </c>
      <c r="F2265" t="s">
        <v>1455</v>
      </c>
    </row>
    <row r="2266" spans="1:6" x14ac:dyDescent="0.35">
      <c r="A2266">
        <v>20281201</v>
      </c>
      <c r="B2266" t="s">
        <v>1130</v>
      </c>
      <c r="C2266">
        <v>5000</v>
      </c>
      <c r="D2266" t="s">
        <v>1131</v>
      </c>
      <c r="E2266">
        <v>498200</v>
      </c>
      <c r="F2266" t="s">
        <v>1455</v>
      </c>
    </row>
    <row r="2267" spans="1:6" x14ac:dyDescent="0.35">
      <c r="A2267">
        <v>20281201</v>
      </c>
      <c r="B2267" t="s">
        <v>1130</v>
      </c>
      <c r="C2267">
        <v>3900</v>
      </c>
      <c r="D2267" t="s">
        <v>1131</v>
      </c>
      <c r="E2267">
        <v>-710200</v>
      </c>
      <c r="F2267" t="s">
        <v>1455</v>
      </c>
    </row>
    <row r="2268" spans="1:6" x14ac:dyDescent="0.35">
      <c r="A2268">
        <v>20281201</v>
      </c>
      <c r="B2268" t="s">
        <v>1173</v>
      </c>
      <c r="C2268">
        <v>5000</v>
      </c>
      <c r="D2268" t="s">
        <v>1131</v>
      </c>
      <c r="E2268">
        <v>498200</v>
      </c>
      <c r="F2268" t="s">
        <v>1455</v>
      </c>
    </row>
    <row r="2269" spans="1:6" x14ac:dyDescent="0.35">
      <c r="A2269">
        <v>20281201</v>
      </c>
      <c r="B2269" t="s">
        <v>1173</v>
      </c>
      <c r="C2269">
        <v>3900</v>
      </c>
      <c r="D2269" t="s">
        <v>1131</v>
      </c>
      <c r="E2269">
        <v>-710200</v>
      </c>
      <c r="F2269" t="s">
        <v>1455</v>
      </c>
    </row>
    <row r="2270" spans="1:6" x14ac:dyDescent="0.35">
      <c r="A2270">
        <v>20281201</v>
      </c>
      <c r="B2270" t="s">
        <v>1155</v>
      </c>
      <c r="C2270">
        <v>5000</v>
      </c>
      <c r="D2270" t="s">
        <v>1131</v>
      </c>
      <c r="E2270">
        <v>498200</v>
      </c>
      <c r="F2270" t="s">
        <v>1455</v>
      </c>
    </row>
    <row r="2271" spans="1:6" x14ac:dyDescent="0.35">
      <c r="A2271">
        <v>20281201</v>
      </c>
      <c r="B2271" t="s">
        <v>1155</v>
      </c>
      <c r="C2271">
        <v>3900</v>
      </c>
      <c r="D2271" t="s">
        <v>1131</v>
      </c>
      <c r="E2271">
        <v>-710200</v>
      </c>
      <c r="F2271" t="s">
        <v>1455</v>
      </c>
    </row>
    <row r="2272" spans="1:6" x14ac:dyDescent="0.35">
      <c r="A2272">
        <v>20281201</v>
      </c>
      <c r="B2272" t="s">
        <v>1138</v>
      </c>
      <c r="C2272">
        <v>5000</v>
      </c>
      <c r="D2272" t="s">
        <v>1131</v>
      </c>
      <c r="E2272">
        <v>498200</v>
      </c>
      <c r="F2272" t="s">
        <v>1455</v>
      </c>
    </row>
    <row r="2273" spans="1:6" x14ac:dyDescent="0.35">
      <c r="A2273">
        <v>20281201</v>
      </c>
      <c r="B2273" t="s">
        <v>1138</v>
      </c>
      <c r="C2273">
        <v>3900</v>
      </c>
      <c r="D2273" t="s">
        <v>1131</v>
      </c>
      <c r="E2273">
        <v>-710200</v>
      </c>
      <c r="F2273" t="s">
        <v>1455</v>
      </c>
    </row>
    <row r="2274" spans="1:6" x14ac:dyDescent="0.35">
      <c r="A2274">
        <v>20290101</v>
      </c>
      <c r="B2274" t="s">
        <v>1150</v>
      </c>
      <c r="C2274">
        <v>5000</v>
      </c>
      <c r="D2274" t="s">
        <v>1131</v>
      </c>
      <c r="E2274">
        <v>512300</v>
      </c>
      <c r="F2274" t="s">
        <v>1456</v>
      </c>
    </row>
    <row r="2275" spans="1:6" x14ac:dyDescent="0.35">
      <c r="A2275">
        <v>20290101</v>
      </c>
      <c r="B2275" t="s">
        <v>1150</v>
      </c>
      <c r="C2275">
        <v>3900</v>
      </c>
      <c r="D2275" t="s">
        <v>1131</v>
      </c>
      <c r="E2275">
        <v>-730300</v>
      </c>
      <c r="F2275" t="s">
        <v>1456</v>
      </c>
    </row>
    <row r="2276" spans="1:6" x14ac:dyDescent="0.35">
      <c r="A2276">
        <v>20290101</v>
      </c>
      <c r="B2276" t="s">
        <v>1158</v>
      </c>
      <c r="C2276">
        <v>5000</v>
      </c>
      <c r="D2276" t="s">
        <v>1131</v>
      </c>
      <c r="E2276">
        <v>512300</v>
      </c>
      <c r="F2276" t="s">
        <v>1456</v>
      </c>
    </row>
    <row r="2277" spans="1:6" x14ac:dyDescent="0.35">
      <c r="A2277">
        <v>20290101</v>
      </c>
      <c r="B2277" t="s">
        <v>1158</v>
      </c>
      <c r="C2277">
        <v>3900</v>
      </c>
      <c r="D2277" t="s">
        <v>1131</v>
      </c>
      <c r="E2277">
        <v>-730300</v>
      </c>
      <c r="F2277" t="s">
        <v>1456</v>
      </c>
    </row>
    <row r="2278" spans="1:6" x14ac:dyDescent="0.35">
      <c r="A2278">
        <v>20290101</v>
      </c>
      <c r="B2278" t="s">
        <v>1205</v>
      </c>
      <c r="C2278">
        <v>5000</v>
      </c>
      <c r="D2278" t="s">
        <v>1131</v>
      </c>
      <c r="E2278">
        <v>512300</v>
      </c>
      <c r="F2278" t="s">
        <v>1456</v>
      </c>
    </row>
    <row r="2279" spans="1:6" x14ac:dyDescent="0.35">
      <c r="A2279">
        <v>20290101</v>
      </c>
      <c r="B2279" t="s">
        <v>1205</v>
      </c>
      <c r="C2279">
        <v>3900</v>
      </c>
      <c r="D2279" t="s">
        <v>1131</v>
      </c>
      <c r="E2279">
        <v>-730300</v>
      </c>
      <c r="F2279" t="s">
        <v>1456</v>
      </c>
    </row>
    <row r="2280" spans="1:6" x14ac:dyDescent="0.35">
      <c r="A2280">
        <v>20290101</v>
      </c>
      <c r="B2280" t="s">
        <v>1164</v>
      </c>
      <c r="C2280">
        <v>5000</v>
      </c>
      <c r="D2280" t="s">
        <v>1131</v>
      </c>
      <c r="E2280">
        <v>512300</v>
      </c>
      <c r="F2280" t="s">
        <v>1456</v>
      </c>
    </row>
    <row r="2281" spans="1:6" x14ac:dyDescent="0.35">
      <c r="A2281">
        <v>20290101</v>
      </c>
      <c r="B2281" t="s">
        <v>1164</v>
      </c>
      <c r="C2281">
        <v>3900</v>
      </c>
      <c r="D2281" t="s">
        <v>1131</v>
      </c>
      <c r="E2281">
        <v>-730300</v>
      </c>
      <c r="F2281" t="s">
        <v>1456</v>
      </c>
    </row>
    <row r="2282" spans="1:6" x14ac:dyDescent="0.35">
      <c r="A2282">
        <v>20290101</v>
      </c>
      <c r="B2282" t="s">
        <v>1169</v>
      </c>
      <c r="C2282">
        <v>5000</v>
      </c>
      <c r="D2282" t="s">
        <v>1131</v>
      </c>
      <c r="E2282">
        <v>512300</v>
      </c>
      <c r="F2282" t="s">
        <v>1456</v>
      </c>
    </row>
    <row r="2283" spans="1:6" x14ac:dyDescent="0.35">
      <c r="A2283">
        <v>20290101</v>
      </c>
      <c r="B2283" t="s">
        <v>1169</v>
      </c>
      <c r="C2283">
        <v>3900</v>
      </c>
      <c r="D2283" t="s">
        <v>1131</v>
      </c>
      <c r="E2283">
        <v>-730300</v>
      </c>
      <c r="F2283" t="s">
        <v>1456</v>
      </c>
    </row>
    <row r="2284" spans="1:6" x14ac:dyDescent="0.35">
      <c r="A2284">
        <v>20290101</v>
      </c>
      <c r="B2284" t="s">
        <v>1175</v>
      </c>
      <c r="C2284">
        <v>5000</v>
      </c>
      <c r="D2284" t="s">
        <v>1131</v>
      </c>
      <c r="E2284">
        <v>512300</v>
      </c>
      <c r="F2284" t="s">
        <v>1456</v>
      </c>
    </row>
    <row r="2285" spans="1:6" x14ac:dyDescent="0.35">
      <c r="A2285">
        <v>20290101</v>
      </c>
      <c r="B2285" t="s">
        <v>1175</v>
      </c>
      <c r="C2285">
        <v>3900</v>
      </c>
      <c r="D2285" t="s">
        <v>1131</v>
      </c>
      <c r="E2285">
        <v>-730300</v>
      </c>
      <c r="F2285" t="s">
        <v>1456</v>
      </c>
    </row>
    <row r="2286" spans="1:6" x14ac:dyDescent="0.35">
      <c r="A2286">
        <v>20290101</v>
      </c>
      <c r="B2286" t="s">
        <v>1130</v>
      </c>
      <c r="C2286">
        <v>5000</v>
      </c>
      <c r="D2286" t="s">
        <v>1131</v>
      </c>
      <c r="E2286">
        <v>512300</v>
      </c>
      <c r="F2286" t="s">
        <v>1456</v>
      </c>
    </row>
    <row r="2287" spans="1:6" x14ac:dyDescent="0.35">
      <c r="A2287">
        <v>20290101</v>
      </c>
      <c r="B2287" t="s">
        <v>1130</v>
      </c>
      <c r="C2287">
        <v>3900</v>
      </c>
      <c r="D2287" t="s">
        <v>1131</v>
      </c>
      <c r="E2287">
        <v>-730300</v>
      </c>
      <c r="F2287" t="s">
        <v>1456</v>
      </c>
    </row>
    <row r="2288" spans="1:6" x14ac:dyDescent="0.35">
      <c r="A2288">
        <v>20290101</v>
      </c>
      <c r="B2288" t="s">
        <v>1173</v>
      </c>
      <c r="C2288">
        <v>5000</v>
      </c>
      <c r="D2288" t="s">
        <v>1131</v>
      </c>
      <c r="E2288">
        <v>512300</v>
      </c>
      <c r="F2288" t="s">
        <v>1456</v>
      </c>
    </row>
    <row r="2289" spans="1:6" x14ac:dyDescent="0.35">
      <c r="A2289">
        <v>20290101</v>
      </c>
      <c r="B2289" t="s">
        <v>1173</v>
      </c>
      <c r="C2289">
        <v>3900</v>
      </c>
      <c r="D2289" t="s">
        <v>1131</v>
      </c>
      <c r="E2289">
        <v>-730300</v>
      </c>
      <c r="F2289" t="s">
        <v>1456</v>
      </c>
    </row>
    <row r="2290" spans="1:6" x14ac:dyDescent="0.35">
      <c r="A2290">
        <v>20290101</v>
      </c>
      <c r="B2290" t="s">
        <v>1155</v>
      </c>
      <c r="C2290">
        <v>5000</v>
      </c>
      <c r="D2290" t="s">
        <v>1131</v>
      </c>
      <c r="E2290">
        <v>512300</v>
      </c>
      <c r="F2290" t="s">
        <v>1456</v>
      </c>
    </row>
    <row r="2291" spans="1:6" x14ac:dyDescent="0.35">
      <c r="A2291">
        <v>20290101</v>
      </c>
      <c r="B2291" t="s">
        <v>1155</v>
      </c>
      <c r="C2291">
        <v>3900</v>
      </c>
      <c r="D2291" t="s">
        <v>1131</v>
      </c>
      <c r="E2291">
        <v>-730300</v>
      </c>
      <c r="F2291" t="s">
        <v>1456</v>
      </c>
    </row>
    <row r="2292" spans="1:6" x14ac:dyDescent="0.35">
      <c r="A2292">
        <v>20290101</v>
      </c>
      <c r="B2292" t="s">
        <v>1138</v>
      </c>
      <c r="C2292">
        <v>5000</v>
      </c>
      <c r="D2292" t="s">
        <v>1131</v>
      </c>
      <c r="E2292">
        <v>512300</v>
      </c>
      <c r="F2292" t="s">
        <v>1456</v>
      </c>
    </row>
    <row r="2293" spans="1:6" x14ac:dyDescent="0.35">
      <c r="A2293">
        <v>20290101</v>
      </c>
      <c r="B2293" t="s">
        <v>1138</v>
      </c>
      <c r="C2293">
        <v>3900</v>
      </c>
      <c r="D2293" t="s">
        <v>1131</v>
      </c>
      <c r="E2293">
        <v>-730300</v>
      </c>
      <c r="F2293" t="s">
        <v>1456</v>
      </c>
    </row>
    <row r="2294" spans="1:6" x14ac:dyDescent="0.35">
      <c r="A2294">
        <v>20290201</v>
      </c>
      <c r="B2294" t="s">
        <v>1150</v>
      </c>
      <c r="C2294">
        <v>5000</v>
      </c>
      <c r="D2294" t="s">
        <v>1131</v>
      </c>
      <c r="E2294">
        <v>512300</v>
      </c>
      <c r="F2294" t="s">
        <v>1456</v>
      </c>
    </row>
    <row r="2295" spans="1:6" x14ac:dyDescent="0.35">
      <c r="A2295">
        <v>20290201</v>
      </c>
      <c r="B2295" t="s">
        <v>1150</v>
      </c>
      <c r="C2295">
        <v>3900</v>
      </c>
      <c r="D2295" t="s">
        <v>1131</v>
      </c>
      <c r="E2295">
        <v>-730300</v>
      </c>
      <c r="F2295" t="s">
        <v>1456</v>
      </c>
    </row>
    <row r="2296" spans="1:6" x14ac:dyDescent="0.35">
      <c r="A2296">
        <v>20290201</v>
      </c>
      <c r="B2296" t="s">
        <v>1158</v>
      </c>
      <c r="C2296">
        <v>5000</v>
      </c>
      <c r="D2296" t="s">
        <v>1131</v>
      </c>
      <c r="E2296">
        <v>512300</v>
      </c>
      <c r="F2296" t="s">
        <v>1456</v>
      </c>
    </row>
    <row r="2297" spans="1:6" x14ac:dyDescent="0.35">
      <c r="A2297">
        <v>20290201</v>
      </c>
      <c r="B2297" t="s">
        <v>1158</v>
      </c>
      <c r="C2297">
        <v>3900</v>
      </c>
      <c r="D2297" t="s">
        <v>1131</v>
      </c>
      <c r="E2297">
        <v>-730300</v>
      </c>
      <c r="F2297" t="s">
        <v>1456</v>
      </c>
    </row>
    <row r="2298" spans="1:6" x14ac:dyDescent="0.35">
      <c r="A2298">
        <v>20290201</v>
      </c>
      <c r="B2298" t="s">
        <v>1205</v>
      </c>
      <c r="C2298">
        <v>5000</v>
      </c>
      <c r="D2298" t="s">
        <v>1131</v>
      </c>
      <c r="E2298">
        <v>512300</v>
      </c>
      <c r="F2298" t="s">
        <v>1456</v>
      </c>
    </row>
    <row r="2299" spans="1:6" x14ac:dyDescent="0.35">
      <c r="A2299">
        <v>20290201</v>
      </c>
      <c r="B2299" t="s">
        <v>1205</v>
      </c>
      <c r="C2299">
        <v>3900</v>
      </c>
      <c r="D2299" t="s">
        <v>1131</v>
      </c>
      <c r="E2299">
        <v>-730300</v>
      </c>
      <c r="F2299" t="s">
        <v>1456</v>
      </c>
    </row>
    <row r="2300" spans="1:6" x14ac:dyDescent="0.35">
      <c r="A2300">
        <v>20290201</v>
      </c>
      <c r="B2300" t="s">
        <v>1164</v>
      </c>
      <c r="C2300">
        <v>5000</v>
      </c>
      <c r="D2300" t="s">
        <v>1131</v>
      </c>
      <c r="E2300">
        <v>512300</v>
      </c>
      <c r="F2300" t="s">
        <v>1456</v>
      </c>
    </row>
    <row r="2301" spans="1:6" x14ac:dyDescent="0.35">
      <c r="A2301">
        <v>20290201</v>
      </c>
      <c r="B2301" t="s">
        <v>1164</v>
      </c>
      <c r="C2301">
        <v>3900</v>
      </c>
      <c r="D2301" t="s">
        <v>1131</v>
      </c>
      <c r="E2301">
        <v>-730300</v>
      </c>
      <c r="F2301" t="s">
        <v>1456</v>
      </c>
    </row>
    <row r="2302" spans="1:6" x14ac:dyDescent="0.35">
      <c r="A2302">
        <v>20290201</v>
      </c>
      <c r="B2302" t="s">
        <v>1169</v>
      </c>
      <c r="C2302">
        <v>5000</v>
      </c>
      <c r="D2302" t="s">
        <v>1131</v>
      </c>
      <c r="E2302">
        <v>512300</v>
      </c>
      <c r="F2302" t="s">
        <v>1456</v>
      </c>
    </row>
    <row r="2303" spans="1:6" x14ac:dyDescent="0.35">
      <c r="A2303">
        <v>20290201</v>
      </c>
      <c r="B2303" t="s">
        <v>1169</v>
      </c>
      <c r="C2303">
        <v>3900</v>
      </c>
      <c r="D2303" t="s">
        <v>1131</v>
      </c>
      <c r="E2303">
        <v>-730300</v>
      </c>
      <c r="F2303" t="s">
        <v>1456</v>
      </c>
    </row>
    <row r="2304" spans="1:6" x14ac:dyDescent="0.35">
      <c r="A2304">
        <v>20290201</v>
      </c>
      <c r="B2304" t="s">
        <v>1175</v>
      </c>
      <c r="C2304">
        <v>5000</v>
      </c>
      <c r="D2304" t="s">
        <v>1131</v>
      </c>
      <c r="E2304">
        <v>512300</v>
      </c>
      <c r="F2304" t="s">
        <v>1456</v>
      </c>
    </row>
    <row r="2305" spans="1:6" x14ac:dyDescent="0.35">
      <c r="A2305">
        <v>20290201</v>
      </c>
      <c r="B2305" t="s">
        <v>1175</v>
      </c>
      <c r="C2305">
        <v>3900</v>
      </c>
      <c r="D2305" t="s">
        <v>1131</v>
      </c>
      <c r="E2305">
        <v>-730300</v>
      </c>
      <c r="F2305" t="s">
        <v>1456</v>
      </c>
    </row>
    <row r="2306" spans="1:6" x14ac:dyDescent="0.35">
      <c r="A2306">
        <v>20290201</v>
      </c>
      <c r="B2306" t="s">
        <v>1130</v>
      </c>
      <c r="C2306">
        <v>5000</v>
      </c>
      <c r="D2306" t="s">
        <v>1131</v>
      </c>
      <c r="E2306">
        <v>512300</v>
      </c>
      <c r="F2306" t="s">
        <v>1456</v>
      </c>
    </row>
    <row r="2307" spans="1:6" x14ac:dyDescent="0.35">
      <c r="A2307">
        <v>20290201</v>
      </c>
      <c r="B2307" t="s">
        <v>1130</v>
      </c>
      <c r="C2307">
        <v>3900</v>
      </c>
      <c r="D2307" t="s">
        <v>1131</v>
      </c>
      <c r="E2307">
        <v>-730300</v>
      </c>
      <c r="F2307" t="s">
        <v>1456</v>
      </c>
    </row>
    <row r="2308" spans="1:6" x14ac:dyDescent="0.35">
      <c r="A2308">
        <v>20290201</v>
      </c>
      <c r="B2308" t="s">
        <v>1173</v>
      </c>
      <c r="C2308">
        <v>5000</v>
      </c>
      <c r="D2308" t="s">
        <v>1131</v>
      </c>
      <c r="E2308">
        <v>512300</v>
      </c>
      <c r="F2308" t="s">
        <v>1456</v>
      </c>
    </row>
    <row r="2309" spans="1:6" x14ac:dyDescent="0.35">
      <c r="A2309">
        <v>20290201</v>
      </c>
      <c r="B2309" t="s">
        <v>1173</v>
      </c>
      <c r="C2309">
        <v>3900</v>
      </c>
      <c r="D2309" t="s">
        <v>1131</v>
      </c>
      <c r="E2309">
        <v>-730300</v>
      </c>
      <c r="F2309" t="s">
        <v>1456</v>
      </c>
    </row>
    <row r="2310" spans="1:6" x14ac:dyDescent="0.35">
      <c r="A2310">
        <v>20290201</v>
      </c>
      <c r="B2310" t="s">
        <v>1155</v>
      </c>
      <c r="C2310">
        <v>5000</v>
      </c>
      <c r="D2310" t="s">
        <v>1131</v>
      </c>
      <c r="E2310">
        <v>512300</v>
      </c>
      <c r="F2310" t="s">
        <v>1456</v>
      </c>
    </row>
    <row r="2311" spans="1:6" x14ac:dyDescent="0.35">
      <c r="A2311">
        <v>20290201</v>
      </c>
      <c r="B2311" t="s">
        <v>1155</v>
      </c>
      <c r="C2311">
        <v>3900</v>
      </c>
      <c r="D2311" t="s">
        <v>1131</v>
      </c>
      <c r="E2311">
        <v>-730300</v>
      </c>
      <c r="F2311" t="s">
        <v>1456</v>
      </c>
    </row>
    <row r="2312" spans="1:6" x14ac:dyDescent="0.35">
      <c r="A2312">
        <v>20290201</v>
      </c>
      <c r="B2312" t="s">
        <v>1138</v>
      </c>
      <c r="C2312">
        <v>5000</v>
      </c>
      <c r="D2312" t="s">
        <v>1131</v>
      </c>
      <c r="E2312">
        <v>512300</v>
      </c>
      <c r="F2312" t="s">
        <v>1456</v>
      </c>
    </row>
    <row r="2313" spans="1:6" x14ac:dyDescent="0.35">
      <c r="A2313">
        <v>20290201</v>
      </c>
      <c r="B2313" t="s">
        <v>1138</v>
      </c>
      <c r="C2313">
        <v>3900</v>
      </c>
      <c r="D2313" t="s">
        <v>1131</v>
      </c>
      <c r="E2313">
        <v>-730300</v>
      </c>
      <c r="F2313" t="s">
        <v>1456</v>
      </c>
    </row>
    <row r="2314" spans="1:6" x14ac:dyDescent="0.35">
      <c r="A2314">
        <v>20290301</v>
      </c>
      <c r="B2314" t="s">
        <v>1150</v>
      </c>
      <c r="C2314">
        <v>5000</v>
      </c>
      <c r="D2314" t="s">
        <v>1131</v>
      </c>
      <c r="E2314">
        <v>512300</v>
      </c>
      <c r="F2314" t="s">
        <v>1456</v>
      </c>
    </row>
    <row r="2315" spans="1:6" x14ac:dyDescent="0.35">
      <c r="A2315">
        <v>20290301</v>
      </c>
      <c r="B2315" t="s">
        <v>1150</v>
      </c>
      <c r="C2315">
        <v>3900</v>
      </c>
      <c r="D2315" t="s">
        <v>1131</v>
      </c>
      <c r="E2315">
        <v>-730300</v>
      </c>
      <c r="F2315" t="s">
        <v>1456</v>
      </c>
    </row>
    <row r="2316" spans="1:6" x14ac:dyDescent="0.35">
      <c r="A2316">
        <v>20290301</v>
      </c>
      <c r="B2316" t="s">
        <v>1158</v>
      </c>
      <c r="C2316">
        <v>5000</v>
      </c>
      <c r="D2316" t="s">
        <v>1131</v>
      </c>
      <c r="E2316">
        <v>512300</v>
      </c>
      <c r="F2316" t="s">
        <v>1456</v>
      </c>
    </row>
    <row r="2317" spans="1:6" x14ac:dyDescent="0.35">
      <c r="A2317">
        <v>20290301</v>
      </c>
      <c r="B2317" t="s">
        <v>1158</v>
      </c>
      <c r="C2317">
        <v>3900</v>
      </c>
      <c r="D2317" t="s">
        <v>1131</v>
      </c>
      <c r="E2317">
        <v>-730300</v>
      </c>
      <c r="F2317" t="s">
        <v>1456</v>
      </c>
    </row>
    <row r="2318" spans="1:6" x14ac:dyDescent="0.35">
      <c r="A2318">
        <v>20290301</v>
      </c>
      <c r="B2318" t="s">
        <v>1205</v>
      </c>
      <c r="C2318">
        <v>5000</v>
      </c>
      <c r="D2318" t="s">
        <v>1131</v>
      </c>
      <c r="E2318">
        <v>512300</v>
      </c>
      <c r="F2318" t="s">
        <v>1456</v>
      </c>
    </row>
    <row r="2319" spans="1:6" x14ac:dyDescent="0.35">
      <c r="A2319">
        <v>20290301</v>
      </c>
      <c r="B2319" t="s">
        <v>1205</v>
      </c>
      <c r="C2319">
        <v>3900</v>
      </c>
      <c r="D2319" t="s">
        <v>1131</v>
      </c>
      <c r="E2319">
        <v>-730300</v>
      </c>
      <c r="F2319" t="s">
        <v>1456</v>
      </c>
    </row>
    <row r="2320" spans="1:6" x14ac:dyDescent="0.35">
      <c r="A2320">
        <v>20290301</v>
      </c>
      <c r="B2320" t="s">
        <v>1164</v>
      </c>
      <c r="C2320">
        <v>5000</v>
      </c>
      <c r="D2320" t="s">
        <v>1131</v>
      </c>
      <c r="E2320">
        <v>512300</v>
      </c>
      <c r="F2320" t="s">
        <v>1456</v>
      </c>
    </row>
    <row r="2321" spans="1:6" x14ac:dyDescent="0.35">
      <c r="A2321">
        <v>20290301</v>
      </c>
      <c r="B2321" t="s">
        <v>1164</v>
      </c>
      <c r="C2321">
        <v>3900</v>
      </c>
      <c r="D2321" t="s">
        <v>1131</v>
      </c>
      <c r="E2321">
        <v>-730300</v>
      </c>
      <c r="F2321" t="s">
        <v>1456</v>
      </c>
    </row>
    <row r="2322" spans="1:6" x14ac:dyDescent="0.35">
      <c r="A2322">
        <v>20290301</v>
      </c>
      <c r="B2322" t="s">
        <v>1169</v>
      </c>
      <c r="C2322">
        <v>5000</v>
      </c>
      <c r="D2322" t="s">
        <v>1131</v>
      </c>
      <c r="E2322">
        <v>512300</v>
      </c>
      <c r="F2322" t="s">
        <v>1456</v>
      </c>
    </row>
    <row r="2323" spans="1:6" x14ac:dyDescent="0.35">
      <c r="A2323">
        <v>20290301</v>
      </c>
      <c r="B2323" t="s">
        <v>1169</v>
      </c>
      <c r="C2323">
        <v>3900</v>
      </c>
      <c r="D2323" t="s">
        <v>1131</v>
      </c>
      <c r="E2323">
        <v>-730300</v>
      </c>
      <c r="F2323" t="s">
        <v>1456</v>
      </c>
    </row>
    <row r="2324" spans="1:6" x14ac:dyDescent="0.35">
      <c r="A2324">
        <v>20290301</v>
      </c>
      <c r="B2324" t="s">
        <v>1175</v>
      </c>
      <c r="C2324">
        <v>5000</v>
      </c>
      <c r="D2324" t="s">
        <v>1131</v>
      </c>
      <c r="E2324">
        <v>512300</v>
      </c>
      <c r="F2324" t="s">
        <v>1456</v>
      </c>
    </row>
    <row r="2325" spans="1:6" x14ac:dyDescent="0.35">
      <c r="A2325">
        <v>20290301</v>
      </c>
      <c r="B2325" t="s">
        <v>1175</v>
      </c>
      <c r="C2325">
        <v>3900</v>
      </c>
      <c r="D2325" t="s">
        <v>1131</v>
      </c>
      <c r="E2325">
        <v>-730300</v>
      </c>
      <c r="F2325" t="s">
        <v>1456</v>
      </c>
    </row>
    <row r="2326" spans="1:6" x14ac:dyDescent="0.35">
      <c r="A2326">
        <v>20290301</v>
      </c>
      <c r="B2326" t="s">
        <v>1130</v>
      </c>
      <c r="C2326">
        <v>5000</v>
      </c>
      <c r="D2326" t="s">
        <v>1131</v>
      </c>
      <c r="E2326">
        <v>512300</v>
      </c>
      <c r="F2326" t="s">
        <v>1456</v>
      </c>
    </row>
    <row r="2327" spans="1:6" x14ac:dyDescent="0.35">
      <c r="A2327">
        <v>20290301</v>
      </c>
      <c r="B2327" t="s">
        <v>1130</v>
      </c>
      <c r="C2327">
        <v>3900</v>
      </c>
      <c r="D2327" t="s">
        <v>1131</v>
      </c>
      <c r="E2327">
        <v>-730300</v>
      </c>
      <c r="F2327" t="s">
        <v>1456</v>
      </c>
    </row>
    <row r="2328" spans="1:6" x14ac:dyDescent="0.35">
      <c r="A2328">
        <v>20290301</v>
      </c>
      <c r="B2328" t="s">
        <v>1173</v>
      </c>
      <c r="C2328">
        <v>5000</v>
      </c>
      <c r="D2328" t="s">
        <v>1131</v>
      </c>
      <c r="E2328">
        <v>512300</v>
      </c>
      <c r="F2328" t="s">
        <v>1456</v>
      </c>
    </row>
    <row r="2329" spans="1:6" x14ac:dyDescent="0.35">
      <c r="A2329">
        <v>20290301</v>
      </c>
      <c r="B2329" t="s">
        <v>1173</v>
      </c>
      <c r="C2329">
        <v>3900</v>
      </c>
      <c r="D2329" t="s">
        <v>1131</v>
      </c>
      <c r="E2329">
        <v>-730300</v>
      </c>
      <c r="F2329" t="s">
        <v>1456</v>
      </c>
    </row>
    <row r="2330" spans="1:6" x14ac:dyDescent="0.35">
      <c r="A2330">
        <v>20290301</v>
      </c>
      <c r="B2330" t="s">
        <v>1155</v>
      </c>
      <c r="C2330">
        <v>5000</v>
      </c>
      <c r="D2330" t="s">
        <v>1131</v>
      </c>
      <c r="E2330">
        <v>512300</v>
      </c>
      <c r="F2330" t="s">
        <v>1456</v>
      </c>
    </row>
    <row r="2331" spans="1:6" x14ac:dyDescent="0.35">
      <c r="A2331">
        <v>20290301</v>
      </c>
      <c r="B2331" t="s">
        <v>1155</v>
      </c>
      <c r="C2331">
        <v>3900</v>
      </c>
      <c r="D2331" t="s">
        <v>1131</v>
      </c>
      <c r="E2331">
        <v>-730300</v>
      </c>
      <c r="F2331" t="s">
        <v>1456</v>
      </c>
    </row>
    <row r="2332" spans="1:6" x14ac:dyDescent="0.35">
      <c r="A2332">
        <v>20290301</v>
      </c>
      <c r="B2332" t="s">
        <v>1138</v>
      </c>
      <c r="C2332">
        <v>5000</v>
      </c>
      <c r="D2332" t="s">
        <v>1131</v>
      </c>
      <c r="E2332">
        <v>512300</v>
      </c>
      <c r="F2332" t="s">
        <v>1456</v>
      </c>
    </row>
    <row r="2333" spans="1:6" x14ac:dyDescent="0.35">
      <c r="A2333">
        <v>20290301</v>
      </c>
      <c r="B2333" t="s">
        <v>1138</v>
      </c>
      <c r="C2333">
        <v>3900</v>
      </c>
      <c r="D2333" t="s">
        <v>1131</v>
      </c>
      <c r="E2333">
        <v>-730300</v>
      </c>
      <c r="F2333" t="s">
        <v>1456</v>
      </c>
    </row>
    <row r="2334" spans="1:6" x14ac:dyDescent="0.35">
      <c r="A2334">
        <v>20290401</v>
      </c>
      <c r="B2334" t="s">
        <v>1150</v>
      </c>
      <c r="C2334">
        <v>5000</v>
      </c>
      <c r="D2334" t="s">
        <v>1131</v>
      </c>
      <c r="E2334">
        <v>512300</v>
      </c>
      <c r="F2334" t="s">
        <v>1456</v>
      </c>
    </row>
    <row r="2335" spans="1:6" x14ac:dyDescent="0.35">
      <c r="A2335">
        <v>20290401</v>
      </c>
      <c r="B2335" t="s">
        <v>1150</v>
      </c>
      <c r="C2335">
        <v>3900</v>
      </c>
      <c r="D2335" t="s">
        <v>1131</v>
      </c>
      <c r="E2335">
        <v>-730300</v>
      </c>
      <c r="F2335" t="s">
        <v>1456</v>
      </c>
    </row>
    <row r="2336" spans="1:6" x14ac:dyDescent="0.35">
      <c r="A2336">
        <v>20290401</v>
      </c>
      <c r="B2336" t="s">
        <v>1158</v>
      </c>
      <c r="C2336">
        <v>5000</v>
      </c>
      <c r="D2336" t="s">
        <v>1131</v>
      </c>
      <c r="E2336">
        <v>512300</v>
      </c>
      <c r="F2336" t="s">
        <v>1456</v>
      </c>
    </row>
    <row r="2337" spans="1:6" x14ac:dyDescent="0.35">
      <c r="A2337">
        <v>20290401</v>
      </c>
      <c r="B2337" t="s">
        <v>1158</v>
      </c>
      <c r="C2337">
        <v>3900</v>
      </c>
      <c r="D2337" t="s">
        <v>1131</v>
      </c>
      <c r="E2337">
        <v>-730300</v>
      </c>
      <c r="F2337" t="s">
        <v>1456</v>
      </c>
    </row>
    <row r="2338" spans="1:6" x14ac:dyDescent="0.35">
      <c r="A2338">
        <v>20290401</v>
      </c>
      <c r="B2338" t="s">
        <v>1205</v>
      </c>
      <c r="C2338">
        <v>5000</v>
      </c>
      <c r="D2338" t="s">
        <v>1131</v>
      </c>
      <c r="E2338">
        <v>512300</v>
      </c>
      <c r="F2338" t="s">
        <v>1456</v>
      </c>
    </row>
    <row r="2339" spans="1:6" x14ac:dyDescent="0.35">
      <c r="A2339">
        <v>20290401</v>
      </c>
      <c r="B2339" t="s">
        <v>1205</v>
      </c>
      <c r="C2339">
        <v>3900</v>
      </c>
      <c r="D2339" t="s">
        <v>1131</v>
      </c>
      <c r="E2339">
        <v>-730300</v>
      </c>
      <c r="F2339" t="s">
        <v>1456</v>
      </c>
    </row>
    <row r="2340" spans="1:6" x14ac:dyDescent="0.35">
      <c r="A2340">
        <v>20290401</v>
      </c>
      <c r="B2340" t="s">
        <v>1164</v>
      </c>
      <c r="C2340">
        <v>5000</v>
      </c>
      <c r="D2340" t="s">
        <v>1131</v>
      </c>
      <c r="E2340">
        <v>512300</v>
      </c>
      <c r="F2340" t="s">
        <v>1456</v>
      </c>
    </row>
    <row r="2341" spans="1:6" x14ac:dyDescent="0.35">
      <c r="A2341">
        <v>20290401</v>
      </c>
      <c r="B2341" t="s">
        <v>1164</v>
      </c>
      <c r="C2341">
        <v>3900</v>
      </c>
      <c r="D2341" t="s">
        <v>1131</v>
      </c>
      <c r="E2341">
        <v>-730300</v>
      </c>
      <c r="F2341" t="s">
        <v>1456</v>
      </c>
    </row>
    <row r="2342" spans="1:6" x14ac:dyDescent="0.35">
      <c r="A2342">
        <v>20290401</v>
      </c>
      <c r="B2342" t="s">
        <v>1169</v>
      </c>
      <c r="C2342">
        <v>5000</v>
      </c>
      <c r="D2342" t="s">
        <v>1131</v>
      </c>
      <c r="E2342">
        <v>512300</v>
      </c>
      <c r="F2342" t="s">
        <v>1456</v>
      </c>
    </row>
    <row r="2343" spans="1:6" x14ac:dyDescent="0.35">
      <c r="A2343">
        <v>20290401</v>
      </c>
      <c r="B2343" t="s">
        <v>1169</v>
      </c>
      <c r="C2343">
        <v>3900</v>
      </c>
      <c r="D2343" t="s">
        <v>1131</v>
      </c>
      <c r="E2343">
        <v>-730300</v>
      </c>
      <c r="F2343" t="s">
        <v>1456</v>
      </c>
    </row>
    <row r="2344" spans="1:6" x14ac:dyDescent="0.35">
      <c r="A2344">
        <v>20290401</v>
      </c>
      <c r="B2344" t="s">
        <v>1175</v>
      </c>
      <c r="C2344">
        <v>5000</v>
      </c>
      <c r="D2344" t="s">
        <v>1131</v>
      </c>
      <c r="E2344">
        <v>512300</v>
      </c>
      <c r="F2344" t="s">
        <v>1456</v>
      </c>
    </row>
    <row r="2345" spans="1:6" x14ac:dyDescent="0.35">
      <c r="A2345">
        <v>20290401</v>
      </c>
      <c r="B2345" t="s">
        <v>1175</v>
      </c>
      <c r="C2345">
        <v>3900</v>
      </c>
      <c r="D2345" t="s">
        <v>1131</v>
      </c>
      <c r="E2345">
        <v>-730300</v>
      </c>
      <c r="F2345" t="s">
        <v>1456</v>
      </c>
    </row>
    <row r="2346" spans="1:6" x14ac:dyDescent="0.35">
      <c r="A2346">
        <v>20290401</v>
      </c>
      <c r="B2346" t="s">
        <v>1130</v>
      </c>
      <c r="C2346">
        <v>5000</v>
      </c>
      <c r="D2346" t="s">
        <v>1131</v>
      </c>
      <c r="E2346">
        <v>512300</v>
      </c>
      <c r="F2346" t="s">
        <v>1456</v>
      </c>
    </row>
    <row r="2347" spans="1:6" x14ac:dyDescent="0.35">
      <c r="A2347">
        <v>20290401</v>
      </c>
      <c r="B2347" t="s">
        <v>1130</v>
      </c>
      <c r="C2347">
        <v>3900</v>
      </c>
      <c r="D2347" t="s">
        <v>1131</v>
      </c>
      <c r="E2347">
        <v>-730300</v>
      </c>
      <c r="F2347" t="s">
        <v>1456</v>
      </c>
    </row>
    <row r="2348" spans="1:6" x14ac:dyDescent="0.35">
      <c r="A2348">
        <v>20290401</v>
      </c>
      <c r="B2348" t="s">
        <v>1173</v>
      </c>
      <c r="C2348">
        <v>5000</v>
      </c>
      <c r="D2348" t="s">
        <v>1131</v>
      </c>
      <c r="E2348">
        <v>512300</v>
      </c>
      <c r="F2348" t="s">
        <v>1456</v>
      </c>
    </row>
    <row r="2349" spans="1:6" x14ac:dyDescent="0.35">
      <c r="A2349">
        <v>20290401</v>
      </c>
      <c r="B2349" t="s">
        <v>1173</v>
      </c>
      <c r="C2349">
        <v>3900</v>
      </c>
      <c r="D2349" t="s">
        <v>1131</v>
      </c>
      <c r="E2349">
        <v>-730300</v>
      </c>
      <c r="F2349" t="s">
        <v>1456</v>
      </c>
    </row>
    <row r="2350" spans="1:6" x14ac:dyDescent="0.35">
      <c r="A2350">
        <v>20290401</v>
      </c>
      <c r="B2350" t="s">
        <v>1155</v>
      </c>
      <c r="C2350">
        <v>5000</v>
      </c>
      <c r="D2350" t="s">
        <v>1131</v>
      </c>
      <c r="E2350">
        <v>512300</v>
      </c>
      <c r="F2350" t="s">
        <v>1456</v>
      </c>
    </row>
    <row r="2351" spans="1:6" x14ac:dyDescent="0.35">
      <c r="A2351">
        <v>20290401</v>
      </c>
      <c r="B2351" t="s">
        <v>1155</v>
      </c>
      <c r="C2351">
        <v>3900</v>
      </c>
      <c r="D2351" t="s">
        <v>1131</v>
      </c>
      <c r="E2351">
        <v>-730300</v>
      </c>
      <c r="F2351" t="s">
        <v>1456</v>
      </c>
    </row>
    <row r="2352" spans="1:6" x14ac:dyDescent="0.35">
      <c r="A2352">
        <v>20290401</v>
      </c>
      <c r="B2352" t="s">
        <v>1138</v>
      </c>
      <c r="C2352">
        <v>5000</v>
      </c>
      <c r="D2352" t="s">
        <v>1131</v>
      </c>
      <c r="E2352">
        <v>512300</v>
      </c>
      <c r="F2352" t="s">
        <v>1456</v>
      </c>
    </row>
    <row r="2353" spans="1:6" x14ac:dyDescent="0.35">
      <c r="A2353">
        <v>20290401</v>
      </c>
      <c r="B2353" t="s">
        <v>1138</v>
      </c>
      <c r="C2353">
        <v>3900</v>
      </c>
      <c r="D2353" t="s">
        <v>1131</v>
      </c>
      <c r="E2353">
        <v>-730300</v>
      </c>
      <c r="F2353" t="s">
        <v>1456</v>
      </c>
    </row>
    <row r="2354" spans="1:6" x14ac:dyDescent="0.35">
      <c r="A2354">
        <v>20290501</v>
      </c>
      <c r="B2354" t="s">
        <v>1150</v>
      </c>
      <c r="C2354">
        <v>5000</v>
      </c>
      <c r="D2354" t="s">
        <v>1131</v>
      </c>
      <c r="E2354">
        <v>512300</v>
      </c>
      <c r="F2354" t="s">
        <v>1456</v>
      </c>
    </row>
    <row r="2355" spans="1:6" x14ac:dyDescent="0.35">
      <c r="A2355">
        <v>20290501</v>
      </c>
      <c r="B2355" t="s">
        <v>1150</v>
      </c>
      <c r="C2355">
        <v>3900</v>
      </c>
      <c r="D2355" t="s">
        <v>1131</v>
      </c>
      <c r="E2355">
        <v>-730300</v>
      </c>
      <c r="F2355" t="s">
        <v>1456</v>
      </c>
    </row>
    <row r="2356" spans="1:6" x14ac:dyDescent="0.35">
      <c r="A2356">
        <v>20290501</v>
      </c>
      <c r="B2356" t="s">
        <v>1158</v>
      </c>
      <c r="C2356">
        <v>5000</v>
      </c>
      <c r="D2356" t="s">
        <v>1131</v>
      </c>
      <c r="E2356">
        <v>512300</v>
      </c>
      <c r="F2356" t="s">
        <v>1456</v>
      </c>
    </row>
    <row r="2357" spans="1:6" x14ac:dyDescent="0.35">
      <c r="A2357">
        <v>20290501</v>
      </c>
      <c r="B2357" t="s">
        <v>1158</v>
      </c>
      <c r="C2357">
        <v>3900</v>
      </c>
      <c r="D2357" t="s">
        <v>1131</v>
      </c>
      <c r="E2357">
        <v>-730300</v>
      </c>
      <c r="F2357" t="s">
        <v>1456</v>
      </c>
    </row>
    <row r="2358" spans="1:6" x14ac:dyDescent="0.35">
      <c r="A2358">
        <v>20290501</v>
      </c>
      <c r="B2358" t="s">
        <v>1205</v>
      </c>
      <c r="C2358">
        <v>5000</v>
      </c>
      <c r="D2358" t="s">
        <v>1131</v>
      </c>
      <c r="E2358">
        <v>512300</v>
      </c>
      <c r="F2358" t="s">
        <v>1456</v>
      </c>
    </row>
    <row r="2359" spans="1:6" x14ac:dyDescent="0.35">
      <c r="A2359">
        <v>20290501</v>
      </c>
      <c r="B2359" t="s">
        <v>1205</v>
      </c>
      <c r="C2359">
        <v>3900</v>
      </c>
      <c r="D2359" t="s">
        <v>1131</v>
      </c>
      <c r="E2359">
        <v>-730300</v>
      </c>
      <c r="F2359" t="s">
        <v>1456</v>
      </c>
    </row>
    <row r="2360" spans="1:6" x14ac:dyDescent="0.35">
      <c r="A2360">
        <v>20290501</v>
      </c>
      <c r="B2360" t="s">
        <v>1164</v>
      </c>
      <c r="C2360">
        <v>5000</v>
      </c>
      <c r="D2360" t="s">
        <v>1131</v>
      </c>
      <c r="E2360">
        <v>512300</v>
      </c>
      <c r="F2360" t="s">
        <v>1456</v>
      </c>
    </row>
    <row r="2361" spans="1:6" x14ac:dyDescent="0.35">
      <c r="A2361">
        <v>20290501</v>
      </c>
      <c r="B2361" t="s">
        <v>1164</v>
      </c>
      <c r="C2361">
        <v>3900</v>
      </c>
      <c r="D2361" t="s">
        <v>1131</v>
      </c>
      <c r="E2361">
        <v>-730300</v>
      </c>
      <c r="F2361" t="s">
        <v>1456</v>
      </c>
    </row>
    <row r="2362" spans="1:6" x14ac:dyDescent="0.35">
      <c r="A2362">
        <v>20290501</v>
      </c>
      <c r="B2362" t="s">
        <v>1169</v>
      </c>
      <c r="C2362">
        <v>5000</v>
      </c>
      <c r="D2362" t="s">
        <v>1131</v>
      </c>
      <c r="E2362">
        <v>512300</v>
      </c>
      <c r="F2362" t="s">
        <v>1456</v>
      </c>
    </row>
    <row r="2363" spans="1:6" x14ac:dyDescent="0.35">
      <c r="A2363">
        <v>20290501</v>
      </c>
      <c r="B2363" t="s">
        <v>1169</v>
      </c>
      <c r="C2363">
        <v>3900</v>
      </c>
      <c r="D2363" t="s">
        <v>1131</v>
      </c>
      <c r="E2363">
        <v>-730300</v>
      </c>
      <c r="F2363" t="s">
        <v>1456</v>
      </c>
    </row>
    <row r="2364" spans="1:6" x14ac:dyDescent="0.35">
      <c r="A2364">
        <v>20290501</v>
      </c>
      <c r="B2364" t="s">
        <v>1175</v>
      </c>
      <c r="C2364">
        <v>5000</v>
      </c>
      <c r="D2364" t="s">
        <v>1131</v>
      </c>
      <c r="E2364">
        <v>512300</v>
      </c>
      <c r="F2364" t="s">
        <v>1456</v>
      </c>
    </row>
    <row r="2365" spans="1:6" x14ac:dyDescent="0.35">
      <c r="A2365">
        <v>20290501</v>
      </c>
      <c r="B2365" t="s">
        <v>1175</v>
      </c>
      <c r="C2365">
        <v>3900</v>
      </c>
      <c r="D2365" t="s">
        <v>1131</v>
      </c>
      <c r="E2365">
        <v>-730300</v>
      </c>
      <c r="F2365" t="s">
        <v>1456</v>
      </c>
    </row>
    <row r="2366" spans="1:6" x14ac:dyDescent="0.35">
      <c r="A2366">
        <v>20290501</v>
      </c>
      <c r="B2366" t="s">
        <v>1130</v>
      </c>
      <c r="C2366">
        <v>5000</v>
      </c>
      <c r="D2366" t="s">
        <v>1131</v>
      </c>
      <c r="E2366">
        <v>512300</v>
      </c>
      <c r="F2366" t="s">
        <v>1456</v>
      </c>
    </row>
    <row r="2367" spans="1:6" x14ac:dyDescent="0.35">
      <c r="A2367">
        <v>20290501</v>
      </c>
      <c r="B2367" t="s">
        <v>1130</v>
      </c>
      <c r="C2367">
        <v>3900</v>
      </c>
      <c r="D2367" t="s">
        <v>1131</v>
      </c>
      <c r="E2367">
        <v>-730300</v>
      </c>
      <c r="F2367" t="s">
        <v>1456</v>
      </c>
    </row>
    <row r="2368" spans="1:6" x14ac:dyDescent="0.35">
      <c r="A2368">
        <v>20290501</v>
      </c>
      <c r="B2368" t="s">
        <v>1173</v>
      </c>
      <c r="C2368">
        <v>5000</v>
      </c>
      <c r="D2368" t="s">
        <v>1131</v>
      </c>
      <c r="E2368">
        <v>512300</v>
      </c>
      <c r="F2368" t="s">
        <v>1456</v>
      </c>
    </row>
    <row r="2369" spans="1:6" x14ac:dyDescent="0.35">
      <c r="A2369">
        <v>20290501</v>
      </c>
      <c r="B2369" t="s">
        <v>1173</v>
      </c>
      <c r="C2369">
        <v>3900</v>
      </c>
      <c r="D2369" t="s">
        <v>1131</v>
      </c>
      <c r="E2369">
        <v>-730300</v>
      </c>
      <c r="F2369" t="s">
        <v>1456</v>
      </c>
    </row>
    <row r="2370" spans="1:6" x14ac:dyDescent="0.35">
      <c r="A2370">
        <v>20290501</v>
      </c>
      <c r="B2370" t="s">
        <v>1155</v>
      </c>
      <c r="C2370">
        <v>5000</v>
      </c>
      <c r="D2370" t="s">
        <v>1131</v>
      </c>
      <c r="E2370">
        <v>512300</v>
      </c>
      <c r="F2370" t="s">
        <v>1456</v>
      </c>
    </row>
    <row r="2371" spans="1:6" x14ac:dyDescent="0.35">
      <c r="A2371">
        <v>20290501</v>
      </c>
      <c r="B2371" t="s">
        <v>1155</v>
      </c>
      <c r="C2371">
        <v>3900</v>
      </c>
      <c r="D2371" t="s">
        <v>1131</v>
      </c>
      <c r="E2371">
        <v>-730300</v>
      </c>
      <c r="F2371" t="s">
        <v>1456</v>
      </c>
    </row>
    <row r="2372" spans="1:6" x14ac:dyDescent="0.35">
      <c r="A2372">
        <v>20290501</v>
      </c>
      <c r="B2372" t="s">
        <v>1138</v>
      </c>
      <c r="C2372">
        <v>5000</v>
      </c>
      <c r="D2372" t="s">
        <v>1131</v>
      </c>
      <c r="E2372">
        <v>512300</v>
      </c>
      <c r="F2372" t="s">
        <v>1456</v>
      </c>
    </row>
    <row r="2373" spans="1:6" x14ac:dyDescent="0.35">
      <c r="A2373">
        <v>20290501</v>
      </c>
      <c r="B2373" t="s">
        <v>1138</v>
      </c>
      <c r="C2373">
        <v>3900</v>
      </c>
      <c r="D2373" t="s">
        <v>1131</v>
      </c>
      <c r="E2373">
        <v>-730300</v>
      </c>
      <c r="F2373" t="s">
        <v>1456</v>
      </c>
    </row>
    <row r="2374" spans="1:6" x14ac:dyDescent="0.35">
      <c r="A2374">
        <v>20290601</v>
      </c>
      <c r="B2374" t="s">
        <v>1150</v>
      </c>
      <c r="C2374">
        <v>5000</v>
      </c>
      <c r="D2374" t="s">
        <v>1131</v>
      </c>
      <c r="E2374">
        <v>512300</v>
      </c>
      <c r="F2374" t="s">
        <v>1456</v>
      </c>
    </row>
    <row r="2375" spans="1:6" x14ac:dyDescent="0.35">
      <c r="A2375">
        <v>20290601</v>
      </c>
      <c r="B2375" t="s">
        <v>1150</v>
      </c>
      <c r="C2375">
        <v>3900</v>
      </c>
      <c r="D2375" t="s">
        <v>1131</v>
      </c>
      <c r="E2375">
        <v>-730300</v>
      </c>
      <c r="F2375" t="s">
        <v>1456</v>
      </c>
    </row>
    <row r="2376" spans="1:6" x14ac:dyDescent="0.35">
      <c r="A2376">
        <v>20290601</v>
      </c>
      <c r="B2376" t="s">
        <v>1158</v>
      </c>
      <c r="C2376">
        <v>5000</v>
      </c>
      <c r="D2376" t="s">
        <v>1131</v>
      </c>
      <c r="E2376">
        <v>512300</v>
      </c>
      <c r="F2376" t="s">
        <v>1456</v>
      </c>
    </row>
    <row r="2377" spans="1:6" x14ac:dyDescent="0.35">
      <c r="A2377">
        <v>20290601</v>
      </c>
      <c r="B2377" t="s">
        <v>1158</v>
      </c>
      <c r="C2377">
        <v>3900</v>
      </c>
      <c r="D2377" t="s">
        <v>1131</v>
      </c>
      <c r="E2377">
        <v>-730300</v>
      </c>
      <c r="F2377" t="s">
        <v>1456</v>
      </c>
    </row>
    <row r="2378" spans="1:6" x14ac:dyDescent="0.35">
      <c r="A2378">
        <v>20290601</v>
      </c>
      <c r="B2378" t="s">
        <v>1205</v>
      </c>
      <c r="C2378">
        <v>5000</v>
      </c>
      <c r="D2378" t="s">
        <v>1131</v>
      </c>
      <c r="E2378">
        <v>512300</v>
      </c>
      <c r="F2378" t="s">
        <v>1456</v>
      </c>
    </row>
    <row r="2379" spans="1:6" x14ac:dyDescent="0.35">
      <c r="A2379">
        <v>20290601</v>
      </c>
      <c r="B2379" t="s">
        <v>1205</v>
      </c>
      <c r="C2379">
        <v>3900</v>
      </c>
      <c r="D2379" t="s">
        <v>1131</v>
      </c>
      <c r="E2379">
        <v>-730300</v>
      </c>
      <c r="F2379" t="s">
        <v>1456</v>
      </c>
    </row>
    <row r="2380" spans="1:6" x14ac:dyDescent="0.35">
      <c r="A2380">
        <v>20290601</v>
      </c>
      <c r="B2380" t="s">
        <v>1164</v>
      </c>
      <c r="C2380">
        <v>5000</v>
      </c>
      <c r="D2380" t="s">
        <v>1131</v>
      </c>
      <c r="E2380">
        <v>512300</v>
      </c>
      <c r="F2380" t="s">
        <v>1456</v>
      </c>
    </row>
    <row r="2381" spans="1:6" x14ac:dyDescent="0.35">
      <c r="A2381">
        <v>20290601</v>
      </c>
      <c r="B2381" t="s">
        <v>1164</v>
      </c>
      <c r="C2381">
        <v>3900</v>
      </c>
      <c r="D2381" t="s">
        <v>1131</v>
      </c>
      <c r="E2381">
        <v>-730300</v>
      </c>
      <c r="F2381" t="s">
        <v>1456</v>
      </c>
    </row>
    <row r="2382" spans="1:6" x14ac:dyDescent="0.35">
      <c r="A2382">
        <v>20290601</v>
      </c>
      <c r="B2382" t="s">
        <v>1169</v>
      </c>
      <c r="C2382">
        <v>5000</v>
      </c>
      <c r="D2382" t="s">
        <v>1131</v>
      </c>
      <c r="E2382">
        <v>512300</v>
      </c>
      <c r="F2382" t="s">
        <v>1456</v>
      </c>
    </row>
    <row r="2383" spans="1:6" x14ac:dyDescent="0.35">
      <c r="A2383">
        <v>20290601</v>
      </c>
      <c r="B2383" t="s">
        <v>1169</v>
      </c>
      <c r="C2383">
        <v>3900</v>
      </c>
      <c r="D2383" t="s">
        <v>1131</v>
      </c>
      <c r="E2383">
        <v>-730300</v>
      </c>
      <c r="F2383" t="s">
        <v>1456</v>
      </c>
    </row>
    <row r="2384" spans="1:6" x14ac:dyDescent="0.35">
      <c r="A2384">
        <v>20290601</v>
      </c>
      <c r="B2384" t="s">
        <v>1175</v>
      </c>
      <c r="C2384">
        <v>5000</v>
      </c>
      <c r="D2384" t="s">
        <v>1131</v>
      </c>
      <c r="E2384">
        <v>512300</v>
      </c>
      <c r="F2384" t="s">
        <v>1456</v>
      </c>
    </row>
    <row r="2385" spans="1:6" x14ac:dyDescent="0.35">
      <c r="A2385">
        <v>20290601</v>
      </c>
      <c r="B2385" t="s">
        <v>1175</v>
      </c>
      <c r="C2385">
        <v>3900</v>
      </c>
      <c r="D2385" t="s">
        <v>1131</v>
      </c>
      <c r="E2385">
        <v>-730300</v>
      </c>
      <c r="F2385" t="s">
        <v>1456</v>
      </c>
    </row>
    <row r="2386" spans="1:6" x14ac:dyDescent="0.35">
      <c r="A2386">
        <v>20290601</v>
      </c>
      <c r="B2386" t="s">
        <v>1130</v>
      </c>
      <c r="C2386">
        <v>5000</v>
      </c>
      <c r="D2386" t="s">
        <v>1131</v>
      </c>
      <c r="E2386">
        <v>512300</v>
      </c>
      <c r="F2386" t="s">
        <v>1456</v>
      </c>
    </row>
    <row r="2387" spans="1:6" x14ac:dyDescent="0.35">
      <c r="A2387">
        <v>20290601</v>
      </c>
      <c r="B2387" t="s">
        <v>1130</v>
      </c>
      <c r="C2387">
        <v>3900</v>
      </c>
      <c r="D2387" t="s">
        <v>1131</v>
      </c>
      <c r="E2387">
        <v>-730300</v>
      </c>
      <c r="F2387" t="s">
        <v>1456</v>
      </c>
    </row>
    <row r="2388" spans="1:6" x14ac:dyDescent="0.35">
      <c r="A2388">
        <v>20290601</v>
      </c>
      <c r="B2388" t="s">
        <v>1173</v>
      </c>
      <c r="C2388">
        <v>5000</v>
      </c>
      <c r="D2388" t="s">
        <v>1131</v>
      </c>
      <c r="E2388">
        <v>512300</v>
      </c>
      <c r="F2388" t="s">
        <v>1456</v>
      </c>
    </row>
    <row r="2389" spans="1:6" x14ac:dyDescent="0.35">
      <c r="A2389">
        <v>20290601</v>
      </c>
      <c r="B2389" t="s">
        <v>1173</v>
      </c>
      <c r="C2389">
        <v>3900</v>
      </c>
      <c r="D2389" t="s">
        <v>1131</v>
      </c>
      <c r="E2389">
        <v>-730300</v>
      </c>
      <c r="F2389" t="s">
        <v>1456</v>
      </c>
    </row>
    <row r="2390" spans="1:6" x14ac:dyDescent="0.35">
      <c r="A2390">
        <v>20290601</v>
      </c>
      <c r="B2390" t="s">
        <v>1155</v>
      </c>
      <c r="C2390">
        <v>5000</v>
      </c>
      <c r="D2390" t="s">
        <v>1131</v>
      </c>
      <c r="E2390">
        <v>512300</v>
      </c>
      <c r="F2390" t="s">
        <v>1456</v>
      </c>
    </row>
    <row r="2391" spans="1:6" x14ac:dyDescent="0.35">
      <c r="A2391">
        <v>20290601</v>
      </c>
      <c r="B2391" t="s">
        <v>1155</v>
      </c>
      <c r="C2391">
        <v>3900</v>
      </c>
      <c r="D2391" t="s">
        <v>1131</v>
      </c>
      <c r="E2391">
        <v>-730300</v>
      </c>
      <c r="F2391" t="s">
        <v>1456</v>
      </c>
    </row>
    <row r="2392" spans="1:6" x14ac:dyDescent="0.35">
      <c r="A2392">
        <v>20290601</v>
      </c>
      <c r="B2392" t="s">
        <v>1138</v>
      </c>
      <c r="C2392">
        <v>5000</v>
      </c>
      <c r="D2392" t="s">
        <v>1131</v>
      </c>
      <c r="E2392">
        <v>512300</v>
      </c>
      <c r="F2392" t="s">
        <v>1456</v>
      </c>
    </row>
    <row r="2393" spans="1:6" x14ac:dyDescent="0.35">
      <c r="A2393">
        <v>20290601</v>
      </c>
      <c r="B2393" t="s">
        <v>1138</v>
      </c>
      <c r="C2393">
        <v>3900</v>
      </c>
      <c r="D2393" t="s">
        <v>1131</v>
      </c>
      <c r="E2393">
        <v>-730300</v>
      </c>
      <c r="F2393" t="s">
        <v>1456</v>
      </c>
    </row>
    <row r="2394" spans="1:6" x14ac:dyDescent="0.35">
      <c r="A2394">
        <v>20290701</v>
      </c>
      <c r="B2394" t="s">
        <v>1150</v>
      </c>
      <c r="C2394">
        <v>5000</v>
      </c>
      <c r="D2394" t="s">
        <v>1131</v>
      </c>
      <c r="E2394">
        <v>512300</v>
      </c>
      <c r="F2394" t="s">
        <v>1456</v>
      </c>
    </row>
    <row r="2395" spans="1:6" x14ac:dyDescent="0.35">
      <c r="A2395">
        <v>20290701</v>
      </c>
      <c r="B2395" t="s">
        <v>1150</v>
      </c>
      <c r="C2395">
        <v>3900</v>
      </c>
      <c r="D2395" t="s">
        <v>1131</v>
      </c>
      <c r="E2395">
        <v>-730300</v>
      </c>
      <c r="F2395" t="s">
        <v>1456</v>
      </c>
    </row>
    <row r="2396" spans="1:6" x14ac:dyDescent="0.35">
      <c r="A2396">
        <v>20290701</v>
      </c>
      <c r="B2396" t="s">
        <v>1158</v>
      </c>
      <c r="C2396">
        <v>5000</v>
      </c>
      <c r="D2396" t="s">
        <v>1131</v>
      </c>
      <c r="E2396">
        <v>512300</v>
      </c>
      <c r="F2396" t="s">
        <v>1456</v>
      </c>
    </row>
    <row r="2397" spans="1:6" x14ac:dyDescent="0.35">
      <c r="A2397">
        <v>20290701</v>
      </c>
      <c r="B2397" t="s">
        <v>1158</v>
      </c>
      <c r="C2397">
        <v>3900</v>
      </c>
      <c r="D2397" t="s">
        <v>1131</v>
      </c>
      <c r="E2397">
        <v>-730300</v>
      </c>
      <c r="F2397" t="s">
        <v>1456</v>
      </c>
    </row>
    <row r="2398" spans="1:6" x14ac:dyDescent="0.35">
      <c r="A2398">
        <v>20290701</v>
      </c>
      <c r="B2398" t="s">
        <v>1205</v>
      </c>
      <c r="C2398">
        <v>5000</v>
      </c>
      <c r="D2398" t="s">
        <v>1131</v>
      </c>
      <c r="E2398">
        <v>512300</v>
      </c>
      <c r="F2398" t="s">
        <v>1456</v>
      </c>
    </row>
    <row r="2399" spans="1:6" x14ac:dyDescent="0.35">
      <c r="A2399">
        <v>20290701</v>
      </c>
      <c r="B2399" t="s">
        <v>1205</v>
      </c>
      <c r="C2399">
        <v>3900</v>
      </c>
      <c r="D2399" t="s">
        <v>1131</v>
      </c>
      <c r="E2399">
        <v>-730300</v>
      </c>
      <c r="F2399" t="s">
        <v>1456</v>
      </c>
    </row>
    <row r="2400" spans="1:6" x14ac:dyDescent="0.35">
      <c r="A2400">
        <v>20290701</v>
      </c>
      <c r="B2400" t="s">
        <v>1164</v>
      </c>
      <c r="C2400">
        <v>5000</v>
      </c>
      <c r="D2400" t="s">
        <v>1131</v>
      </c>
      <c r="E2400">
        <v>512300</v>
      </c>
      <c r="F2400" t="s">
        <v>1456</v>
      </c>
    </row>
    <row r="2401" spans="1:6" x14ac:dyDescent="0.35">
      <c r="A2401">
        <v>20290701</v>
      </c>
      <c r="B2401" t="s">
        <v>1164</v>
      </c>
      <c r="C2401">
        <v>3900</v>
      </c>
      <c r="D2401" t="s">
        <v>1131</v>
      </c>
      <c r="E2401">
        <v>-730300</v>
      </c>
      <c r="F2401" t="s">
        <v>1456</v>
      </c>
    </row>
    <row r="2402" spans="1:6" x14ac:dyDescent="0.35">
      <c r="A2402">
        <v>20290701</v>
      </c>
      <c r="B2402" t="s">
        <v>1169</v>
      </c>
      <c r="C2402">
        <v>5000</v>
      </c>
      <c r="D2402" t="s">
        <v>1131</v>
      </c>
      <c r="E2402">
        <v>512300</v>
      </c>
      <c r="F2402" t="s">
        <v>1456</v>
      </c>
    </row>
    <row r="2403" spans="1:6" x14ac:dyDescent="0.35">
      <c r="A2403">
        <v>20290701</v>
      </c>
      <c r="B2403" t="s">
        <v>1169</v>
      </c>
      <c r="C2403">
        <v>3900</v>
      </c>
      <c r="D2403" t="s">
        <v>1131</v>
      </c>
      <c r="E2403">
        <v>-730300</v>
      </c>
      <c r="F2403" t="s">
        <v>1456</v>
      </c>
    </row>
    <row r="2404" spans="1:6" x14ac:dyDescent="0.35">
      <c r="A2404">
        <v>20290701</v>
      </c>
      <c r="B2404" t="s">
        <v>1175</v>
      </c>
      <c r="C2404">
        <v>5000</v>
      </c>
      <c r="D2404" t="s">
        <v>1131</v>
      </c>
      <c r="E2404">
        <v>512300</v>
      </c>
      <c r="F2404" t="s">
        <v>1456</v>
      </c>
    </row>
    <row r="2405" spans="1:6" x14ac:dyDescent="0.35">
      <c r="A2405">
        <v>20290701</v>
      </c>
      <c r="B2405" t="s">
        <v>1175</v>
      </c>
      <c r="C2405">
        <v>3900</v>
      </c>
      <c r="D2405" t="s">
        <v>1131</v>
      </c>
      <c r="E2405">
        <v>-730300</v>
      </c>
      <c r="F2405" t="s">
        <v>1456</v>
      </c>
    </row>
    <row r="2406" spans="1:6" x14ac:dyDescent="0.35">
      <c r="A2406">
        <v>20290701</v>
      </c>
      <c r="B2406" t="s">
        <v>1130</v>
      </c>
      <c r="C2406">
        <v>5000</v>
      </c>
      <c r="D2406" t="s">
        <v>1131</v>
      </c>
      <c r="E2406">
        <v>512300</v>
      </c>
      <c r="F2406" t="s">
        <v>1456</v>
      </c>
    </row>
    <row r="2407" spans="1:6" x14ac:dyDescent="0.35">
      <c r="A2407">
        <v>20290701</v>
      </c>
      <c r="B2407" t="s">
        <v>1130</v>
      </c>
      <c r="C2407">
        <v>3900</v>
      </c>
      <c r="D2407" t="s">
        <v>1131</v>
      </c>
      <c r="E2407">
        <v>-730300</v>
      </c>
      <c r="F2407" t="s">
        <v>1456</v>
      </c>
    </row>
    <row r="2408" spans="1:6" x14ac:dyDescent="0.35">
      <c r="A2408">
        <v>20290701</v>
      </c>
      <c r="B2408" t="s">
        <v>1173</v>
      </c>
      <c r="C2408">
        <v>5000</v>
      </c>
      <c r="D2408" t="s">
        <v>1131</v>
      </c>
      <c r="E2408">
        <v>512300</v>
      </c>
      <c r="F2408" t="s">
        <v>1456</v>
      </c>
    </row>
    <row r="2409" spans="1:6" x14ac:dyDescent="0.35">
      <c r="A2409">
        <v>20290701</v>
      </c>
      <c r="B2409" t="s">
        <v>1173</v>
      </c>
      <c r="C2409">
        <v>3900</v>
      </c>
      <c r="D2409" t="s">
        <v>1131</v>
      </c>
      <c r="E2409">
        <v>-730300</v>
      </c>
      <c r="F2409" t="s">
        <v>1456</v>
      </c>
    </row>
    <row r="2410" spans="1:6" x14ac:dyDescent="0.35">
      <c r="A2410">
        <v>20290701</v>
      </c>
      <c r="B2410" t="s">
        <v>1155</v>
      </c>
      <c r="C2410">
        <v>5000</v>
      </c>
      <c r="D2410" t="s">
        <v>1131</v>
      </c>
      <c r="E2410">
        <v>512300</v>
      </c>
      <c r="F2410" t="s">
        <v>1456</v>
      </c>
    </row>
    <row r="2411" spans="1:6" x14ac:dyDescent="0.35">
      <c r="A2411">
        <v>20290701</v>
      </c>
      <c r="B2411" t="s">
        <v>1155</v>
      </c>
      <c r="C2411">
        <v>3900</v>
      </c>
      <c r="D2411" t="s">
        <v>1131</v>
      </c>
      <c r="E2411">
        <v>-730300</v>
      </c>
      <c r="F2411" t="s">
        <v>1456</v>
      </c>
    </row>
    <row r="2412" spans="1:6" x14ac:dyDescent="0.35">
      <c r="A2412">
        <v>20290701</v>
      </c>
      <c r="B2412" t="s">
        <v>1138</v>
      </c>
      <c r="C2412">
        <v>5000</v>
      </c>
      <c r="D2412" t="s">
        <v>1131</v>
      </c>
      <c r="E2412">
        <v>512300</v>
      </c>
      <c r="F2412" t="s">
        <v>1456</v>
      </c>
    </row>
    <row r="2413" spans="1:6" x14ac:dyDescent="0.35">
      <c r="A2413">
        <v>20290701</v>
      </c>
      <c r="B2413" t="s">
        <v>1138</v>
      </c>
      <c r="C2413">
        <v>3900</v>
      </c>
      <c r="D2413" t="s">
        <v>1131</v>
      </c>
      <c r="E2413">
        <v>-730300</v>
      </c>
      <c r="F2413" t="s">
        <v>1456</v>
      </c>
    </row>
    <row r="2414" spans="1:6" x14ac:dyDescent="0.35">
      <c r="A2414">
        <v>20290801</v>
      </c>
      <c r="B2414" t="s">
        <v>1150</v>
      </c>
      <c r="C2414">
        <v>5000</v>
      </c>
      <c r="D2414" t="s">
        <v>1131</v>
      </c>
      <c r="E2414">
        <v>512300</v>
      </c>
      <c r="F2414" t="s">
        <v>1456</v>
      </c>
    </row>
    <row r="2415" spans="1:6" x14ac:dyDescent="0.35">
      <c r="A2415">
        <v>20290801</v>
      </c>
      <c r="B2415" t="s">
        <v>1150</v>
      </c>
      <c r="C2415">
        <v>3900</v>
      </c>
      <c r="D2415" t="s">
        <v>1131</v>
      </c>
      <c r="E2415">
        <v>-730300</v>
      </c>
      <c r="F2415" t="s">
        <v>1456</v>
      </c>
    </row>
    <row r="2416" spans="1:6" x14ac:dyDescent="0.35">
      <c r="A2416">
        <v>20290801</v>
      </c>
      <c r="B2416" t="s">
        <v>1158</v>
      </c>
      <c r="C2416">
        <v>5000</v>
      </c>
      <c r="D2416" t="s">
        <v>1131</v>
      </c>
      <c r="E2416">
        <v>512300</v>
      </c>
      <c r="F2416" t="s">
        <v>1456</v>
      </c>
    </row>
    <row r="2417" spans="1:6" x14ac:dyDescent="0.35">
      <c r="A2417">
        <v>20290801</v>
      </c>
      <c r="B2417" t="s">
        <v>1158</v>
      </c>
      <c r="C2417">
        <v>3900</v>
      </c>
      <c r="D2417" t="s">
        <v>1131</v>
      </c>
      <c r="E2417">
        <v>-730300</v>
      </c>
      <c r="F2417" t="s">
        <v>1456</v>
      </c>
    </row>
    <row r="2418" spans="1:6" x14ac:dyDescent="0.35">
      <c r="A2418">
        <v>20290801</v>
      </c>
      <c r="B2418" t="s">
        <v>1205</v>
      </c>
      <c r="C2418">
        <v>5000</v>
      </c>
      <c r="D2418" t="s">
        <v>1131</v>
      </c>
      <c r="E2418">
        <v>512300</v>
      </c>
      <c r="F2418" t="s">
        <v>1456</v>
      </c>
    </row>
    <row r="2419" spans="1:6" x14ac:dyDescent="0.35">
      <c r="A2419">
        <v>20290801</v>
      </c>
      <c r="B2419" t="s">
        <v>1205</v>
      </c>
      <c r="C2419">
        <v>3900</v>
      </c>
      <c r="D2419" t="s">
        <v>1131</v>
      </c>
      <c r="E2419">
        <v>-730300</v>
      </c>
      <c r="F2419" t="s">
        <v>1456</v>
      </c>
    </row>
    <row r="2420" spans="1:6" x14ac:dyDescent="0.35">
      <c r="A2420">
        <v>20290801</v>
      </c>
      <c r="B2420" t="s">
        <v>1164</v>
      </c>
      <c r="C2420">
        <v>5000</v>
      </c>
      <c r="D2420" t="s">
        <v>1131</v>
      </c>
      <c r="E2420">
        <v>512300</v>
      </c>
      <c r="F2420" t="s">
        <v>1456</v>
      </c>
    </row>
    <row r="2421" spans="1:6" x14ac:dyDescent="0.35">
      <c r="A2421">
        <v>20290801</v>
      </c>
      <c r="B2421" t="s">
        <v>1164</v>
      </c>
      <c r="C2421">
        <v>3900</v>
      </c>
      <c r="D2421" t="s">
        <v>1131</v>
      </c>
      <c r="E2421">
        <v>-730300</v>
      </c>
      <c r="F2421" t="s">
        <v>1456</v>
      </c>
    </row>
    <row r="2422" spans="1:6" x14ac:dyDescent="0.35">
      <c r="A2422">
        <v>20290801</v>
      </c>
      <c r="B2422" t="s">
        <v>1169</v>
      </c>
      <c r="C2422">
        <v>5000</v>
      </c>
      <c r="D2422" t="s">
        <v>1131</v>
      </c>
      <c r="E2422">
        <v>512300</v>
      </c>
      <c r="F2422" t="s">
        <v>1456</v>
      </c>
    </row>
    <row r="2423" spans="1:6" x14ac:dyDescent="0.35">
      <c r="A2423">
        <v>20290801</v>
      </c>
      <c r="B2423" t="s">
        <v>1169</v>
      </c>
      <c r="C2423">
        <v>3900</v>
      </c>
      <c r="D2423" t="s">
        <v>1131</v>
      </c>
      <c r="E2423">
        <v>-730300</v>
      </c>
      <c r="F2423" t="s">
        <v>1456</v>
      </c>
    </row>
    <row r="2424" spans="1:6" x14ac:dyDescent="0.35">
      <c r="A2424">
        <v>20290801</v>
      </c>
      <c r="B2424" t="s">
        <v>1175</v>
      </c>
      <c r="C2424">
        <v>5000</v>
      </c>
      <c r="D2424" t="s">
        <v>1131</v>
      </c>
      <c r="E2424">
        <v>512300</v>
      </c>
      <c r="F2424" t="s">
        <v>1456</v>
      </c>
    </row>
    <row r="2425" spans="1:6" x14ac:dyDescent="0.35">
      <c r="A2425">
        <v>20290801</v>
      </c>
      <c r="B2425" t="s">
        <v>1175</v>
      </c>
      <c r="C2425">
        <v>3900</v>
      </c>
      <c r="D2425" t="s">
        <v>1131</v>
      </c>
      <c r="E2425">
        <v>-730300</v>
      </c>
      <c r="F2425" t="s">
        <v>1456</v>
      </c>
    </row>
    <row r="2426" spans="1:6" x14ac:dyDescent="0.35">
      <c r="A2426">
        <v>20290801</v>
      </c>
      <c r="B2426" t="s">
        <v>1130</v>
      </c>
      <c r="C2426">
        <v>5000</v>
      </c>
      <c r="D2426" t="s">
        <v>1131</v>
      </c>
      <c r="E2426">
        <v>512300</v>
      </c>
      <c r="F2426" t="s">
        <v>1456</v>
      </c>
    </row>
    <row r="2427" spans="1:6" x14ac:dyDescent="0.35">
      <c r="A2427">
        <v>20290801</v>
      </c>
      <c r="B2427" t="s">
        <v>1130</v>
      </c>
      <c r="C2427">
        <v>3900</v>
      </c>
      <c r="D2427" t="s">
        <v>1131</v>
      </c>
      <c r="E2427">
        <v>-730300</v>
      </c>
      <c r="F2427" t="s">
        <v>1456</v>
      </c>
    </row>
    <row r="2428" spans="1:6" x14ac:dyDescent="0.35">
      <c r="A2428">
        <v>20290801</v>
      </c>
      <c r="B2428" t="s">
        <v>1173</v>
      </c>
      <c r="C2428">
        <v>5000</v>
      </c>
      <c r="D2428" t="s">
        <v>1131</v>
      </c>
      <c r="E2428">
        <v>512300</v>
      </c>
      <c r="F2428" t="s">
        <v>1456</v>
      </c>
    </row>
    <row r="2429" spans="1:6" x14ac:dyDescent="0.35">
      <c r="A2429">
        <v>20290801</v>
      </c>
      <c r="B2429" t="s">
        <v>1173</v>
      </c>
      <c r="C2429">
        <v>3900</v>
      </c>
      <c r="D2429" t="s">
        <v>1131</v>
      </c>
      <c r="E2429">
        <v>-730300</v>
      </c>
      <c r="F2429" t="s">
        <v>1456</v>
      </c>
    </row>
    <row r="2430" spans="1:6" x14ac:dyDescent="0.35">
      <c r="A2430">
        <v>20290801</v>
      </c>
      <c r="B2430" t="s">
        <v>1155</v>
      </c>
      <c r="C2430">
        <v>5000</v>
      </c>
      <c r="D2430" t="s">
        <v>1131</v>
      </c>
      <c r="E2430">
        <v>512300</v>
      </c>
      <c r="F2430" t="s">
        <v>1456</v>
      </c>
    </row>
    <row r="2431" spans="1:6" x14ac:dyDescent="0.35">
      <c r="A2431">
        <v>20290801</v>
      </c>
      <c r="B2431" t="s">
        <v>1155</v>
      </c>
      <c r="C2431">
        <v>3900</v>
      </c>
      <c r="D2431" t="s">
        <v>1131</v>
      </c>
      <c r="E2431">
        <v>-730300</v>
      </c>
      <c r="F2431" t="s">
        <v>1456</v>
      </c>
    </row>
    <row r="2432" spans="1:6" x14ac:dyDescent="0.35">
      <c r="A2432">
        <v>20290801</v>
      </c>
      <c r="B2432" t="s">
        <v>1138</v>
      </c>
      <c r="C2432">
        <v>5000</v>
      </c>
      <c r="D2432" t="s">
        <v>1131</v>
      </c>
      <c r="E2432">
        <v>512300</v>
      </c>
      <c r="F2432" t="s">
        <v>1456</v>
      </c>
    </row>
    <row r="2433" spans="1:6" x14ac:dyDescent="0.35">
      <c r="A2433">
        <v>20290801</v>
      </c>
      <c r="B2433" t="s">
        <v>1138</v>
      </c>
      <c r="C2433">
        <v>3900</v>
      </c>
      <c r="D2433" t="s">
        <v>1131</v>
      </c>
      <c r="E2433">
        <v>-730300</v>
      </c>
      <c r="F2433" t="s">
        <v>1456</v>
      </c>
    </row>
    <row r="2434" spans="1:6" x14ac:dyDescent="0.35">
      <c r="A2434">
        <v>20290901</v>
      </c>
      <c r="B2434" t="s">
        <v>1150</v>
      </c>
      <c r="C2434">
        <v>5000</v>
      </c>
      <c r="D2434" t="s">
        <v>1131</v>
      </c>
      <c r="E2434">
        <v>512300</v>
      </c>
      <c r="F2434" t="s">
        <v>1456</v>
      </c>
    </row>
    <row r="2435" spans="1:6" x14ac:dyDescent="0.35">
      <c r="A2435">
        <v>20290901</v>
      </c>
      <c r="B2435" t="s">
        <v>1150</v>
      </c>
      <c r="C2435">
        <v>3900</v>
      </c>
      <c r="D2435" t="s">
        <v>1131</v>
      </c>
      <c r="E2435">
        <v>-730300</v>
      </c>
      <c r="F2435" t="s">
        <v>1456</v>
      </c>
    </row>
    <row r="2436" spans="1:6" x14ac:dyDescent="0.35">
      <c r="A2436">
        <v>20290901</v>
      </c>
      <c r="B2436" t="s">
        <v>1158</v>
      </c>
      <c r="C2436">
        <v>5000</v>
      </c>
      <c r="D2436" t="s">
        <v>1131</v>
      </c>
      <c r="E2436">
        <v>512300</v>
      </c>
      <c r="F2436" t="s">
        <v>1456</v>
      </c>
    </row>
    <row r="2437" spans="1:6" x14ac:dyDescent="0.35">
      <c r="A2437">
        <v>20290901</v>
      </c>
      <c r="B2437" t="s">
        <v>1158</v>
      </c>
      <c r="C2437">
        <v>3900</v>
      </c>
      <c r="D2437" t="s">
        <v>1131</v>
      </c>
      <c r="E2437">
        <v>-730300</v>
      </c>
      <c r="F2437" t="s">
        <v>1456</v>
      </c>
    </row>
    <row r="2438" spans="1:6" x14ac:dyDescent="0.35">
      <c r="A2438">
        <v>20290901</v>
      </c>
      <c r="B2438" t="s">
        <v>1205</v>
      </c>
      <c r="C2438">
        <v>5000</v>
      </c>
      <c r="D2438" t="s">
        <v>1131</v>
      </c>
      <c r="E2438">
        <v>512300</v>
      </c>
      <c r="F2438" t="s">
        <v>1456</v>
      </c>
    </row>
    <row r="2439" spans="1:6" x14ac:dyDescent="0.35">
      <c r="A2439">
        <v>20290901</v>
      </c>
      <c r="B2439" t="s">
        <v>1205</v>
      </c>
      <c r="C2439">
        <v>3900</v>
      </c>
      <c r="D2439" t="s">
        <v>1131</v>
      </c>
      <c r="E2439">
        <v>-730300</v>
      </c>
      <c r="F2439" t="s">
        <v>1456</v>
      </c>
    </row>
    <row r="2440" spans="1:6" x14ac:dyDescent="0.35">
      <c r="A2440">
        <v>20290901</v>
      </c>
      <c r="B2440" t="s">
        <v>1164</v>
      </c>
      <c r="C2440">
        <v>5000</v>
      </c>
      <c r="D2440" t="s">
        <v>1131</v>
      </c>
      <c r="E2440">
        <v>512300</v>
      </c>
      <c r="F2440" t="s">
        <v>1456</v>
      </c>
    </row>
    <row r="2441" spans="1:6" x14ac:dyDescent="0.35">
      <c r="A2441">
        <v>20290901</v>
      </c>
      <c r="B2441" t="s">
        <v>1164</v>
      </c>
      <c r="C2441">
        <v>3900</v>
      </c>
      <c r="D2441" t="s">
        <v>1131</v>
      </c>
      <c r="E2441">
        <v>-730300</v>
      </c>
      <c r="F2441" t="s">
        <v>1456</v>
      </c>
    </row>
    <row r="2442" spans="1:6" x14ac:dyDescent="0.35">
      <c r="A2442">
        <v>20290901</v>
      </c>
      <c r="B2442" t="s">
        <v>1169</v>
      </c>
      <c r="C2442">
        <v>5000</v>
      </c>
      <c r="D2442" t="s">
        <v>1131</v>
      </c>
      <c r="E2442">
        <v>512300</v>
      </c>
      <c r="F2442" t="s">
        <v>1456</v>
      </c>
    </row>
    <row r="2443" spans="1:6" x14ac:dyDescent="0.35">
      <c r="A2443">
        <v>20290901</v>
      </c>
      <c r="B2443" t="s">
        <v>1169</v>
      </c>
      <c r="C2443">
        <v>3900</v>
      </c>
      <c r="D2443" t="s">
        <v>1131</v>
      </c>
      <c r="E2443">
        <v>-730300</v>
      </c>
      <c r="F2443" t="s">
        <v>1456</v>
      </c>
    </row>
    <row r="2444" spans="1:6" x14ac:dyDescent="0.35">
      <c r="A2444">
        <v>20290901</v>
      </c>
      <c r="B2444" t="s">
        <v>1175</v>
      </c>
      <c r="C2444">
        <v>5000</v>
      </c>
      <c r="D2444" t="s">
        <v>1131</v>
      </c>
      <c r="E2444">
        <v>512300</v>
      </c>
      <c r="F2444" t="s">
        <v>1456</v>
      </c>
    </row>
    <row r="2445" spans="1:6" x14ac:dyDescent="0.35">
      <c r="A2445">
        <v>20290901</v>
      </c>
      <c r="B2445" t="s">
        <v>1175</v>
      </c>
      <c r="C2445">
        <v>3900</v>
      </c>
      <c r="D2445" t="s">
        <v>1131</v>
      </c>
      <c r="E2445">
        <v>-730300</v>
      </c>
      <c r="F2445" t="s">
        <v>1456</v>
      </c>
    </row>
    <row r="2446" spans="1:6" x14ac:dyDescent="0.35">
      <c r="A2446">
        <v>20290901</v>
      </c>
      <c r="B2446" t="s">
        <v>1130</v>
      </c>
      <c r="C2446">
        <v>5000</v>
      </c>
      <c r="D2446" t="s">
        <v>1131</v>
      </c>
      <c r="E2446">
        <v>512300</v>
      </c>
      <c r="F2446" t="s">
        <v>1456</v>
      </c>
    </row>
    <row r="2447" spans="1:6" x14ac:dyDescent="0.35">
      <c r="A2447">
        <v>20290901</v>
      </c>
      <c r="B2447" t="s">
        <v>1130</v>
      </c>
      <c r="C2447">
        <v>3900</v>
      </c>
      <c r="D2447" t="s">
        <v>1131</v>
      </c>
      <c r="E2447">
        <v>-730300</v>
      </c>
      <c r="F2447" t="s">
        <v>1456</v>
      </c>
    </row>
    <row r="2448" spans="1:6" x14ac:dyDescent="0.35">
      <c r="A2448">
        <v>20290901</v>
      </c>
      <c r="B2448" t="s">
        <v>1173</v>
      </c>
      <c r="C2448">
        <v>5000</v>
      </c>
      <c r="D2448" t="s">
        <v>1131</v>
      </c>
      <c r="E2448">
        <v>512300</v>
      </c>
      <c r="F2448" t="s">
        <v>1456</v>
      </c>
    </row>
    <row r="2449" spans="1:6" x14ac:dyDescent="0.35">
      <c r="A2449">
        <v>20290901</v>
      </c>
      <c r="B2449" t="s">
        <v>1173</v>
      </c>
      <c r="C2449">
        <v>3900</v>
      </c>
      <c r="D2449" t="s">
        <v>1131</v>
      </c>
      <c r="E2449">
        <v>-730300</v>
      </c>
      <c r="F2449" t="s">
        <v>1456</v>
      </c>
    </row>
    <row r="2450" spans="1:6" x14ac:dyDescent="0.35">
      <c r="A2450">
        <v>20290901</v>
      </c>
      <c r="B2450" t="s">
        <v>1155</v>
      </c>
      <c r="C2450">
        <v>5000</v>
      </c>
      <c r="D2450" t="s">
        <v>1131</v>
      </c>
      <c r="E2450">
        <v>512300</v>
      </c>
      <c r="F2450" t="s">
        <v>1456</v>
      </c>
    </row>
    <row r="2451" spans="1:6" x14ac:dyDescent="0.35">
      <c r="A2451">
        <v>20290901</v>
      </c>
      <c r="B2451" t="s">
        <v>1155</v>
      </c>
      <c r="C2451">
        <v>3900</v>
      </c>
      <c r="D2451" t="s">
        <v>1131</v>
      </c>
      <c r="E2451">
        <v>-730300</v>
      </c>
      <c r="F2451" t="s">
        <v>1456</v>
      </c>
    </row>
    <row r="2452" spans="1:6" x14ac:dyDescent="0.35">
      <c r="A2452">
        <v>20290901</v>
      </c>
      <c r="B2452" t="s">
        <v>1138</v>
      </c>
      <c r="C2452">
        <v>5000</v>
      </c>
      <c r="D2452" t="s">
        <v>1131</v>
      </c>
      <c r="E2452">
        <v>512300</v>
      </c>
      <c r="F2452" t="s">
        <v>1456</v>
      </c>
    </row>
    <row r="2453" spans="1:6" x14ac:dyDescent="0.35">
      <c r="A2453">
        <v>20290901</v>
      </c>
      <c r="B2453" t="s">
        <v>1138</v>
      </c>
      <c r="C2453">
        <v>3900</v>
      </c>
      <c r="D2453" t="s">
        <v>1131</v>
      </c>
      <c r="E2453">
        <v>-730300</v>
      </c>
      <c r="F2453" t="s">
        <v>1456</v>
      </c>
    </row>
    <row r="2454" spans="1:6" x14ac:dyDescent="0.35">
      <c r="A2454">
        <v>20291001</v>
      </c>
      <c r="B2454" t="s">
        <v>1150</v>
      </c>
      <c r="C2454">
        <v>5000</v>
      </c>
      <c r="D2454" t="s">
        <v>1131</v>
      </c>
      <c r="E2454">
        <v>512300</v>
      </c>
      <c r="F2454" t="s">
        <v>1456</v>
      </c>
    </row>
    <row r="2455" spans="1:6" x14ac:dyDescent="0.35">
      <c r="A2455">
        <v>20291001</v>
      </c>
      <c r="B2455" t="s">
        <v>1150</v>
      </c>
      <c r="C2455">
        <v>3900</v>
      </c>
      <c r="D2455" t="s">
        <v>1131</v>
      </c>
      <c r="E2455">
        <v>-730300</v>
      </c>
      <c r="F2455" t="s">
        <v>1456</v>
      </c>
    </row>
    <row r="2456" spans="1:6" x14ac:dyDescent="0.35">
      <c r="A2456">
        <v>20291001</v>
      </c>
      <c r="B2456" t="s">
        <v>1158</v>
      </c>
      <c r="C2456">
        <v>5000</v>
      </c>
      <c r="D2456" t="s">
        <v>1131</v>
      </c>
      <c r="E2456">
        <v>512300</v>
      </c>
      <c r="F2456" t="s">
        <v>1456</v>
      </c>
    </row>
    <row r="2457" spans="1:6" x14ac:dyDescent="0.35">
      <c r="A2457">
        <v>20291001</v>
      </c>
      <c r="B2457" t="s">
        <v>1158</v>
      </c>
      <c r="C2457">
        <v>3900</v>
      </c>
      <c r="D2457" t="s">
        <v>1131</v>
      </c>
      <c r="E2457">
        <v>-730300</v>
      </c>
      <c r="F2457" t="s">
        <v>1456</v>
      </c>
    </row>
    <row r="2458" spans="1:6" x14ac:dyDescent="0.35">
      <c r="A2458">
        <v>20291001</v>
      </c>
      <c r="B2458" t="s">
        <v>1205</v>
      </c>
      <c r="C2458">
        <v>5000</v>
      </c>
      <c r="D2458" t="s">
        <v>1131</v>
      </c>
      <c r="E2458">
        <v>512300</v>
      </c>
      <c r="F2458" t="s">
        <v>1456</v>
      </c>
    </row>
    <row r="2459" spans="1:6" x14ac:dyDescent="0.35">
      <c r="A2459">
        <v>20291001</v>
      </c>
      <c r="B2459" t="s">
        <v>1205</v>
      </c>
      <c r="C2459">
        <v>3900</v>
      </c>
      <c r="D2459" t="s">
        <v>1131</v>
      </c>
      <c r="E2459">
        <v>-730300</v>
      </c>
      <c r="F2459" t="s">
        <v>1456</v>
      </c>
    </row>
    <row r="2460" spans="1:6" x14ac:dyDescent="0.35">
      <c r="A2460">
        <v>20291001</v>
      </c>
      <c r="B2460" t="s">
        <v>1164</v>
      </c>
      <c r="C2460">
        <v>5000</v>
      </c>
      <c r="D2460" t="s">
        <v>1131</v>
      </c>
      <c r="E2460">
        <v>512300</v>
      </c>
      <c r="F2460" t="s">
        <v>1456</v>
      </c>
    </row>
    <row r="2461" spans="1:6" x14ac:dyDescent="0.35">
      <c r="A2461">
        <v>20291001</v>
      </c>
      <c r="B2461" t="s">
        <v>1164</v>
      </c>
      <c r="C2461">
        <v>3900</v>
      </c>
      <c r="D2461" t="s">
        <v>1131</v>
      </c>
      <c r="E2461">
        <v>-730300</v>
      </c>
      <c r="F2461" t="s">
        <v>1456</v>
      </c>
    </row>
    <row r="2462" spans="1:6" x14ac:dyDescent="0.35">
      <c r="A2462">
        <v>20291001</v>
      </c>
      <c r="B2462" t="s">
        <v>1169</v>
      </c>
      <c r="C2462">
        <v>5000</v>
      </c>
      <c r="D2462" t="s">
        <v>1131</v>
      </c>
      <c r="E2462">
        <v>512300</v>
      </c>
      <c r="F2462" t="s">
        <v>1456</v>
      </c>
    </row>
    <row r="2463" spans="1:6" x14ac:dyDescent="0.35">
      <c r="A2463">
        <v>20291001</v>
      </c>
      <c r="B2463" t="s">
        <v>1169</v>
      </c>
      <c r="C2463">
        <v>3900</v>
      </c>
      <c r="D2463" t="s">
        <v>1131</v>
      </c>
      <c r="E2463">
        <v>-730300</v>
      </c>
      <c r="F2463" t="s">
        <v>1456</v>
      </c>
    </row>
    <row r="2464" spans="1:6" x14ac:dyDescent="0.35">
      <c r="A2464">
        <v>20291001</v>
      </c>
      <c r="B2464" t="s">
        <v>1175</v>
      </c>
      <c r="C2464">
        <v>5000</v>
      </c>
      <c r="D2464" t="s">
        <v>1131</v>
      </c>
      <c r="E2464">
        <v>512300</v>
      </c>
      <c r="F2464" t="s">
        <v>1456</v>
      </c>
    </row>
    <row r="2465" spans="1:6" x14ac:dyDescent="0.35">
      <c r="A2465">
        <v>20291001</v>
      </c>
      <c r="B2465" t="s">
        <v>1175</v>
      </c>
      <c r="C2465">
        <v>3900</v>
      </c>
      <c r="D2465" t="s">
        <v>1131</v>
      </c>
      <c r="E2465">
        <v>-730300</v>
      </c>
      <c r="F2465" t="s">
        <v>1456</v>
      </c>
    </row>
    <row r="2466" spans="1:6" x14ac:dyDescent="0.35">
      <c r="A2466">
        <v>20291001</v>
      </c>
      <c r="B2466" t="s">
        <v>1130</v>
      </c>
      <c r="C2466">
        <v>5000</v>
      </c>
      <c r="D2466" t="s">
        <v>1131</v>
      </c>
      <c r="E2466">
        <v>512300</v>
      </c>
      <c r="F2466" t="s">
        <v>1456</v>
      </c>
    </row>
    <row r="2467" spans="1:6" x14ac:dyDescent="0.35">
      <c r="A2467">
        <v>20291001</v>
      </c>
      <c r="B2467" t="s">
        <v>1130</v>
      </c>
      <c r="C2467">
        <v>3900</v>
      </c>
      <c r="D2467" t="s">
        <v>1131</v>
      </c>
      <c r="E2467">
        <v>-730300</v>
      </c>
      <c r="F2467" t="s">
        <v>1456</v>
      </c>
    </row>
    <row r="2468" spans="1:6" x14ac:dyDescent="0.35">
      <c r="A2468">
        <v>20291001</v>
      </c>
      <c r="B2468" t="s">
        <v>1173</v>
      </c>
      <c r="C2468">
        <v>5000</v>
      </c>
      <c r="D2468" t="s">
        <v>1131</v>
      </c>
      <c r="E2468">
        <v>512300</v>
      </c>
      <c r="F2468" t="s">
        <v>1456</v>
      </c>
    </row>
    <row r="2469" spans="1:6" x14ac:dyDescent="0.35">
      <c r="A2469">
        <v>20291001</v>
      </c>
      <c r="B2469" t="s">
        <v>1173</v>
      </c>
      <c r="C2469">
        <v>3900</v>
      </c>
      <c r="D2469" t="s">
        <v>1131</v>
      </c>
      <c r="E2469">
        <v>-730300</v>
      </c>
      <c r="F2469" t="s">
        <v>1456</v>
      </c>
    </row>
    <row r="2470" spans="1:6" x14ac:dyDescent="0.35">
      <c r="A2470">
        <v>20291001</v>
      </c>
      <c r="B2470" t="s">
        <v>1155</v>
      </c>
      <c r="C2470">
        <v>5000</v>
      </c>
      <c r="D2470" t="s">
        <v>1131</v>
      </c>
      <c r="E2470">
        <v>512300</v>
      </c>
      <c r="F2470" t="s">
        <v>1456</v>
      </c>
    </row>
    <row r="2471" spans="1:6" x14ac:dyDescent="0.35">
      <c r="A2471">
        <v>20291001</v>
      </c>
      <c r="B2471" t="s">
        <v>1155</v>
      </c>
      <c r="C2471">
        <v>3900</v>
      </c>
      <c r="D2471" t="s">
        <v>1131</v>
      </c>
      <c r="E2471">
        <v>-730300</v>
      </c>
      <c r="F2471" t="s">
        <v>1456</v>
      </c>
    </row>
    <row r="2472" spans="1:6" x14ac:dyDescent="0.35">
      <c r="A2472">
        <v>20291001</v>
      </c>
      <c r="B2472" t="s">
        <v>1138</v>
      </c>
      <c r="C2472">
        <v>5000</v>
      </c>
      <c r="D2472" t="s">
        <v>1131</v>
      </c>
      <c r="E2472">
        <v>512300</v>
      </c>
      <c r="F2472" t="s">
        <v>1456</v>
      </c>
    </row>
    <row r="2473" spans="1:6" x14ac:dyDescent="0.35">
      <c r="A2473">
        <v>20291001</v>
      </c>
      <c r="B2473" t="s">
        <v>1138</v>
      </c>
      <c r="C2473">
        <v>3900</v>
      </c>
      <c r="D2473" t="s">
        <v>1131</v>
      </c>
      <c r="E2473">
        <v>-730300</v>
      </c>
      <c r="F2473" t="s">
        <v>1456</v>
      </c>
    </row>
    <row r="2474" spans="1:6" x14ac:dyDescent="0.35">
      <c r="A2474">
        <v>20291101</v>
      </c>
      <c r="B2474" t="s">
        <v>1150</v>
      </c>
      <c r="C2474">
        <v>5000</v>
      </c>
      <c r="D2474" t="s">
        <v>1131</v>
      </c>
      <c r="E2474">
        <v>512300</v>
      </c>
      <c r="F2474" t="s">
        <v>1456</v>
      </c>
    </row>
    <row r="2475" spans="1:6" x14ac:dyDescent="0.35">
      <c r="A2475">
        <v>20291101</v>
      </c>
      <c r="B2475" t="s">
        <v>1150</v>
      </c>
      <c r="C2475">
        <v>3900</v>
      </c>
      <c r="D2475" t="s">
        <v>1131</v>
      </c>
      <c r="E2475">
        <v>-730300</v>
      </c>
      <c r="F2475" t="s">
        <v>1456</v>
      </c>
    </row>
    <row r="2476" spans="1:6" x14ac:dyDescent="0.35">
      <c r="A2476">
        <v>20291101</v>
      </c>
      <c r="B2476" t="s">
        <v>1158</v>
      </c>
      <c r="C2476">
        <v>5000</v>
      </c>
      <c r="D2476" t="s">
        <v>1131</v>
      </c>
      <c r="E2476">
        <v>512300</v>
      </c>
      <c r="F2476" t="s">
        <v>1456</v>
      </c>
    </row>
    <row r="2477" spans="1:6" x14ac:dyDescent="0.35">
      <c r="A2477">
        <v>20291101</v>
      </c>
      <c r="B2477" t="s">
        <v>1158</v>
      </c>
      <c r="C2477">
        <v>3900</v>
      </c>
      <c r="D2477" t="s">
        <v>1131</v>
      </c>
      <c r="E2477">
        <v>-730300</v>
      </c>
      <c r="F2477" t="s">
        <v>1456</v>
      </c>
    </row>
    <row r="2478" spans="1:6" x14ac:dyDescent="0.35">
      <c r="A2478">
        <v>20291101</v>
      </c>
      <c r="B2478" t="s">
        <v>1205</v>
      </c>
      <c r="C2478">
        <v>5000</v>
      </c>
      <c r="D2478" t="s">
        <v>1131</v>
      </c>
      <c r="E2478">
        <v>512300</v>
      </c>
      <c r="F2478" t="s">
        <v>1456</v>
      </c>
    </row>
    <row r="2479" spans="1:6" x14ac:dyDescent="0.35">
      <c r="A2479">
        <v>20291101</v>
      </c>
      <c r="B2479" t="s">
        <v>1205</v>
      </c>
      <c r="C2479">
        <v>3900</v>
      </c>
      <c r="D2479" t="s">
        <v>1131</v>
      </c>
      <c r="E2479">
        <v>-730300</v>
      </c>
      <c r="F2479" t="s">
        <v>1456</v>
      </c>
    </row>
    <row r="2480" spans="1:6" x14ac:dyDescent="0.35">
      <c r="A2480">
        <v>20291101</v>
      </c>
      <c r="B2480" t="s">
        <v>1164</v>
      </c>
      <c r="C2480">
        <v>5000</v>
      </c>
      <c r="D2480" t="s">
        <v>1131</v>
      </c>
      <c r="E2480">
        <v>512300</v>
      </c>
      <c r="F2480" t="s">
        <v>1456</v>
      </c>
    </row>
    <row r="2481" spans="1:6" x14ac:dyDescent="0.35">
      <c r="A2481">
        <v>20291101</v>
      </c>
      <c r="B2481" t="s">
        <v>1164</v>
      </c>
      <c r="C2481">
        <v>3900</v>
      </c>
      <c r="D2481" t="s">
        <v>1131</v>
      </c>
      <c r="E2481">
        <v>-730300</v>
      </c>
      <c r="F2481" t="s">
        <v>1456</v>
      </c>
    </row>
    <row r="2482" spans="1:6" x14ac:dyDescent="0.35">
      <c r="A2482">
        <v>20291101</v>
      </c>
      <c r="B2482" t="s">
        <v>1169</v>
      </c>
      <c r="C2482">
        <v>5000</v>
      </c>
      <c r="D2482" t="s">
        <v>1131</v>
      </c>
      <c r="E2482">
        <v>512300</v>
      </c>
      <c r="F2482" t="s">
        <v>1456</v>
      </c>
    </row>
    <row r="2483" spans="1:6" x14ac:dyDescent="0.35">
      <c r="A2483">
        <v>20291101</v>
      </c>
      <c r="B2483" t="s">
        <v>1169</v>
      </c>
      <c r="C2483">
        <v>3900</v>
      </c>
      <c r="D2483" t="s">
        <v>1131</v>
      </c>
      <c r="E2483">
        <v>-730300</v>
      </c>
      <c r="F2483" t="s">
        <v>1456</v>
      </c>
    </row>
    <row r="2484" spans="1:6" x14ac:dyDescent="0.35">
      <c r="A2484">
        <v>20291101</v>
      </c>
      <c r="B2484" t="s">
        <v>1175</v>
      </c>
      <c r="C2484">
        <v>5000</v>
      </c>
      <c r="D2484" t="s">
        <v>1131</v>
      </c>
      <c r="E2484">
        <v>512300</v>
      </c>
      <c r="F2484" t="s">
        <v>1456</v>
      </c>
    </row>
    <row r="2485" spans="1:6" x14ac:dyDescent="0.35">
      <c r="A2485">
        <v>20291101</v>
      </c>
      <c r="B2485" t="s">
        <v>1175</v>
      </c>
      <c r="C2485">
        <v>3900</v>
      </c>
      <c r="D2485" t="s">
        <v>1131</v>
      </c>
      <c r="E2485">
        <v>-730300</v>
      </c>
      <c r="F2485" t="s">
        <v>1456</v>
      </c>
    </row>
    <row r="2486" spans="1:6" x14ac:dyDescent="0.35">
      <c r="A2486">
        <v>20291101</v>
      </c>
      <c r="B2486" t="s">
        <v>1130</v>
      </c>
      <c r="C2486">
        <v>5000</v>
      </c>
      <c r="D2486" t="s">
        <v>1131</v>
      </c>
      <c r="E2486">
        <v>512300</v>
      </c>
      <c r="F2486" t="s">
        <v>1456</v>
      </c>
    </row>
    <row r="2487" spans="1:6" x14ac:dyDescent="0.35">
      <c r="A2487">
        <v>20291101</v>
      </c>
      <c r="B2487" t="s">
        <v>1130</v>
      </c>
      <c r="C2487">
        <v>3900</v>
      </c>
      <c r="D2487" t="s">
        <v>1131</v>
      </c>
      <c r="E2487">
        <v>-730300</v>
      </c>
      <c r="F2487" t="s">
        <v>1456</v>
      </c>
    </row>
    <row r="2488" spans="1:6" x14ac:dyDescent="0.35">
      <c r="A2488">
        <v>20291101</v>
      </c>
      <c r="B2488" t="s">
        <v>1173</v>
      </c>
      <c r="C2488">
        <v>5000</v>
      </c>
      <c r="D2488" t="s">
        <v>1131</v>
      </c>
      <c r="E2488">
        <v>512300</v>
      </c>
      <c r="F2488" t="s">
        <v>1456</v>
      </c>
    </row>
    <row r="2489" spans="1:6" x14ac:dyDescent="0.35">
      <c r="A2489">
        <v>20291101</v>
      </c>
      <c r="B2489" t="s">
        <v>1173</v>
      </c>
      <c r="C2489">
        <v>3900</v>
      </c>
      <c r="D2489" t="s">
        <v>1131</v>
      </c>
      <c r="E2489">
        <v>-730300</v>
      </c>
      <c r="F2489" t="s">
        <v>1456</v>
      </c>
    </row>
    <row r="2490" spans="1:6" x14ac:dyDescent="0.35">
      <c r="A2490">
        <v>20291101</v>
      </c>
      <c r="B2490" t="s">
        <v>1155</v>
      </c>
      <c r="C2490">
        <v>5000</v>
      </c>
      <c r="D2490" t="s">
        <v>1131</v>
      </c>
      <c r="E2490">
        <v>512300</v>
      </c>
      <c r="F2490" t="s">
        <v>1456</v>
      </c>
    </row>
    <row r="2491" spans="1:6" x14ac:dyDescent="0.35">
      <c r="A2491">
        <v>20291101</v>
      </c>
      <c r="B2491" t="s">
        <v>1155</v>
      </c>
      <c r="C2491">
        <v>3900</v>
      </c>
      <c r="D2491" t="s">
        <v>1131</v>
      </c>
      <c r="E2491">
        <v>-730300</v>
      </c>
      <c r="F2491" t="s">
        <v>1456</v>
      </c>
    </row>
    <row r="2492" spans="1:6" x14ac:dyDescent="0.35">
      <c r="A2492">
        <v>20291101</v>
      </c>
      <c r="B2492" t="s">
        <v>1138</v>
      </c>
      <c r="C2492">
        <v>5000</v>
      </c>
      <c r="D2492" t="s">
        <v>1131</v>
      </c>
      <c r="E2492">
        <v>512300</v>
      </c>
      <c r="F2492" t="s">
        <v>1456</v>
      </c>
    </row>
    <row r="2493" spans="1:6" x14ac:dyDescent="0.35">
      <c r="A2493">
        <v>20291101</v>
      </c>
      <c r="B2493" t="s">
        <v>1138</v>
      </c>
      <c r="C2493">
        <v>3900</v>
      </c>
      <c r="D2493" t="s">
        <v>1131</v>
      </c>
      <c r="E2493">
        <v>-730300</v>
      </c>
      <c r="F2493" t="s">
        <v>1456</v>
      </c>
    </row>
    <row r="2494" spans="1:6" x14ac:dyDescent="0.35">
      <c r="A2494">
        <v>20291201</v>
      </c>
      <c r="B2494" t="s">
        <v>1150</v>
      </c>
      <c r="C2494">
        <v>5000</v>
      </c>
      <c r="D2494" t="s">
        <v>1131</v>
      </c>
      <c r="E2494">
        <v>512300</v>
      </c>
      <c r="F2494" t="s">
        <v>1456</v>
      </c>
    </row>
    <row r="2495" spans="1:6" x14ac:dyDescent="0.35">
      <c r="A2495">
        <v>20291201</v>
      </c>
      <c r="B2495" t="s">
        <v>1150</v>
      </c>
      <c r="C2495">
        <v>3900</v>
      </c>
      <c r="D2495" t="s">
        <v>1131</v>
      </c>
      <c r="E2495">
        <v>-730300</v>
      </c>
      <c r="F2495" t="s">
        <v>1456</v>
      </c>
    </row>
    <row r="2496" spans="1:6" x14ac:dyDescent="0.35">
      <c r="A2496">
        <v>20291201</v>
      </c>
      <c r="B2496" t="s">
        <v>1158</v>
      </c>
      <c r="C2496">
        <v>5000</v>
      </c>
      <c r="D2496" t="s">
        <v>1131</v>
      </c>
      <c r="E2496">
        <v>512300</v>
      </c>
      <c r="F2496" t="s">
        <v>1456</v>
      </c>
    </row>
    <row r="2497" spans="1:6" x14ac:dyDescent="0.35">
      <c r="A2497">
        <v>20291201</v>
      </c>
      <c r="B2497" t="s">
        <v>1158</v>
      </c>
      <c r="C2497">
        <v>3900</v>
      </c>
      <c r="D2497" t="s">
        <v>1131</v>
      </c>
      <c r="E2497">
        <v>-730300</v>
      </c>
      <c r="F2497" t="s">
        <v>1456</v>
      </c>
    </row>
    <row r="2498" spans="1:6" x14ac:dyDescent="0.35">
      <c r="A2498">
        <v>20291201</v>
      </c>
      <c r="B2498" t="s">
        <v>1205</v>
      </c>
      <c r="C2498">
        <v>5000</v>
      </c>
      <c r="D2498" t="s">
        <v>1131</v>
      </c>
      <c r="E2498">
        <v>512300</v>
      </c>
      <c r="F2498" t="s">
        <v>1456</v>
      </c>
    </row>
    <row r="2499" spans="1:6" x14ac:dyDescent="0.35">
      <c r="A2499">
        <v>20291201</v>
      </c>
      <c r="B2499" t="s">
        <v>1205</v>
      </c>
      <c r="C2499">
        <v>3900</v>
      </c>
      <c r="D2499" t="s">
        <v>1131</v>
      </c>
      <c r="E2499">
        <v>-730300</v>
      </c>
      <c r="F2499" t="s">
        <v>1456</v>
      </c>
    </row>
    <row r="2500" spans="1:6" x14ac:dyDescent="0.35">
      <c r="A2500">
        <v>20291201</v>
      </c>
      <c r="B2500" t="s">
        <v>1164</v>
      </c>
      <c r="C2500">
        <v>5000</v>
      </c>
      <c r="D2500" t="s">
        <v>1131</v>
      </c>
      <c r="E2500">
        <v>512300</v>
      </c>
      <c r="F2500" t="s">
        <v>1456</v>
      </c>
    </row>
    <row r="2501" spans="1:6" x14ac:dyDescent="0.35">
      <c r="A2501">
        <v>20291201</v>
      </c>
      <c r="B2501" t="s">
        <v>1164</v>
      </c>
      <c r="C2501">
        <v>3900</v>
      </c>
      <c r="D2501" t="s">
        <v>1131</v>
      </c>
      <c r="E2501">
        <v>-730300</v>
      </c>
      <c r="F2501" t="s">
        <v>1456</v>
      </c>
    </row>
    <row r="2502" spans="1:6" x14ac:dyDescent="0.35">
      <c r="A2502">
        <v>20291201</v>
      </c>
      <c r="B2502" t="s">
        <v>1169</v>
      </c>
      <c r="C2502">
        <v>5000</v>
      </c>
      <c r="D2502" t="s">
        <v>1131</v>
      </c>
      <c r="E2502">
        <v>512300</v>
      </c>
      <c r="F2502" t="s">
        <v>1456</v>
      </c>
    </row>
    <row r="2503" spans="1:6" x14ac:dyDescent="0.35">
      <c r="A2503">
        <v>20291201</v>
      </c>
      <c r="B2503" t="s">
        <v>1169</v>
      </c>
      <c r="C2503">
        <v>3900</v>
      </c>
      <c r="D2503" t="s">
        <v>1131</v>
      </c>
      <c r="E2503">
        <v>-730300</v>
      </c>
      <c r="F2503" t="s">
        <v>1456</v>
      </c>
    </row>
    <row r="2504" spans="1:6" x14ac:dyDescent="0.35">
      <c r="A2504">
        <v>20291201</v>
      </c>
      <c r="B2504" t="s">
        <v>1175</v>
      </c>
      <c r="C2504">
        <v>5000</v>
      </c>
      <c r="D2504" t="s">
        <v>1131</v>
      </c>
      <c r="E2504">
        <v>512300</v>
      </c>
      <c r="F2504" t="s">
        <v>1456</v>
      </c>
    </row>
    <row r="2505" spans="1:6" x14ac:dyDescent="0.35">
      <c r="A2505">
        <v>20291201</v>
      </c>
      <c r="B2505" t="s">
        <v>1175</v>
      </c>
      <c r="C2505">
        <v>3900</v>
      </c>
      <c r="D2505" t="s">
        <v>1131</v>
      </c>
      <c r="E2505">
        <v>-730300</v>
      </c>
      <c r="F2505" t="s">
        <v>1456</v>
      </c>
    </row>
    <row r="2506" spans="1:6" x14ac:dyDescent="0.35">
      <c r="A2506">
        <v>20291201</v>
      </c>
      <c r="B2506" t="s">
        <v>1130</v>
      </c>
      <c r="C2506">
        <v>5000</v>
      </c>
      <c r="D2506" t="s">
        <v>1131</v>
      </c>
      <c r="E2506">
        <v>512300</v>
      </c>
      <c r="F2506" t="s">
        <v>1456</v>
      </c>
    </row>
    <row r="2507" spans="1:6" x14ac:dyDescent="0.35">
      <c r="A2507">
        <v>20291201</v>
      </c>
      <c r="B2507" t="s">
        <v>1130</v>
      </c>
      <c r="C2507">
        <v>3900</v>
      </c>
      <c r="D2507" t="s">
        <v>1131</v>
      </c>
      <c r="E2507">
        <v>-730300</v>
      </c>
      <c r="F2507" t="s">
        <v>1456</v>
      </c>
    </row>
    <row r="2508" spans="1:6" x14ac:dyDescent="0.35">
      <c r="A2508">
        <v>20291201</v>
      </c>
      <c r="B2508" t="s">
        <v>1173</v>
      </c>
      <c r="C2508">
        <v>5000</v>
      </c>
      <c r="D2508" t="s">
        <v>1131</v>
      </c>
      <c r="E2508">
        <v>512300</v>
      </c>
      <c r="F2508" t="s">
        <v>1456</v>
      </c>
    </row>
    <row r="2509" spans="1:6" x14ac:dyDescent="0.35">
      <c r="A2509">
        <v>20291201</v>
      </c>
      <c r="B2509" t="s">
        <v>1173</v>
      </c>
      <c r="C2509">
        <v>3900</v>
      </c>
      <c r="D2509" t="s">
        <v>1131</v>
      </c>
      <c r="E2509">
        <v>-730300</v>
      </c>
      <c r="F2509" t="s">
        <v>1456</v>
      </c>
    </row>
    <row r="2510" spans="1:6" x14ac:dyDescent="0.35">
      <c r="A2510">
        <v>20291201</v>
      </c>
      <c r="B2510" t="s">
        <v>1155</v>
      </c>
      <c r="C2510">
        <v>5000</v>
      </c>
      <c r="D2510" t="s">
        <v>1131</v>
      </c>
      <c r="E2510">
        <v>512300</v>
      </c>
      <c r="F2510" t="s">
        <v>1456</v>
      </c>
    </row>
    <row r="2511" spans="1:6" x14ac:dyDescent="0.35">
      <c r="A2511">
        <v>20291201</v>
      </c>
      <c r="B2511" t="s">
        <v>1155</v>
      </c>
      <c r="C2511">
        <v>3900</v>
      </c>
      <c r="D2511" t="s">
        <v>1131</v>
      </c>
      <c r="E2511">
        <v>-730300</v>
      </c>
      <c r="F2511" t="s">
        <v>1456</v>
      </c>
    </row>
    <row r="2512" spans="1:6" x14ac:dyDescent="0.35">
      <c r="A2512">
        <v>20291201</v>
      </c>
      <c r="B2512" t="s">
        <v>1138</v>
      </c>
      <c r="C2512">
        <v>5000</v>
      </c>
      <c r="D2512" t="s">
        <v>1131</v>
      </c>
      <c r="E2512">
        <v>512300</v>
      </c>
      <c r="F2512" t="s">
        <v>1456</v>
      </c>
    </row>
    <row r="2513" spans="1:6" x14ac:dyDescent="0.35">
      <c r="A2513">
        <v>20291201</v>
      </c>
      <c r="B2513" t="s">
        <v>1138</v>
      </c>
      <c r="C2513">
        <v>3900</v>
      </c>
      <c r="D2513" t="s">
        <v>1131</v>
      </c>
      <c r="E2513">
        <v>-730300</v>
      </c>
      <c r="F2513" t="s">
        <v>1456</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64748B"/>
  </sheetPr>
  <dimension ref="A1:I1345"/>
  <sheetViews>
    <sheetView zoomScale="85" workbookViewId="0"/>
  </sheetViews>
  <sheetFormatPr defaultRowHeight="14.5" x14ac:dyDescent="0.35"/>
  <cols>
    <col min="1" max="1" width="13" customWidth="1"/>
    <col min="2" max="2" width="22" customWidth="1"/>
    <col min="3" max="4" width="11" customWidth="1"/>
    <col min="5" max="5" width="16" customWidth="1"/>
    <col min="6" max="6" width="11" customWidth="1"/>
    <col min="7" max="7" width="16" customWidth="1"/>
    <col min="8" max="8" width="19" customWidth="1"/>
    <col min="9" max="9" width="34" customWidth="1"/>
  </cols>
  <sheetData>
    <row r="1" spans="1:9" ht="20" customHeight="1" x14ac:dyDescent="0.35">
      <c r="A1" s="2" t="s">
        <v>1447</v>
      </c>
      <c r="B1" s="2" t="s">
        <v>1385</v>
      </c>
      <c r="C1" s="2" t="s">
        <v>625</v>
      </c>
      <c r="D1" s="2" t="s">
        <v>1125</v>
      </c>
      <c r="E1" s="2" t="s">
        <v>1457</v>
      </c>
      <c r="F1" s="2" t="s">
        <v>1458</v>
      </c>
      <c r="G1" s="2" t="s">
        <v>1459</v>
      </c>
      <c r="H1" s="2" t="s">
        <v>1460</v>
      </c>
      <c r="I1" s="2" t="s">
        <v>1461</v>
      </c>
    </row>
    <row r="2" spans="1:9" x14ac:dyDescent="0.35">
      <c r="A2">
        <v>20260101</v>
      </c>
      <c r="B2" t="s">
        <v>1150</v>
      </c>
      <c r="C2">
        <v>5000</v>
      </c>
      <c r="D2" t="s">
        <v>1131</v>
      </c>
      <c r="E2">
        <v>469200</v>
      </c>
      <c r="F2" t="s">
        <v>1451</v>
      </c>
      <c r="G2">
        <v>0.75</v>
      </c>
      <c r="H2" t="s">
        <v>1462</v>
      </c>
      <c r="I2" t="s">
        <v>1463</v>
      </c>
    </row>
    <row r="3" spans="1:9" x14ac:dyDescent="0.35">
      <c r="A3">
        <v>20260101</v>
      </c>
      <c r="B3" t="s">
        <v>1150</v>
      </c>
      <c r="C3">
        <v>5400</v>
      </c>
      <c r="D3" t="s">
        <v>1131</v>
      </c>
      <c r="E3">
        <v>66157.2</v>
      </c>
      <c r="F3" t="s">
        <v>1451</v>
      </c>
      <c r="G3">
        <v>0.75</v>
      </c>
      <c r="H3" t="s">
        <v>1462</v>
      </c>
      <c r="I3" t="s">
        <v>1463</v>
      </c>
    </row>
    <row r="4" spans="1:9" x14ac:dyDescent="0.35">
      <c r="A4">
        <v>20260101</v>
      </c>
      <c r="B4" t="s">
        <v>1150</v>
      </c>
      <c r="C4">
        <v>6300</v>
      </c>
      <c r="D4" t="s">
        <v>1131</v>
      </c>
      <c r="E4">
        <v>86700</v>
      </c>
      <c r="F4" t="s">
        <v>1451</v>
      </c>
      <c r="G4">
        <v>0.75</v>
      </c>
      <c r="H4" t="s">
        <v>1462</v>
      </c>
      <c r="I4" t="s">
        <v>1463</v>
      </c>
    </row>
    <row r="5" spans="1:9" x14ac:dyDescent="0.35">
      <c r="A5">
        <v>20260101</v>
      </c>
      <c r="B5" t="s">
        <v>1150</v>
      </c>
      <c r="C5">
        <v>3900</v>
      </c>
      <c r="D5" t="s">
        <v>1131</v>
      </c>
      <c r="E5">
        <v>-663000</v>
      </c>
      <c r="F5" t="s">
        <v>1451</v>
      </c>
      <c r="G5">
        <v>0.75</v>
      </c>
      <c r="H5" t="s">
        <v>1462</v>
      </c>
      <c r="I5" t="s">
        <v>1463</v>
      </c>
    </row>
    <row r="6" spans="1:9" x14ac:dyDescent="0.35">
      <c r="A6">
        <v>20260101</v>
      </c>
      <c r="B6" t="s">
        <v>1272</v>
      </c>
      <c r="C6">
        <v>5100</v>
      </c>
      <c r="D6" t="s">
        <v>485</v>
      </c>
      <c r="E6">
        <v>91800</v>
      </c>
      <c r="F6" t="s">
        <v>1451</v>
      </c>
      <c r="G6">
        <v>0.75</v>
      </c>
      <c r="H6" t="s">
        <v>1462</v>
      </c>
      <c r="I6" t="s">
        <v>1463</v>
      </c>
    </row>
    <row r="7" spans="1:9" x14ac:dyDescent="0.35">
      <c r="A7">
        <v>20260101</v>
      </c>
      <c r="B7" t="s">
        <v>1272</v>
      </c>
      <c r="C7">
        <v>3400</v>
      </c>
      <c r="D7" t="s">
        <v>485</v>
      </c>
      <c r="E7">
        <v>-91800</v>
      </c>
      <c r="F7" t="s">
        <v>1451</v>
      </c>
      <c r="G7">
        <v>0.75</v>
      </c>
      <c r="H7" t="s">
        <v>1462</v>
      </c>
      <c r="I7" t="s">
        <v>1463</v>
      </c>
    </row>
    <row r="8" spans="1:9" x14ac:dyDescent="0.35">
      <c r="A8">
        <v>20260101</v>
      </c>
      <c r="B8" t="s">
        <v>1158</v>
      </c>
      <c r="C8">
        <v>5000</v>
      </c>
      <c r="D8" t="s">
        <v>1131</v>
      </c>
      <c r="E8">
        <v>469200</v>
      </c>
      <c r="F8" t="s">
        <v>1451</v>
      </c>
      <c r="G8">
        <v>0.75</v>
      </c>
      <c r="H8" t="s">
        <v>1462</v>
      </c>
      <c r="I8" t="s">
        <v>1463</v>
      </c>
    </row>
    <row r="9" spans="1:9" x14ac:dyDescent="0.35">
      <c r="A9">
        <v>20260101</v>
      </c>
      <c r="B9" t="s">
        <v>1158</v>
      </c>
      <c r="C9">
        <v>5400</v>
      </c>
      <c r="D9" t="s">
        <v>1131</v>
      </c>
      <c r="E9">
        <v>66157.2</v>
      </c>
      <c r="F9" t="s">
        <v>1451</v>
      </c>
      <c r="G9">
        <v>0.75</v>
      </c>
      <c r="H9" t="s">
        <v>1462</v>
      </c>
      <c r="I9" t="s">
        <v>1463</v>
      </c>
    </row>
    <row r="10" spans="1:9" x14ac:dyDescent="0.35">
      <c r="A10">
        <v>20260101</v>
      </c>
      <c r="B10" t="s">
        <v>1158</v>
      </c>
      <c r="C10">
        <v>6300</v>
      </c>
      <c r="D10" t="s">
        <v>1131</v>
      </c>
      <c r="E10">
        <v>86700</v>
      </c>
      <c r="F10" t="s">
        <v>1451</v>
      </c>
      <c r="G10">
        <v>0.75</v>
      </c>
      <c r="H10" t="s">
        <v>1462</v>
      </c>
      <c r="I10" t="s">
        <v>1463</v>
      </c>
    </row>
    <row r="11" spans="1:9" x14ac:dyDescent="0.35">
      <c r="A11">
        <v>20260101</v>
      </c>
      <c r="B11" t="s">
        <v>1158</v>
      </c>
      <c r="C11">
        <v>3900</v>
      </c>
      <c r="D11" t="s">
        <v>1131</v>
      </c>
      <c r="E11">
        <v>-663000</v>
      </c>
      <c r="F11" t="s">
        <v>1451</v>
      </c>
      <c r="G11">
        <v>0.75</v>
      </c>
      <c r="H11" t="s">
        <v>1462</v>
      </c>
      <c r="I11" t="s">
        <v>1463</v>
      </c>
    </row>
    <row r="12" spans="1:9" x14ac:dyDescent="0.35">
      <c r="A12">
        <v>20260101</v>
      </c>
      <c r="B12" t="s">
        <v>1243</v>
      </c>
      <c r="C12">
        <v>5100</v>
      </c>
      <c r="D12" t="s">
        <v>485</v>
      </c>
      <c r="E12">
        <v>91800</v>
      </c>
      <c r="F12" t="s">
        <v>1451</v>
      </c>
      <c r="G12">
        <v>0.75</v>
      </c>
      <c r="H12" t="s">
        <v>1462</v>
      </c>
      <c r="I12" t="s">
        <v>1463</v>
      </c>
    </row>
    <row r="13" spans="1:9" x14ac:dyDescent="0.35">
      <c r="A13">
        <v>20260101</v>
      </c>
      <c r="B13" t="s">
        <v>1243</v>
      </c>
      <c r="C13">
        <v>3400</v>
      </c>
      <c r="D13" t="s">
        <v>485</v>
      </c>
      <c r="E13">
        <v>-91800</v>
      </c>
      <c r="F13" t="s">
        <v>1451</v>
      </c>
      <c r="G13">
        <v>0.75</v>
      </c>
      <c r="H13" t="s">
        <v>1462</v>
      </c>
      <c r="I13" t="s">
        <v>1463</v>
      </c>
    </row>
    <row r="14" spans="1:9" x14ac:dyDescent="0.35">
      <c r="A14">
        <v>20260101</v>
      </c>
      <c r="B14" t="s">
        <v>1205</v>
      </c>
      <c r="C14">
        <v>5000</v>
      </c>
      <c r="D14" t="s">
        <v>1131</v>
      </c>
      <c r="E14">
        <v>469200</v>
      </c>
      <c r="F14" t="s">
        <v>1451</v>
      </c>
      <c r="G14">
        <v>0.75</v>
      </c>
      <c r="H14" t="s">
        <v>1462</v>
      </c>
      <c r="I14" t="s">
        <v>1463</v>
      </c>
    </row>
    <row r="15" spans="1:9" x14ac:dyDescent="0.35">
      <c r="A15">
        <v>20260101</v>
      </c>
      <c r="B15" t="s">
        <v>1205</v>
      </c>
      <c r="C15">
        <v>5400</v>
      </c>
      <c r="D15" t="s">
        <v>1131</v>
      </c>
      <c r="E15">
        <v>66157.2</v>
      </c>
      <c r="F15" t="s">
        <v>1451</v>
      </c>
      <c r="G15">
        <v>0.75</v>
      </c>
      <c r="H15" t="s">
        <v>1462</v>
      </c>
      <c r="I15" t="s">
        <v>1463</v>
      </c>
    </row>
    <row r="16" spans="1:9" x14ac:dyDescent="0.35">
      <c r="A16">
        <v>20260101</v>
      </c>
      <c r="B16" t="s">
        <v>1205</v>
      </c>
      <c r="C16">
        <v>6300</v>
      </c>
      <c r="D16" t="s">
        <v>1131</v>
      </c>
      <c r="E16">
        <v>86700</v>
      </c>
      <c r="F16" t="s">
        <v>1451</v>
      </c>
      <c r="G16">
        <v>0.75</v>
      </c>
      <c r="H16" t="s">
        <v>1462</v>
      </c>
      <c r="I16" t="s">
        <v>1463</v>
      </c>
    </row>
    <row r="17" spans="1:9" x14ac:dyDescent="0.35">
      <c r="A17">
        <v>20260101</v>
      </c>
      <c r="B17" t="s">
        <v>1205</v>
      </c>
      <c r="C17">
        <v>3900</v>
      </c>
      <c r="D17" t="s">
        <v>1131</v>
      </c>
      <c r="E17">
        <v>-663000</v>
      </c>
      <c r="F17" t="s">
        <v>1451</v>
      </c>
      <c r="G17">
        <v>0.75</v>
      </c>
      <c r="H17" t="s">
        <v>1462</v>
      </c>
      <c r="I17" t="s">
        <v>1463</v>
      </c>
    </row>
    <row r="18" spans="1:9" x14ac:dyDescent="0.35">
      <c r="A18">
        <v>20260101</v>
      </c>
      <c r="B18" t="s">
        <v>1257</v>
      </c>
      <c r="C18">
        <v>5100</v>
      </c>
      <c r="D18" t="s">
        <v>485</v>
      </c>
      <c r="E18">
        <v>91800</v>
      </c>
      <c r="F18" t="s">
        <v>1451</v>
      </c>
      <c r="G18">
        <v>0.75</v>
      </c>
      <c r="H18" t="s">
        <v>1462</v>
      </c>
      <c r="I18" t="s">
        <v>1463</v>
      </c>
    </row>
    <row r="19" spans="1:9" x14ac:dyDescent="0.35">
      <c r="A19">
        <v>20260101</v>
      </c>
      <c r="B19" t="s">
        <v>1257</v>
      </c>
      <c r="C19">
        <v>3400</v>
      </c>
      <c r="D19" t="s">
        <v>485</v>
      </c>
      <c r="E19">
        <v>-91800</v>
      </c>
      <c r="F19" t="s">
        <v>1451</v>
      </c>
      <c r="G19">
        <v>0.75</v>
      </c>
      <c r="H19" t="s">
        <v>1462</v>
      </c>
      <c r="I19" t="s">
        <v>1463</v>
      </c>
    </row>
    <row r="20" spans="1:9" x14ac:dyDescent="0.35">
      <c r="A20">
        <v>20260101</v>
      </c>
      <c r="B20" t="s">
        <v>1164</v>
      </c>
      <c r="C20">
        <v>5000</v>
      </c>
      <c r="D20" t="s">
        <v>1131</v>
      </c>
      <c r="E20">
        <v>469200</v>
      </c>
      <c r="F20" t="s">
        <v>1451</v>
      </c>
      <c r="G20">
        <v>0.75</v>
      </c>
      <c r="H20" t="s">
        <v>1462</v>
      </c>
      <c r="I20" t="s">
        <v>1463</v>
      </c>
    </row>
    <row r="21" spans="1:9" x14ac:dyDescent="0.35">
      <c r="A21">
        <v>20260101</v>
      </c>
      <c r="B21" t="s">
        <v>1164</v>
      </c>
      <c r="C21">
        <v>5400</v>
      </c>
      <c r="D21" t="s">
        <v>1131</v>
      </c>
      <c r="E21">
        <v>66157.2</v>
      </c>
      <c r="F21" t="s">
        <v>1451</v>
      </c>
      <c r="G21">
        <v>0.75</v>
      </c>
      <c r="H21" t="s">
        <v>1462</v>
      </c>
      <c r="I21" t="s">
        <v>1463</v>
      </c>
    </row>
    <row r="22" spans="1:9" x14ac:dyDescent="0.35">
      <c r="A22">
        <v>20260101</v>
      </c>
      <c r="B22" t="s">
        <v>1164</v>
      </c>
      <c r="C22">
        <v>6300</v>
      </c>
      <c r="D22" t="s">
        <v>1131</v>
      </c>
      <c r="E22">
        <v>86700</v>
      </c>
      <c r="F22" t="s">
        <v>1451</v>
      </c>
      <c r="G22">
        <v>0.75</v>
      </c>
      <c r="H22" t="s">
        <v>1462</v>
      </c>
      <c r="I22" t="s">
        <v>1463</v>
      </c>
    </row>
    <row r="23" spans="1:9" x14ac:dyDescent="0.35">
      <c r="A23">
        <v>20260101</v>
      </c>
      <c r="B23" t="s">
        <v>1164</v>
      </c>
      <c r="C23">
        <v>3900</v>
      </c>
      <c r="D23" t="s">
        <v>1131</v>
      </c>
      <c r="E23">
        <v>-663000</v>
      </c>
      <c r="F23" t="s">
        <v>1451</v>
      </c>
      <c r="G23">
        <v>0.75</v>
      </c>
      <c r="H23" t="s">
        <v>1462</v>
      </c>
      <c r="I23" t="s">
        <v>1463</v>
      </c>
    </row>
    <row r="24" spans="1:9" x14ac:dyDescent="0.35">
      <c r="A24">
        <v>20260101</v>
      </c>
      <c r="B24" t="s">
        <v>1249</v>
      </c>
      <c r="C24">
        <v>5100</v>
      </c>
      <c r="D24" t="s">
        <v>485</v>
      </c>
      <c r="E24">
        <v>91800</v>
      </c>
      <c r="F24" t="s">
        <v>1451</v>
      </c>
      <c r="G24">
        <v>0.75</v>
      </c>
      <c r="H24" t="s">
        <v>1462</v>
      </c>
      <c r="I24" t="s">
        <v>1463</v>
      </c>
    </row>
    <row r="25" spans="1:9" x14ac:dyDescent="0.35">
      <c r="A25">
        <v>20260101</v>
      </c>
      <c r="B25" t="s">
        <v>1249</v>
      </c>
      <c r="C25">
        <v>3400</v>
      </c>
      <c r="D25" t="s">
        <v>485</v>
      </c>
      <c r="E25">
        <v>-91800</v>
      </c>
      <c r="F25" t="s">
        <v>1451</v>
      </c>
      <c r="G25">
        <v>0.75</v>
      </c>
      <c r="H25" t="s">
        <v>1462</v>
      </c>
      <c r="I25" t="s">
        <v>1463</v>
      </c>
    </row>
    <row r="26" spans="1:9" x14ac:dyDescent="0.35">
      <c r="A26">
        <v>20260101</v>
      </c>
      <c r="B26" t="s">
        <v>1169</v>
      </c>
      <c r="C26">
        <v>5000</v>
      </c>
      <c r="D26" t="s">
        <v>1131</v>
      </c>
      <c r="E26">
        <v>469200</v>
      </c>
      <c r="F26" t="s">
        <v>1451</v>
      </c>
      <c r="G26">
        <v>0.75</v>
      </c>
      <c r="H26" t="s">
        <v>1462</v>
      </c>
      <c r="I26" t="s">
        <v>1463</v>
      </c>
    </row>
    <row r="27" spans="1:9" x14ac:dyDescent="0.35">
      <c r="A27">
        <v>20260101</v>
      </c>
      <c r="B27" t="s">
        <v>1169</v>
      </c>
      <c r="C27">
        <v>5400</v>
      </c>
      <c r="D27" t="s">
        <v>1131</v>
      </c>
      <c r="E27">
        <v>66157.2</v>
      </c>
      <c r="F27" t="s">
        <v>1451</v>
      </c>
      <c r="G27">
        <v>0.75</v>
      </c>
      <c r="H27" t="s">
        <v>1462</v>
      </c>
      <c r="I27" t="s">
        <v>1463</v>
      </c>
    </row>
    <row r="28" spans="1:9" x14ac:dyDescent="0.35">
      <c r="A28">
        <v>20260101</v>
      </c>
      <c r="B28" t="s">
        <v>1169</v>
      </c>
      <c r="C28">
        <v>6300</v>
      </c>
      <c r="D28" t="s">
        <v>1131</v>
      </c>
      <c r="E28">
        <v>86700</v>
      </c>
      <c r="F28" t="s">
        <v>1451</v>
      </c>
      <c r="G28">
        <v>0.75</v>
      </c>
      <c r="H28" t="s">
        <v>1462</v>
      </c>
      <c r="I28" t="s">
        <v>1463</v>
      </c>
    </row>
    <row r="29" spans="1:9" x14ac:dyDescent="0.35">
      <c r="A29">
        <v>20260101</v>
      </c>
      <c r="B29" t="s">
        <v>1169</v>
      </c>
      <c r="C29">
        <v>3900</v>
      </c>
      <c r="D29" t="s">
        <v>1131</v>
      </c>
      <c r="E29">
        <v>-663000</v>
      </c>
      <c r="F29" t="s">
        <v>1451</v>
      </c>
      <c r="G29">
        <v>0.75</v>
      </c>
      <c r="H29" t="s">
        <v>1462</v>
      </c>
      <c r="I29" t="s">
        <v>1463</v>
      </c>
    </row>
    <row r="30" spans="1:9" x14ac:dyDescent="0.35">
      <c r="A30">
        <v>20260101</v>
      </c>
      <c r="B30" t="s">
        <v>1260</v>
      </c>
      <c r="C30">
        <v>5100</v>
      </c>
      <c r="D30" t="s">
        <v>485</v>
      </c>
      <c r="E30">
        <v>91800</v>
      </c>
      <c r="F30" t="s">
        <v>1451</v>
      </c>
      <c r="G30">
        <v>0.75</v>
      </c>
      <c r="H30" t="s">
        <v>1462</v>
      </c>
      <c r="I30" t="s">
        <v>1463</v>
      </c>
    </row>
    <row r="31" spans="1:9" x14ac:dyDescent="0.35">
      <c r="A31">
        <v>20260101</v>
      </c>
      <c r="B31" t="s">
        <v>1260</v>
      </c>
      <c r="C31">
        <v>3400</v>
      </c>
      <c r="D31" t="s">
        <v>485</v>
      </c>
      <c r="E31">
        <v>-91800</v>
      </c>
      <c r="F31" t="s">
        <v>1451</v>
      </c>
      <c r="G31">
        <v>0.75</v>
      </c>
      <c r="H31" t="s">
        <v>1462</v>
      </c>
      <c r="I31" t="s">
        <v>1463</v>
      </c>
    </row>
    <row r="32" spans="1:9" x14ac:dyDescent="0.35">
      <c r="A32">
        <v>20260101</v>
      </c>
      <c r="B32" t="s">
        <v>1175</v>
      </c>
      <c r="C32">
        <v>5000</v>
      </c>
      <c r="D32" t="s">
        <v>1131</v>
      </c>
      <c r="E32">
        <v>469200</v>
      </c>
      <c r="F32" t="s">
        <v>1451</v>
      </c>
      <c r="G32">
        <v>0.75</v>
      </c>
      <c r="H32" t="s">
        <v>1462</v>
      </c>
      <c r="I32" t="s">
        <v>1463</v>
      </c>
    </row>
    <row r="33" spans="1:9" x14ac:dyDescent="0.35">
      <c r="A33">
        <v>20260101</v>
      </c>
      <c r="B33" t="s">
        <v>1175</v>
      </c>
      <c r="C33">
        <v>5400</v>
      </c>
      <c r="D33" t="s">
        <v>1131</v>
      </c>
      <c r="E33">
        <v>66157.2</v>
      </c>
      <c r="F33" t="s">
        <v>1451</v>
      </c>
      <c r="G33">
        <v>0.75</v>
      </c>
      <c r="H33" t="s">
        <v>1462</v>
      </c>
      <c r="I33" t="s">
        <v>1463</v>
      </c>
    </row>
    <row r="34" spans="1:9" x14ac:dyDescent="0.35">
      <c r="A34">
        <v>20260101</v>
      </c>
      <c r="B34" t="s">
        <v>1175</v>
      </c>
      <c r="C34">
        <v>6300</v>
      </c>
      <c r="D34" t="s">
        <v>1131</v>
      </c>
      <c r="E34">
        <v>86700</v>
      </c>
      <c r="F34" t="s">
        <v>1451</v>
      </c>
      <c r="G34">
        <v>0.75</v>
      </c>
      <c r="H34" t="s">
        <v>1462</v>
      </c>
      <c r="I34" t="s">
        <v>1463</v>
      </c>
    </row>
    <row r="35" spans="1:9" x14ac:dyDescent="0.35">
      <c r="A35">
        <v>20260101</v>
      </c>
      <c r="B35" t="s">
        <v>1175</v>
      </c>
      <c r="C35">
        <v>3900</v>
      </c>
      <c r="D35" t="s">
        <v>1131</v>
      </c>
      <c r="E35">
        <v>-663000</v>
      </c>
      <c r="F35" t="s">
        <v>1451</v>
      </c>
      <c r="G35">
        <v>0.75</v>
      </c>
      <c r="H35" t="s">
        <v>1462</v>
      </c>
      <c r="I35" t="s">
        <v>1463</v>
      </c>
    </row>
    <row r="36" spans="1:9" x14ac:dyDescent="0.35">
      <c r="A36">
        <v>20260101</v>
      </c>
      <c r="B36" t="s">
        <v>1247</v>
      </c>
      <c r="C36">
        <v>5100</v>
      </c>
      <c r="D36" t="s">
        <v>485</v>
      </c>
      <c r="E36">
        <v>91800</v>
      </c>
      <c r="F36" t="s">
        <v>1451</v>
      </c>
      <c r="G36">
        <v>0.75</v>
      </c>
      <c r="H36" t="s">
        <v>1462</v>
      </c>
      <c r="I36" t="s">
        <v>1463</v>
      </c>
    </row>
    <row r="37" spans="1:9" x14ac:dyDescent="0.35">
      <c r="A37">
        <v>20260101</v>
      </c>
      <c r="B37" t="s">
        <v>1247</v>
      </c>
      <c r="C37">
        <v>3400</v>
      </c>
      <c r="D37" t="s">
        <v>485</v>
      </c>
      <c r="E37">
        <v>-91800</v>
      </c>
      <c r="F37" t="s">
        <v>1451</v>
      </c>
      <c r="G37">
        <v>0.75</v>
      </c>
      <c r="H37" t="s">
        <v>1462</v>
      </c>
      <c r="I37" t="s">
        <v>1463</v>
      </c>
    </row>
    <row r="38" spans="1:9" x14ac:dyDescent="0.35">
      <c r="A38">
        <v>20260101</v>
      </c>
      <c r="B38" t="s">
        <v>1130</v>
      </c>
      <c r="C38">
        <v>5000</v>
      </c>
      <c r="D38" t="s">
        <v>1131</v>
      </c>
      <c r="E38">
        <v>469200</v>
      </c>
      <c r="F38" t="s">
        <v>1451</v>
      </c>
      <c r="G38">
        <v>0.75</v>
      </c>
      <c r="H38" t="s">
        <v>1462</v>
      </c>
      <c r="I38" t="s">
        <v>1463</v>
      </c>
    </row>
    <row r="39" spans="1:9" x14ac:dyDescent="0.35">
      <c r="A39">
        <v>20260101</v>
      </c>
      <c r="B39" t="s">
        <v>1130</v>
      </c>
      <c r="C39">
        <v>5400</v>
      </c>
      <c r="D39" t="s">
        <v>1131</v>
      </c>
      <c r="E39">
        <v>66157.2</v>
      </c>
      <c r="F39" t="s">
        <v>1451</v>
      </c>
      <c r="G39">
        <v>0.75</v>
      </c>
      <c r="H39" t="s">
        <v>1462</v>
      </c>
      <c r="I39" t="s">
        <v>1463</v>
      </c>
    </row>
    <row r="40" spans="1:9" x14ac:dyDescent="0.35">
      <c r="A40">
        <v>20260101</v>
      </c>
      <c r="B40" t="s">
        <v>1130</v>
      </c>
      <c r="C40">
        <v>6300</v>
      </c>
      <c r="D40" t="s">
        <v>1131</v>
      </c>
      <c r="E40">
        <v>86700</v>
      </c>
      <c r="F40" t="s">
        <v>1451</v>
      </c>
      <c r="G40">
        <v>0.75</v>
      </c>
      <c r="H40" t="s">
        <v>1462</v>
      </c>
      <c r="I40" t="s">
        <v>1463</v>
      </c>
    </row>
    <row r="41" spans="1:9" x14ac:dyDescent="0.35">
      <c r="A41">
        <v>20260101</v>
      </c>
      <c r="B41" t="s">
        <v>1130</v>
      </c>
      <c r="C41">
        <v>3900</v>
      </c>
      <c r="D41" t="s">
        <v>1131</v>
      </c>
      <c r="E41">
        <v>-663000</v>
      </c>
      <c r="F41" t="s">
        <v>1451</v>
      </c>
      <c r="G41">
        <v>0.75</v>
      </c>
      <c r="H41" t="s">
        <v>1462</v>
      </c>
      <c r="I41" t="s">
        <v>1463</v>
      </c>
    </row>
    <row r="42" spans="1:9" x14ac:dyDescent="0.35">
      <c r="A42">
        <v>20260101</v>
      </c>
      <c r="B42" t="s">
        <v>1265</v>
      </c>
      <c r="C42">
        <v>5100</v>
      </c>
      <c r="D42" t="s">
        <v>485</v>
      </c>
      <c r="E42">
        <v>91800</v>
      </c>
      <c r="F42" t="s">
        <v>1451</v>
      </c>
      <c r="G42">
        <v>0.75</v>
      </c>
      <c r="H42" t="s">
        <v>1462</v>
      </c>
      <c r="I42" t="s">
        <v>1463</v>
      </c>
    </row>
    <row r="43" spans="1:9" x14ac:dyDescent="0.35">
      <c r="A43">
        <v>20260101</v>
      </c>
      <c r="B43" t="s">
        <v>1265</v>
      </c>
      <c r="C43">
        <v>3400</v>
      </c>
      <c r="D43" t="s">
        <v>485</v>
      </c>
      <c r="E43">
        <v>-91800</v>
      </c>
      <c r="F43" t="s">
        <v>1451</v>
      </c>
      <c r="G43">
        <v>0.75</v>
      </c>
      <c r="H43" t="s">
        <v>1462</v>
      </c>
      <c r="I43" t="s">
        <v>1463</v>
      </c>
    </row>
    <row r="44" spans="1:9" x14ac:dyDescent="0.35">
      <c r="A44">
        <v>20260101</v>
      </c>
      <c r="B44" t="s">
        <v>1173</v>
      </c>
      <c r="C44">
        <v>5000</v>
      </c>
      <c r="D44" t="s">
        <v>1131</v>
      </c>
      <c r="E44">
        <v>469200</v>
      </c>
      <c r="F44" t="s">
        <v>1451</v>
      </c>
      <c r="G44">
        <v>0.75</v>
      </c>
      <c r="H44" t="s">
        <v>1462</v>
      </c>
      <c r="I44" t="s">
        <v>1463</v>
      </c>
    </row>
    <row r="45" spans="1:9" x14ac:dyDescent="0.35">
      <c r="A45">
        <v>20260101</v>
      </c>
      <c r="B45" t="s">
        <v>1173</v>
      </c>
      <c r="C45">
        <v>5400</v>
      </c>
      <c r="D45" t="s">
        <v>1131</v>
      </c>
      <c r="E45">
        <v>66157.2</v>
      </c>
      <c r="F45" t="s">
        <v>1451</v>
      </c>
      <c r="G45">
        <v>0.75</v>
      </c>
      <c r="H45" t="s">
        <v>1462</v>
      </c>
      <c r="I45" t="s">
        <v>1463</v>
      </c>
    </row>
    <row r="46" spans="1:9" x14ac:dyDescent="0.35">
      <c r="A46">
        <v>20260101</v>
      </c>
      <c r="B46" t="s">
        <v>1173</v>
      </c>
      <c r="C46">
        <v>6300</v>
      </c>
      <c r="D46" t="s">
        <v>1131</v>
      </c>
      <c r="E46">
        <v>86700</v>
      </c>
      <c r="F46" t="s">
        <v>1451</v>
      </c>
      <c r="G46">
        <v>0.75</v>
      </c>
      <c r="H46" t="s">
        <v>1462</v>
      </c>
      <c r="I46" t="s">
        <v>1463</v>
      </c>
    </row>
    <row r="47" spans="1:9" x14ac:dyDescent="0.35">
      <c r="A47">
        <v>20260101</v>
      </c>
      <c r="B47" t="s">
        <v>1173</v>
      </c>
      <c r="C47">
        <v>3900</v>
      </c>
      <c r="D47" t="s">
        <v>1131</v>
      </c>
      <c r="E47">
        <v>-663000</v>
      </c>
      <c r="F47" t="s">
        <v>1451</v>
      </c>
      <c r="G47">
        <v>0.75</v>
      </c>
      <c r="H47" t="s">
        <v>1462</v>
      </c>
      <c r="I47" t="s">
        <v>1463</v>
      </c>
    </row>
    <row r="48" spans="1:9" x14ac:dyDescent="0.35">
      <c r="A48">
        <v>20260101</v>
      </c>
      <c r="B48" t="s">
        <v>1255</v>
      </c>
      <c r="C48">
        <v>5100</v>
      </c>
      <c r="D48" t="s">
        <v>485</v>
      </c>
      <c r="E48">
        <v>91800</v>
      </c>
      <c r="F48" t="s">
        <v>1451</v>
      </c>
      <c r="G48">
        <v>0.75</v>
      </c>
      <c r="H48" t="s">
        <v>1462</v>
      </c>
      <c r="I48" t="s">
        <v>1463</v>
      </c>
    </row>
    <row r="49" spans="1:9" x14ac:dyDescent="0.35">
      <c r="A49">
        <v>20260101</v>
      </c>
      <c r="B49" t="s">
        <v>1255</v>
      </c>
      <c r="C49">
        <v>3400</v>
      </c>
      <c r="D49" t="s">
        <v>485</v>
      </c>
      <c r="E49">
        <v>-91800</v>
      </c>
      <c r="F49" t="s">
        <v>1451</v>
      </c>
      <c r="G49">
        <v>0.75</v>
      </c>
      <c r="H49" t="s">
        <v>1462</v>
      </c>
      <c r="I49" t="s">
        <v>1463</v>
      </c>
    </row>
    <row r="50" spans="1:9" x14ac:dyDescent="0.35">
      <c r="A50">
        <v>20260101</v>
      </c>
      <c r="B50" t="s">
        <v>1155</v>
      </c>
      <c r="C50">
        <v>5000</v>
      </c>
      <c r="D50" t="s">
        <v>1131</v>
      </c>
      <c r="E50">
        <v>469200</v>
      </c>
      <c r="F50" t="s">
        <v>1451</v>
      </c>
      <c r="G50">
        <v>0.75</v>
      </c>
      <c r="H50" t="s">
        <v>1462</v>
      </c>
      <c r="I50" t="s">
        <v>1463</v>
      </c>
    </row>
    <row r="51" spans="1:9" x14ac:dyDescent="0.35">
      <c r="A51">
        <v>20260101</v>
      </c>
      <c r="B51" t="s">
        <v>1155</v>
      </c>
      <c r="C51">
        <v>5400</v>
      </c>
      <c r="D51" t="s">
        <v>1131</v>
      </c>
      <c r="E51">
        <v>66157.2</v>
      </c>
      <c r="F51" t="s">
        <v>1451</v>
      </c>
      <c r="G51">
        <v>0.75</v>
      </c>
      <c r="H51" t="s">
        <v>1462</v>
      </c>
      <c r="I51" t="s">
        <v>1463</v>
      </c>
    </row>
    <row r="52" spans="1:9" x14ac:dyDescent="0.35">
      <c r="A52">
        <v>20260101</v>
      </c>
      <c r="B52" t="s">
        <v>1155</v>
      </c>
      <c r="C52">
        <v>6300</v>
      </c>
      <c r="D52" t="s">
        <v>1131</v>
      </c>
      <c r="E52">
        <v>86700</v>
      </c>
      <c r="F52" t="s">
        <v>1451</v>
      </c>
      <c r="G52">
        <v>0.75</v>
      </c>
      <c r="H52" t="s">
        <v>1462</v>
      </c>
      <c r="I52" t="s">
        <v>1463</v>
      </c>
    </row>
    <row r="53" spans="1:9" x14ac:dyDescent="0.35">
      <c r="A53">
        <v>20260101</v>
      </c>
      <c r="B53" t="s">
        <v>1155</v>
      </c>
      <c r="C53">
        <v>3900</v>
      </c>
      <c r="D53" t="s">
        <v>1131</v>
      </c>
      <c r="E53">
        <v>-663000</v>
      </c>
      <c r="F53" t="s">
        <v>1451</v>
      </c>
      <c r="G53">
        <v>0.75</v>
      </c>
      <c r="H53" t="s">
        <v>1462</v>
      </c>
      <c r="I53" t="s">
        <v>1463</v>
      </c>
    </row>
    <row r="54" spans="1:9" x14ac:dyDescent="0.35">
      <c r="A54">
        <v>20260101</v>
      </c>
      <c r="B54" t="s">
        <v>1138</v>
      </c>
      <c r="C54">
        <v>5000</v>
      </c>
      <c r="D54" t="s">
        <v>1131</v>
      </c>
      <c r="E54">
        <v>469200</v>
      </c>
      <c r="F54" t="s">
        <v>1451</v>
      </c>
      <c r="G54">
        <v>0.75</v>
      </c>
      <c r="H54" t="s">
        <v>1462</v>
      </c>
      <c r="I54" t="s">
        <v>1463</v>
      </c>
    </row>
    <row r="55" spans="1:9" x14ac:dyDescent="0.35">
      <c r="A55">
        <v>20260101</v>
      </c>
      <c r="B55" t="s">
        <v>1138</v>
      </c>
      <c r="C55">
        <v>5400</v>
      </c>
      <c r="D55" t="s">
        <v>1131</v>
      </c>
      <c r="E55">
        <v>66157.2</v>
      </c>
      <c r="F55" t="s">
        <v>1451</v>
      </c>
      <c r="G55">
        <v>0.75</v>
      </c>
      <c r="H55" t="s">
        <v>1462</v>
      </c>
      <c r="I55" t="s">
        <v>1463</v>
      </c>
    </row>
    <row r="56" spans="1:9" x14ac:dyDescent="0.35">
      <c r="A56">
        <v>20260101</v>
      </c>
      <c r="B56" t="s">
        <v>1138</v>
      </c>
      <c r="C56">
        <v>6300</v>
      </c>
      <c r="D56" t="s">
        <v>1131</v>
      </c>
      <c r="E56">
        <v>86700</v>
      </c>
      <c r="F56" t="s">
        <v>1451</v>
      </c>
      <c r="G56">
        <v>0.75</v>
      </c>
      <c r="H56" t="s">
        <v>1462</v>
      </c>
      <c r="I56" t="s">
        <v>1463</v>
      </c>
    </row>
    <row r="57" spans="1:9" x14ac:dyDescent="0.35">
      <c r="A57">
        <v>20260101</v>
      </c>
      <c r="B57" t="s">
        <v>1138</v>
      </c>
      <c r="C57">
        <v>3900</v>
      </c>
      <c r="D57" t="s">
        <v>1131</v>
      </c>
      <c r="E57">
        <v>-663000</v>
      </c>
      <c r="F57" t="s">
        <v>1451</v>
      </c>
      <c r="G57">
        <v>0.75</v>
      </c>
      <c r="H57" t="s">
        <v>1462</v>
      </c>
      <c r="I57" t="s">
        <v>1463</v>
      </c>
    </row>
    <row r="58" spans="1:9" x14ac:dyDescent="0.35">
      <c r="A58">
        <v>20260201</v>
      </c>
      <c r="B58" t="s">
        <v>1150</v>
      </c>
      <c r="C58">
        <v>5000</v>
      </c>
      <c r="D58" t="s">
        <v>1131</v>
      </c>
      <c r="E58">
        <v>469200</v>
      </c>
      <c r="F58" t="s">
        <v>1451</v>
      </c>
      <c r="G58">
        <v>0.75</v>
      </c>
      <c r="H58" t="s">
        <v>1462</v>
      </c>
      <c r="I58" t="s">
        <v>1463</v>
      </c>
    </row>
    <row r="59" spans="1:9" x14ac:dyDescent="0.35">
      <c r="A59">
        <v>20260201</v>
      </c>
      <c r="B59" t="s">
        <v>1150</v>
      </c>
      <c r="C59">
        <v>5400</v>
      </c>
      <c r="D59" t="s">
        <v>1131</v>
      </c>
      <c r="E59">
        <v>66157.2</v>
      </c>
      <c r="F59" t="s">
        <v>1451</v>
      </c>
      <c r="G59">
        <v>0.75</v>
      </c>
      <c r="H59" t="s">
        <v>1462</v>
      </c>
      <c r="I59" t="s">
        <v>1463</v>
      </c>
    </row>
    <row r="60" spans="1:9" x14ac:dyDescent="0.35">
      <c r="A60">
        <v>20260201</v>
      </c>
      <c r="B60" t="s">
        <v>1150</v>
      </c>
      <c r="C60">
        <v>6300</v>
      </c>
      <c r="D60" t="s">
        <v>1131</v>
      </c>
      <c r="E60">
        <v>86700</v>
      </c>
      <c r="F60" t="s">
        <v>1451</v>
      </c>
      <c r="G60">
        <v>0.75</v>
      </c>
      <c r="H60" t="s">
        <v>1462</v>
      </c>
      <c r="I60" t="s">
        <v>1463</v>
      </c>
    </row>
    <row r="61" spans="1:9" x14ac:dyDescent="0.35">
      <c r="A61">
        <v>20260201</v>
      </c>
      <c r="B61" t="s">
        <v>1150</v>
      </c>
      <c r="C61">
        <v>3900</v>
      </c>
      <c r="D61" t="s">
        <v>1131</v>
      </c>
      <c r="E61">
        <v>-663000</v>
      </c>
      <c r="F61" t="s">
        <v>1451</v>
      </c>
      <c r="G61">
        <v>0.75</v>
      </c>
      <c r="H61" t="s">
        <v>1462</v>
      </c>
      <c r="I61" t="s">
        <v>1463</v>
      </c>
    </row>
    <row r="62" spans="1:9" x14ac:dyDescent="0.35">
      <c r="A62">
        <v>20260201</v>
      </c>
      <c r="B62" t="s">
        <v>1272</v>
      </c>
      <c r="C62">
        <v>5100</v>
      </c>
      <c r="D62" t="s">
        <v>485</v>
      </c>
      <c r="E62">
        <v>91800</v>
      </c>
      <c r="F62" t="s">
        <v>1451</v>
      </c>
      <c r="G62">
        <v>0.75</v>
      </c>
      <c r="H62" t="s">
        <v>1462</v>
      </c>
      <c r="I62" t="s">
        <v>1463</v>
      </c>
    </row>
    <row r="63" spans="1:9" x14ac:dyDescent="0.35">
      <c r="A63">
        <v>20260201</v>
      </c>
      <c r="B63" t="s">
        <v>1272</v>
      </c>
      <c r="C63">
        <v>3400</v>
      </c>
      <c r="D63" t="s">
        <v>485</v>
      </c>
      <c r="E63">
        <v>-91800</v>
      </c>
      <c r="F63" t="s">
        <v>1451</v>
      </c>
      <c r="G63">
        <v>0.75</v>
      </c>
      <c r="H63" t="s">
        <v>1462</v>
      </c>
      <c r="I63" t="s">
        <v>1463</v>
      </c>
    </row>
    <row r="64" spans="1:9" x14ac:dyDescent="0.35">
      <c r="A64">
        <v>20260201</v>
      </c>
      <c r="B64" t="s">
        <v>1158</v>
      </c>
      <c r="C64">
        <v>5000</v>
      </c>
      <c r="D64" t="s">
        <v>1131</v>
      </c>
      <c r="E64">
        <v>469200</v>
      </c>
      <c r="F64" t="s">
        <v>1451</v>
      </c>
      <c r="G64">
        <v>0.75</v>
      </c>
      <c r="H64" t="s">
        <v>1462</v>
      </c>
      <c r="I64" t="s">
        <v>1463</v>
      </c>
    </row>
    <row r="65" spans="1:9" x14ac:dyDescent="0.35">
      <c r="A65">
        <v>20260201</v>
      </c>
      <c r="B65" t="s">
        <v>1158</v>
      </c>
      <c r="C65">
        <v>5400</v>
      </c>
      <c r="D65" t="s">
        <v>1131</v>
      </c>
      <c r="E65">
        <v>66157.2</v>
      </c>
      <c r="F65" t="s">
        <v>1451</v>
      </c>
      <c r="G65">
        <v>0.75</v>
      </c>
      <c r="H65" t="s">
        <v>1462</v>
      </c>
      <c r="I65" t="s">
        <v>1463</v>
      </c>
    </row>
    <row r="66" spans="1:9" x14ac:dyDescent="0.35">
      <c r="A66">
        <v>20260201</v>
      </c>
      <c r="B66" t="s">
        <v>1158</v>
      </c>
      <c r="C66">
        <v>6300</v>
      </c>
      <c r="D66" t="s">
        <v>1131</v>
      </c>
      <c r="E66">
        <v>86700</v>
      </c>
      <c r="F66" t="s">
        <v>1451</v>
      </c>
      <c r="G66">
        <v>0.75</v>
      </c>
      <c r="H66" t="s">
        <v>1462</v>
      </c>
      <c r="I66" t="s">
        <v>1463</v>
      </c>
    </row>
    <row r="67" spans="1:9" x14ac:dyDescent="0.35">
      <c r="A67">
        <v>20260201</v>
      </c>
      <c r="B67" t="s">
        <v>1158</v>
      </c>
      <c r="C67">
        <v>3900</v>
      </c>
      <c r="D67" t="s">
        <v>1131</v>
      </c>
      <c r="E67">
        <v>-663000</v>
      </c>
      <c r="F67" t="s">
        <v>1451</v>
      </c>
      <c r="G67">
        <v>0.75</v>
      </c>
      <c r="H67" t="s">
        <v>1462</v>
      </c>
      <c r="I67" t="s">
        <v>1463</v>
      </c>
    </row>
    <row r="68" spans="1:9" x14ac:dyDescent="0.35">
      <c r="A68">
        <v>20260201</v>
      </c>
      <c r="B68" t="s">
        <v>1243</v>
      </c>
      <c r="C68">
        <v>5100</v>
      </c>
      <c r="D68" t="s">
        <v>485</v>
      </c>
      <c r="E68">
        <v>91800</v>
      </c>
      <c r="F68" t="s">
        <v>1451</v>
      </c>
      <c r="G68">
        <v>0.75</v>
      </c>
      <c r="H68" t="s">
        <v>1462</v>
      </c>
      <c r="I68" t="s">
        <v>1463</v>
      </c>
    </row>
    <row r="69" spans="1:9" x14ac:dyDescent="0.35">
      <c r="A69">
        <v>20260201</v>
      </c>
      <c r="B69" t="s">
        <v>1243</v>
      </c>
      <c r="C69">
        <v>3400</v>
      </c>
      <c r="D69" t="s">
        <v>485</v>
      </c>
      <c r="E69">
        <v>-91800</v>
      </c>
      <c r="F69" t="s">
        <v>1451</v>
      </c>
      <c r="G69">
        <v>0.75</v>
      </c>
      <c r="H69" t="s">
        <v>1462</v>
      </c>
      <c r="I69" t="s">
        <v>1463</v>
      </c>
    </row>
    <row r="70" spans="1:9" x14ac:dyDescent="0.35">
      <c r="A70">
        <v>20260201</v>
      </c>
      <c r="B70" t="s">
        <v>1205</v>
      </c>
      <c r="C70">
        <v>5000</v>
      </c>
      <c r="D70" t="s">
        <v>1131</v>
      </c>
      <c r="E70">
        <v>469200</v>
      </c>
      <c r="F70" t="s">
        <v>1451</v>
      </c>
      <c r="G70">
        <v>0.75</v>
      </c>
      <c r="H70" t="s">
        <v>1462</v>
      </c>
      <c r="I70" t="s">
        <v>1463</v>
      </c>
    </row>
    <row r="71" spans="1:9" x14ac:dyDescent="0.35">
      <c r="A71">
        <v>20260201</v>
      </c>
      <c r="B71" t="s">
        <v>1205</v>
      </c>
      <c r="C71">
        <v>5400</v>
      </c>
      <c r="D71" t="s">
        <v>1131</v>
      </c>
      <c r="E71">
        <v>66157.2</v>
      </c>
      <c r="F71" t="s">
        <v>1451</v>
      </c>
      <c r="G71">
        <v>0.75</v>
      </c>
      <c r="H71" t="s">
        <v>1462</v>
      </c>
      <c r="I71" t="s">
        <v>1463</v>
      </c>
    </row>
    <row r="72" spans="1:9" x14ac:dyDescent="0.35">
      <c r="A72">
        <v>20260201</v>
      </c>
      <c r="B72" t="s">
        <v>1205</v>
      </c>
      <c r="C72">
        <v>6300</v>
      </c>
      <c r="D72" t="s">
        <v>1131</v>
      </c>
      <c r="E72">
        <v>86700</v>
      </c>
      <c r="F72" t="s">
        <v>1451</v>
      </c>
      <c r="G72">
        <v>0.75</v>
      </c>
      <c r="H72" t="s">
        <v>1462</v>
      </c>
      <c r="I72" t="s">
        <v>1463</v>
      </c>
    </row>
    <row r="73" spans="1:9" x14ac:dyDescent="0.35">
      <c r="A73">
        <v>20260201</v>
      </c>
      <c r="B73" t="s">
        <v>1205</v>
      </c>
      <c r="C73">
        <v>3900</v>
      </c>
      <c r="D73" t="s">
        <v>1131</v>
      </c>
      <c r="E73">
        <v>-663000</v>
      </c>
      <c r="F73" t="s">
        <v>1451</v>
      </c>
      <c r="G73">
        <v>0.75</v>
      </c>
      <c r="H73" t="s">
        <v>1462</v>
      </c>
      <c r="I73" t="s">
        <v>1463</v>
      </c>
    </row>
    <row r="74" spans="1:9" x14ac:dyDescent="0.35">
      <c r="A74">
        <v>20260201</v>
      </c>
      <c r="B74" t="s">
        <v>1257</v>
      </c>
      <c r="C74">
        <v>5100</v>
      </c>
      <c r="D74" t="s">
        <v>485</v>
      </c>
      <c r="E74">
        <v>91800</v>
      </c>
      <c r="F74" t="s">
        <v>1451</v>
      </c>
      <c r="G74">
        <v>0.75</v>
      </c>
      <c r="H74" t="s">
        <v>1462</v>
      </c>
      <c r="I74" t="s">
        <v>1463</v>
      </c>
    </row>
    <row r="75" spans="1:9" x14ac:dyDescent="0.35">
      <c r="A75">
        <v>20260201</v>
      </c>
      <c r="B75" t="s">
        <v>1257</v>
      </c>
      <c r="C75">
        <v>3400</v>
      </c>
      <c r="D75" t="s">
        <v>485</v>
      </c>
      <c r="E75">
        <v>-91800</v>
      </c>
      <c r="F75" t="s">
        <v>1451</v>
      </c>
      <c r="G75">
        <v>0.75</v>
      </c>
      <c r="H75" t="s">
        <v>1462</v>
      </c>
      <c r="I75" t="s">
        <v>1463</v>
      </c>
    </row>
    <row r="76" spans="1:9" x14ac:dyDescent="0.35">
      <c r="A76">
        <v>20260201</v>
      </c>
      <c r="B76" t="s">
        <v>1164</v>
      </c>
      <c r="C76">
        <v>5000</v>
      </c>
      <c r="D76" t="s">
        <v>1131</v>
      </c>
      <c r="E76">
        <v>469200</v>
      </c>
      <c r="F76" t="s">
        <v>1451</v>
      </c>
      <c r="G76">
        <v>0.75</v>
      </c>
      <c r="H76" t="s">
        <v>1462</v>
      </c>
      <c r="I76" t="s">
        <v>1463</v>
      </c>
    </row>
    <row r="77" spans="1:9" x14ac:dyDescent="0.35">
      <c r="A77">
        <v>20260201</v>
      </c>
      <c r="B77" t="s">
        <v>1164</v>
      </c>
      <c r="C77">
        <v>5400</v>
      </c>
      <c r="D77" t="s">
        <v>1131</v>
      </c>
      <c r="E77">
        <v>66157.2</v>
      </c>
      <c r="F77" t="s">
        <v>1451</v>
      </c>
      <c r="G77">
        <v>0.75</v>
      </c>
      <c r="H77" t="s">
        <v>1462</v>
      </c>
      <c r="I77" t="s">
        <v>1463</v>
      </c>
    </row>
    <row r="78" spans="1:9" x14ac:dyDescent="0.35">
      <c r="A78">
        <v>20260201</v>
      </c>
      <c r="B78" t="s">
        <v>1164</v>
      </c>
      <c r="C78">
        <v>6300</v>
      </c>
      <c r="D78" t="s">
        <v>1131</v>
      </c>
      <c r="E78">
        <v>86700</v>
      </c>
      <c r="F78" t="s">
        <v>1451</v>
      </c>
      <c r="G78">
        <v>0.75</v>
      </c>
      <c r="H78" t="s">
        <v>1462</v>
      </c>
      <c r="I78" t="s">
        <v>1463</v>
      </c>
    </row>
    <row r="79" spans="1:9" x14ac:dyDescent="0.35">
      <c r="A79">
        <v>20260201</v>
      </c>
      <c r="B79" t="s">
        <v>1164</v>
      </c>
      <c r="C79">
        <v>3900</v>
      </c>
      <c r="D79" t="s">
        <v>1131</v>
      </c>
      <c r="E79">
        <v>-663000</v>
      </c>
      <c r="F79" t="s">
        <v>1451</v>
      </c>
      <c r="G79">
        <v>0.75</v>
      </c>
      <c r="H79" t="s">
        <v>1462</v>
      </c>
      <c r="I79" t="s">
        <v>1463</v>
      </c>
    </row>
    <row r="80" spans="1:9" x14ac:dyDescent="0.35">
      <c r="A80">
        <v>20260201</v>
      </c>
      <c r="B80" t="s">
        <v>1249</v>
      </c>
      <c r="C80">
        <v>5100</v>
      </c>
      <c r="D80" t="s">
        <v>485</v>
      </c>
      <c r="E80">
        <v>91800</v>
      </c>
      <c r="F80" t="s">
        <v>1451</v>
      </c>
      <c r="G80">
        <v>0.75</v>
      </c>
      <c r="H80" t="s">
        <v>1462</v>
      </c>
      <c r="I80" t="s">
        <v>1463</v>
      </c>
    </row>
    <row r="81" spans="1:9" x14ac:dyDescent="0.35">
      <c r="A81">
        <v>20260201</v>
      </c>
      <c r="B81" t="s">
        <v>1249</v>
      </c>
      <c r="C81">
        <v>3400</v>
      </c>
      <c r="D81" t="s">
        <v>485</v>
      </c>
      <c r="E81">
        <v>-91800</v>
      </c>
      <c r="F81" t="s">
        <v>1451</v>
      </c>
      <c r="G81">
        <v>0.75</v>
      </c>
      <c r="H81" t="s">
        <v>1462</v>
      </c>
      <c r="I81" t="s">
        <v>1463</v>
      </c>
    </row>
    <row r="82" spans="1:9" x14ac:dyDescent="0.35">
      <c r="A82">
        <v>20260201</v>
      </c>
      <c r="B82" t="s">
        <v>1169</v>
      </c>
      <c r="C82">
        <v>5000</v>
      </c>
      <c r="D82" t="s">
        <v>1131</v>
      </c>
      <c r="E82">
        <v>469200</v>
      </c>
      <c r="F82" t="s">
        <v>1451</v>
      </c>
      <c r="G82">
        <v>0.75</v>
      </c>
      <c r="H82" t="s">
        <v>1462</v>
      </c>
      <c r="I82" t="s">
        <v>1463</v>
      </c>
    </row>
    <row r="83" spans="1:9" x14ac:dyDescent="0.35">
      <c r="A83">
        <v>20260201</v>
      </c>
      <c r="B83" t="s">
        <v>1169</v>
      </c>
      <c r="C83">
        <v>5400</v>
      </c>
      <c r="D83" t="s">
        <v>1131</v>
      </c>
      <c r="E83">
        <v>66157.2</v>
      </c>
      <c r="F83" t="s">
        <v>1451</v>
      </c>
      <c r="G83">
        <v>0.75</v>
      </c>
      <c r="H83" t="s">
        <v>1462</v>
      </c>
      <c r="I83" t="s">
        <v>1463</v>
      </c>
    </row>
    <row r="84" spans="1:9" x14ac:dyDescent="0.35">
      <c r="A84">
        <v>20260201</v>
      </c>
      <c r="B84" t="s">
        <v>1169</v>
      </c>
      <c r="C84">
        <v>6300</v>
      </c>
      <c r="D84" t="s">
        <v>1131</v>
      </c>
      <c r="E84">
        <v>86700</v>
      </c>
      <c r="F84" t="s">
        <v>1451</v>
      </c>
      <c r="G84">
        <v>0.75</v>
      </c>
      <c r="H84" t="s">
        <v>1462</v>
      </c>
      <c r="I84" t="s">
        <v>1463</v>
      </c>
    </row>
    <row r="85" spans="1:9" x14ac:dyDescent="0.35">
      <c r="A85">
        <v>20260201</v>
      </c>
      <c r="B85" t="s">
        <v>1169</v>
      </c>
      <c r="C85">
        <v>3900</v>
      </c>
      <c r="D85" t="s">
        <v>1131</v>
      </c>
      <c r="E85">
        <v>-663000</v>
      </c>
      <c r="F85" t="s">
        <v>1451</v>
      </c>
      <c r="G85">
        <v>0.75</v>
      </c>
      <c r="H85" t="s">
        <v>1462</v>
      </c>
      <c r="I85" t="s">
        <v>1463</v>
      </c>
    </row>
    <row r="86" spans="1:9" x14ac:dyDescent="0.35">
      <c r="A86">
        <v>20260201</v>
      </c>
      <c r="B86" t="s">
        <v>1260</v>
      </c>
      <c r="C86">
        <v>5100</v>
      </c>
      <c r="D86" t="s">
        <v>485</v>
      </c>
      <c r="E86">
        <v>91800</v>
      </c>
      <c r="F86" t="s">
        <v>1451</v>
      </c>
      <c r="G86">
        <v>0.75</v>
      </c>
      <c r="H86" t="s">
        <v>1462</v>
      </c>
      <c r="I86" t="s">
        <v>1463</v>
      </c>
    </row>
    <row r="87" spans="1:9" x14ac:dyDescent="0.35">
      <c r="A87">
        <v>20260201</v>
      </c>
      <c r="B87" t="s">
        <v>1260</v>
      </c>
      <c r="C87">
        <v>3400</v>
      </c>
      <c r="D87" t="s">
        <v>485</v>
      </c>
      <c r="E87">
        <v>-91800</v>
      </c>
      <c r="F87" t="s">
        <v>1451</v>
      </c>
      <c r="G87">
        <v>0.75</v>
      </c>
      <c r="H87" t="s">
        <v>1462</v>
      </c>
      <c r="I87" t="s">
        <v>1463</v>
      </c>
    </row>
    <row r="88" spans="1:9" x14ac:dyDescent="0.35">
      <c r="A88">
        <v>20260201</v>
      </c>
      <c r="B88" t="s">
        <v>1175</v>
      </c>
      <c r="C88">
        <v>5000</v>
      </c>
      <c r="D88" t="s">
        <v>1131</v>
      </c>
      <c r="E88">
        <v>469200</v>
      </c>
      <c r="F88" t="s">
        <v>1451</v>
      </c>
      <c r="G88">
        <v>0.75</v>
      </c>
      <c r="H88" t="s">
        <v>1462</v>
      </c>
      <c r="I88" t="s">
        <v>1463</v>
      </c>
    </row>
    <row r="89" spans="1:9" x14ac:dyDescent="0.35">
      <c r="A89">
        <v>20260201</v>
      </c>
      <c r="B89" t="s">
        <v>1175</v>
      </c>
      <c r="C89">
        <v>5400</v>
      </c>
      <c r="D89" t="s">
        <v>1131</v>
      </c>
      <c r="E89">
        <v>66157.2</v>
      </c>
      <c r="F89" t="s">
        <v>1451</v>
      </c>
      <c r="G89">
        <v>0.75</v>
      </c>
      <c r="H89" t="s">
        <v>1462</v>
      </c>
      <c r="I89" t="s">
        <v>1463</v>
      </c>
    </row>
    <row r="90" spans="1:9" x14ac:dyDescent="0.35">
      <c r="A90">
        <v>20260201</v>
      </c>
      <c r="B90" t="s">
        <v>1175</v>
      </c>
      <c r="C90">
        <v>6300</v>
      </c>
      <c r="D90" t="s">
        <v>1131</v>
      </c>
      <c r="E90">
        <v>86700</v>
      </c>
      <c r="F90" t="s">
        <v>1451</v>
      </c>
      <c r="G90">
        <v>0.75</v>
      </c>
      <c r="H90" t="s">
        <v>1462</v>
      </c>
      <c r="I90" t="s">
        <v>1463</v>
      </c>
    </row>
    <row r="91" spans="1:9" x14ac:dyDescent="0.35">
      <c r="A91">
        <v>20260201</v>
      </c>
      <c r="B91" t="s">
        <v>1175</v>
      </c>
      <c r="C91">
        <v>3900</v>
      </c>
      <c r="D91" t="s">
        <v>1131</v>
      </c>
      <c r="E91">
        <v>-663000</v>
      </c>
      <c r="F91" t="s">
        <v>1451</v>
      </c>
      <c r="G91">
        <v>0.75</v>
      </c>
      <c r="H91" t="s">
        <v>1462</v>
      </c>
      <c r="I91" t="s">
        <v>1463</v>
      </c>
    </row>
    <row r="92" spans="1:9" x14ac:dyDescent="0.35">
      <c r="A92">
        <v>20260201</v>
      </c>
      <c r="B92" t="s">
        <v>1247</v>
      </c>
      <c r="C92">
        <v>5100</v>
      </c>
      <c r="D92" t="s">
        <v>485</v>
      </c>
      <c r="E92">
        <v>91800</v>
      </c>
      <c r="F92" t="s">
        <v>1451</v>
      </c>
      <c r="G92">
        <v>0.75</v>
      </c>
      <c r="H92" t="s">
        <v>1462</v>
      </c>
      <c r="I92" t="s">
        <v>1463</v>
      </c>
    </row>
    <row r="93" spans="1:9" x14ac:dyDescent="0.35">
      <c r="A93">
        <v>20260201</v>
      </c>
      <c r="B93" t="s">
        <v>1247</v>
      </c>
      <c r="C93">
        <v>3400</v>
      </c>
      <c r="D93" t="s">
        <v>485</v>
      </c>
      <c r="E93">
        <v>-91800</v>
      </c>
      <c r="F93" t="s">
        <v>1451</v>
      </c>
      <c r="G93">
        <v>0.75</v>
      </c>
      <c r="H93" t="s">
        <v>1462</v>
      </c>
      <c r="I93" t="s">
        <v>1463</v>
      </c>
    </row>
    <row r="94" spans="1:9" x14ac:dyDescent="0.35">
      <c r="A94">
        <v>20260201</v>
      </c>
      <c r="B94" t="s">
        <v>1130</v>
      </c>
      <c r="C94">
        <v>5000</v>
      </c>
      <c r="D94" t="s">
        <v>1131</v>
      </c>
      <c r="E94">
        <v>469200</v>
      </c>
      <c r="F94" t="s">
        <v>1451</v>
      </c>
      <c r="G94">
        <v>0.75</v>
      </c>
      <c r="H94" t="s">
        <v>1462</v>
      </c>
      <c r="I94" t="s">
        <v>1463</v>
      </c>
    </row>
    <row r="95" spans="1:9" x14ac:dyDescent="0.35">
      <c r="A95">
        <v>20260201</v>
      </c>
      <c r="B95" t="s">
        <v>1130</v>
      </c>
      <c r="C95">
        <v>5400</v>
      </c>
      <c r="D95" t="s">
        <v>1131</v>
      </c>
      <c r="E95">
        <v>66157.2</v>
      </c>
      <c r="F95" t="s">
        <v>1451</v>
      </c>
      <c r="G95">
        <v>0.75</v>
      </c>
      <c r="H95" t="s">
        <v>1462</v>
      </c>
      <c r="I95" t="s">
        <v>1463</v>
      </c>
    </row>
    <row r="96" spans="1:9" x14ac:dyDescent="0.35">
      <c r="A96">
        <v>20260201</v>
      </c>
      <c r="B96" t="s">
        <v>1130</v>
      </c>
      <c r="C96">
        <v>6300</v>
      </c>
      <c r="D96" t="s">
        <v>1131</v>
      </c>
      <c r="E96">
        <v>86700</v>
      </c>
      <c r="F96" t="s">
        <v>1451</v>
      </c>
      <c r="G96">
        <v>0.75</v>
      </c>
      <c r="H96" t="s">
        <v>1462</v>
      </c>
      <c r="I96" t="s">
        <v>1463</v>
      </c>
    </row>
    <row r="97" spans="1:9" x14ac:dyDescent="0.35">
      <c r="A97">
        <v>20260201</v>
      </c>
      <c r="B97" t="s">
        <v>1130</v>
      </c>
      <c r="C97">
        <v>3900</v>
      </c>
      <c r="D97" t="s">
        <v>1131</v>
      </c>
      <c r="E97">
        <v>-663000</v>
      </c>
      <c r="F97" t="s">
        <v>1451</v>
      </c>
      <c r="G97">
        <v>0.75</v>
      </c>
      <c r="H97" t="s">
        <v>1462</v>
      </c>
      <c r="I97" t="s">
        <v>1463</v>
      </c>
    </row>
    <row r="98" spans="1:9" x14ac:dyDescent="0.35">
      <c r="A98">
        <v>20260201</v>
      </c>
      <c r="B98" t="s">
        <v>1265</v>
      </c>
      <c r="C98">
        <v>5100</v>
      </c>
      <c r="D98" t="s">
        <v>485</v>
      </c>
      <c r="E98">
        <v>91800</v>
      </c>
      <c r="F98" t="s">
        <v>1451</v>
      </c>
      <c r="G98">
        <v>0.75</v>
      </c>
      <c r="H98" t="s">
        <v>1462</v>
      </c>
      <c r="I98" t="s">
        <v>1463</v>
      </c>
    </row>
    <row r="99" spans="1:9" x14ac:dyDescent="0.35">
      <c r="A99">
        <v>20260201</v>
      </c>
      <c r="B99" t="s">
        <v>1265</v>
      </c>
      <c r="C99">
        <v>3400</v>
      </c>
      <c r="D99" t="s">
        <v>485</v>
      </c>
      <c r="E99">
        <v>-91800</v>
      </c>
      <c r="F99" t="s">
        <v>1451</v>
      </c>
      <c r="G99">
        <v>0.75</v>
      </c>
      <c r="H99" t="s">
        <v>1462</v>
      </c>
      <c r="I99" t="s">
        <v>1463</v>
      </c>
    </row>
    <row r="100" spans="1:9" x14ac:dyDescent="0.35">
      <c r="A100">
        <v>20260201</v>
      </c>
      <c r="B100" t="s">
        <v>1173</v>
      </c>
      <c r="C100">
        <v>5000</v>
      </c>
      <c r="D100" t="s">
        <v>1131</v>
      </c>
      <c r="E100">
        <v>469200</v>
      </c>
      <c r="F100" t="s">
        <v>1451</v>
      </c>
      <c r="G100">
        <v>0.75</v>
      </c>
      <c r="H100" t="s">
        <v>1462</v>
      </c>
      <c r="I100" t="s">
        <v>1463</v>
      </c>
    </row>
    <row r="101" spans="1:9" x14ac:dyDescent="0.35">
      <c r="A101">
        <v>20260201</v>
      </c>
      <c r="B101" t="s">
        <v>1173</v>
      </c>
      <c r="C101">
        <v>5400</v>
      </c>
      <c r="D101" t="s">
        <v>1131</v>
      </c>
      <c r="E101">
        <v>66157.2</v>
      </c>
      <c r="F101" t="s">
        <v>1451</v>
      </c>
      <c r="G101">
        <v>0.75</v>
      </c>
      <c r="H101" t="s">
        <v>1462</v>
      </c>
      <c r="I101" t="s">
        <v>1463</v>
      </c>
    </row>
    <row r="102" spans="1:9" x14ac:dyDescent="0.35">
      <c r="A102">
        <v>20260201</v>
      </c>
      <c r="B102" t="s">
        <v>1173</v>
      </c>
      <c r="C102">
        <v>6300</v>
      </c>
      <c r="D102" t="s">
        <v>1131</v>
      </c>
      <c r="E102">
        <v>86700</v>
      </c>
      <c r="F102" t="s">
        <v>1451</v>
      </c>
      <c r="G102">
        <v>0.75</v>
      </c>
      <c r="H102" t="s">
        <v>1462</v>
      </c>
      <c r="I102" t="s">
        <v>1463</v>
      </c>
    </row>
    <row r="103" spans="1:9" x14ac:dyDescent="0.35">
      <c r="A103">
        <v>20260201</v>
      </c>
      <c r="B103" t="s">
        <v>1173</v>
      </c>
      <c r="C103">
        <v>3900</v>
      </c>
      <c r="D103" t="s">
        <v>1131</v>
      </c>
      <c r="E103">
        <v>-663000</v>
      </c>
      <c r="F103" t="s">
        <v>1451</v>
      </c>
      <c r="G103">
        <v>0.75</v>
      </c>
      <c r="H103" t="s">
        <v>1462</v>
      </c>
      <c r="I103" t="s">
        <v>1463</v>
      </c>
    </row>
    <row r="104" spans="1:9" x14ac:dyDescent="0.35">
      <c r="A104">
        <v>20260201</v>
      </c>
      <c r="B104" t="s">
        <v>1255</v>
      </c>
      <c r="C104">
        <v>5100</v>
      </c>
      <c r="D104" t="s">
        <v>485</v>
      </c>
      <c r="E104">
        <v>91800</v>
      </c>
      <c r="F104" t="s">
        <v>1451</v>
      </c>
      <c r="G104">
        <v>0.75</v>
      </c>
      <c r="H104" t="s">
        <v>1462</v>
      </c>
      <c r="I104" t="s">
        <v>1463</v>
      </c>
    </row>
    <row r="105" spans="1:9" x14ac:dyDescent="0.35">
      <c r="A105">
        <v>20260201</v>
      </c>
      <c r="B105" t="s">
        <v>1255</v>
      </c>
      <c r="C105">
        <v>3400</v>
      </c>
      <c r="D105" t="s">
        <v>485</v>
      </c>
      <c r="E105">
        <v>-91800</v>
      </c>
      <c r="F105" t="s">
        <v>1451</v>
      </c>
      <c r="G105">
        <v>0.75</v>
      </c>
      <c r="H105" t="s">
        <v>1462</v>
      </c>
      <c r="I105" t="s">
        <v>1463</v>
      </c>
    </row>
    <row r="106" spans="1:9" x14ac:dyDescent="0.35">
      <c r="A106">
        <v>20260201</v>
      </c>
      <c r="B106" t="s">
        <v>1155</v>
      </c>
      <c r="C106">
        <v>5000</v>
      </c>
      <c r="D106" t="s">
        <v>1131</v>
      </c>
      <c r="E106">
        <v>469200</v>
      </c>
      <c r="F106" t="s">
        <v>1451</v>
      </c>
      <c r="G106">
        <v>0.75</v>
      </c>
      <c r="H106" t="s">
        <v>1462</v>
      </c>
      <c r="I106" t="s">
        <v>1463</v>
      </c>
    </row>
    <row r="107" spans="1:9" x14ac:dyDescent="0.35">
      <c r="A107">
        <v>20260201</v>
      </c>
      <c r="B107" t="s">
        <v>1155</v>
      </c>
      <c r="C107">
        <v>5400</v>
      </c>
      <c r="D107" t="s">
        <v>1131</v>
      </c>
      <c r="E107">
        <v>66157.2</v>
      </c>
      <c r="F107" t="s">
        <v>1451</v>
      </c>
      <c r="G107">
        <v>0.75</v>
      </c>
      <c r="H107" t="s">
        <v>1462</v>
      </c>
      <c r="I107" t="s">
        <v>1463</v>
      </c>
    </row>
    <row r="108" spans="1:9" x14ac:dyDescent="0.35">
      <c r="A108">
        <v>20260201</v>
      </c>
      <c r="B108" t="s">
        <v>1155</v>
      </c>
      <c r="C108">
        <v>6300</v>
      </c>
      <c r="D108" t="s">
        <v>1131</v>
      </c>
      <c r="E108">
        <v>86700</v>
      </c>
      <c r="F108" t="s">
        <v>1451</v>
      </c>
      <c r="G108">
        <v>0.75</v>
      </c>
      <c r="H108" t="s">
        <v>1462</v>
      </c>
      <c r="I108" t="s">
        <v>1463</v>
      </c>
    </row>
    <row r="109" spans="1:9" x14ac:dyDescent="0.35">
      <c r="A109">
        <v>20260201</v>
      </c>
      <c r="B109" t="s">
        <v>1155</v>
      </c>
      <c r="C109">
        <v>3900</v>
      </c>
      <c r="D109" t="s">
        <v>1131</v>
      </c>
      <c r="E109">
        <v>-663000</v>
      </c>
      <c r="F109" t="s">
        <v>1451</v>
      </c>
      <c r="G109">
        <v>0.75</v>
      </c>
      <c r="H109" t="s">
        <v>1462</v>
      </c>
      <c r="I109" t="s">
        <v>1463</v>
      </c>
    </row>
    <row r="110" spans="1:9" x14ac:dyDescent="0.35">
      <c r="A110">
        <v>20260201</v>
      </c>
      <c r="B110" t="s">
        <v>1138</v>
      </c>
      <c r="C110">
        <v>5000</v>
      </c>
      <c r="D110" t="s">
        <v>1131</v>
      </c>
      <c r="E110">
        <v>469200</v>
      </c>
      <c r="F110" t="s">
        <v>1451</v>
      </c>
      <c r="G110">
        <v>0.75</v>
      </c>
      <c r="H110" t="s">
        <v>1462</v>
      </c>
      <c r="I110" t="s">
        <v>1463</v>
      </c>
    </row>
    <row r="111" spans="1:9" x14ac:dyDescent="0.35">
      <c r="A111">
        <v>20260201</v>
      </c>
      <c r="B111" t="s">
        <v>1138</v>
      </c>
      <c r="C111">
        <v>5400</v>
      </c>
      <c r="D111" t="s">
        <v>1131</v>
      </c>
      <c r="E111">
        <v>66157.2</v>
      </c>
      <c r="F111" t="s">
        <v>1451</v>
      </c>
      <c r="G111">
        <v>0.75</v>
      </c>
      <c r="H111" t="s">
        <v>1462</v>
      </c>
      <c r="I111" t="s">
        <v>1463</v>
      </c>
    </row>
    <row r="112" spans="1:9" x14ac:dyDescent="0.35">
      <c r="A112">
        <v>20260201</v>
      </c>
      <c r="B112" t="s">
        <v>1138</v>
      </c>
      <c r="C112">
        <v>6300</v>
      </c>
      <c r="D112" t="s">
        <v>1131</v>
      </c>
      <c r="E112">
        <v>86700</v>
      </c>
      <c r="F112" t="s">
        <v>1451</v>
      </c>
      <c r="G112">
        <v>0.75</v>
      </c>
      <c r="H112" t="s">
        <v>1462</v>
      </c>
      <c r="I112" t="s">
        <v>1463</v>
      </c>
    </row>
    <row r="113" spans="1:9" x14ac:dyDescent="0.35">
      <c r="A113">
        <v>20260201</v>
      </c>
      <c r="B113" t="s">
        <v>1138</v>
      </c>
      <c r="C113">
        <v>3900</v>
      </c>
      <c r="D113" t="s">
        <v>1131</v>
      </c>
      <c r="E113">
        <v>-663000</v>
      </c>
      <c r="F113" t="s">
        <v>1451</v>
      </c>
      <c r="G113">
        <v>0.75</v>
      </c>
      <c r="H113" t="s">
        <v>1462</v>
      </c>
      <c r="I113" t="s">
        <v>1463</v>
      </c>
    </row>
    <row r="114" spans="1:9" x14ac:dyDescent="0.35">
      <c r="A114">
        <v>20260301</v>
      </c>
      <c r="B114" t="s">
        <v>1150</v>
      </c>
      <c r="C114">
        <v>5000</v>
      </c>
      <c r="D114" t="s">
        <v>1131</v>
      </c>
      <c r="E114">
        <v>469200</v>
      </c>
      <c r="F114" t="s">
        <v>1451</v>
      </c>
      <c r="G114">
        <v>0.75</v>
      </c>
      <c r="H114" t="s">
        <v>1462</v>
      </c>
      <c r="I114" t="s">
        <v>1463</v>
      </c>
    </row>
    <row r="115" spans="1:9" x14ac:dyDescent="0.35">
      <c r="A115">
        <v>20260301</v>
      </c>
      <c r="B115" t="s">
        <v>1150</v>
      </c>
      <c r="C115">
        <v>5400</v>
      </c>
      <c r="D115" t="s">
        <v>1131</v>
      </c>
      <c r="E115">
        <v>66157.2</v>
      </c>
      <c r="F115" t="s">
        <v>1451</v>
      </c>
      <c r="G115">
        <v>0.75</v>
      </c>
      <c r="H115" t="s">
        <v>1462</v>
      </c>
      <c r="I115" t="s">
        <v>1463</v>
      </c>
    </row>
    <row r="116" spans="1:9" x14ac:dyDescent="0.35">
      <c r="A116">
        <v>20260301</v>
      </c>
      <c r="B116" t="s">
        <v>1150</v>
      </c>
      <c r="C116">
        <v>6300</v>
      </c>
      <c r="D116" t="s">
        <v>1131</v>
      </c>
      <c r="E116">
        <v>86700</v>
      </c>
      <c r="F116" t="s">
        <v>1451</v>
      </c>
      <c r="G116">
        <v>0.75</v>
      </c>
      <c r="H116" t="s">
        <v>1462</v>
      </c>
      <c r="I116" t="s">
        <v>1463</v>
      </c>
    </row>
    <row r="117" spans="1:9" x14ac:dyDescent="0.35">
      <c r="A117">
        <v>20260301</v>
      </c>
      <c r="B117" t="s">
        <v>1150</v>
      </c>
      <c r="C117">
        <v>3900</v>
      </c>
      <c r="D117" t="s">
        <v>1131</v>
      </c>
      <c r="E117">
        <v>-663000</v>
      </c>
      <c r="F117" t="s">
        <v>1451</v>
      </c>
      <c r="G117">
        <v>0.75</v>
      </c>
      <c r="H117" t="s">
        <v>1462</v>
      </c>
      <c r="I117" t="s">
        <v>1463</v>
      </c>
    </row>
    <row r="118" spans="1:9" x14ac:dyDescent="0.35">
      <c r="A118">
        <v>20260301</v>
      </c>
      <c r="B118" t="s">
        <v>1272</v>
      </c>
      <c r="C118">
        <v>5100</v>
      </c>
      <c r="D118" t="s">
        <v>485</v>
      </c>
      <c r="E118">
        <v>91800</v>
      </c>
      <c r="F118" t="s">
        <v>1451</v>
      </c>
      <c r="G118">
        <v>0.75</v>
      </c>
      <c r="H118" t="s">
        <v>1462</v>
      </c>
      <c r="I118" t="s">
        <v>1463</v>
      </c>
    </row>
    <row r="119" spans="1:9" x14ac:dyDescent="0.35">
      <c r="A119">
        <v>20260301</v>
      </c>
      <c r="B119" t="s">
        <v>1272</v>
      </c>
      <c r="C119">
        <v>3400</v>
      </c>
      <c r="D119" t="s">
        <v>485</v>
      </c>
      <c r="E119">
        <v>-91800</v>
      </c>
      <c r="F119" t="s">
        <v>1451</v>
      </c>
      <c r="G119">
        <v>0.75</v>
      </c>
      <c r="H119" t="s">
        <v>1462</v>
      </c>
      <c r="I119" t="s">
        <v>1463</v>
      </c>
    </row>
    <row r="120" spans="1:9" x14ac:dyDescent="0.35">
      <c r="A120">
        <v>20260301</v>
      </c>
      <c r="B120" t="s">
        <v>1158</v>
      </c>
      <c r="C120">
        <v>5000</v>
      </c>
      <c r="D120" t="s">
        <v>1131</v>
      </c>
      <c r="E120">
        <v>469200</v>
      </c>
      <c r="F120" t="s">
        <v>1451</v>
      </c>
      <c r="G120">
        <v>0.75</v>
      </c>
      <c r="H120" t="s">
        <v>1462</v>
      </c>
      <c r="I120" t="s">
        <v>1463</v>
      </c>
    </row>
    <row r="121" spans="1:9" x14ac:dyDescent="0.35">
      <c r="A121">
        <v>20260301</v>
      </c>
      <c r="B121" t="s">
        <v>1158</v>
      </c>
      <c r="C121">
        <v>5400</v>
      </c>
      <c r="D121" t="s">
        <v>1131</v>
      </c>
      <c r="E121">
        <v>66157.2</v>
      </c>
      <c r="F121" t="s">
        <v>1451</v>
      </c>
      <c r="G121">
        <v>0.75</v>
      </c>
      <c r="H121" t="s">
        <v>1462</v>
      </c>
      <c r="I121" t="s">
        <v>1463</v>
      </c>
    </row>
    <row r="122" spans="1:9" x14ac:dyDescent="0.35">
      <c r="A122">
        <v>20260301</v>
      </c>
      <c r="B122" t="s">
        <v>1158</v>
      </c>
      <c r="C122">
        <v>6300</v>
      </c>
      <c r="D122" t="s">
        <v>1131</v>
      </c>
      <c r="E122">
        <v>86700</v>
      </c>
      <c r="F122" t="s">
        <v>1451</v>
      </c>
      <c r="G122">
        <v>0.75</v>
      </c>
      <c r="H122" t="s">
        <v>1462</v>
      </c>
      <c r="I122" t="s">
        <v>1463</v>
      </c>
    </row>
    <row r="123" spans="1:9" x14ac:dyDescent="0.35">
      <c r="A123">
        <v>20260301</v>
      </c>
      <c r="B123" t="s">
        <v>1158</v>
      </c>
      <c r="C123">
        <v>3900</v>
      </c>
      <c r="D123" t="s">
        <v>1131</v>
      </c>
      <c r="E123">
        <v>-663000</v>
      </c>
      <c r="F123" t="s">
        <v>1451</v>
      </c>
      <c r="G123">
        <v>0.75</v>
      </c>
      <c r="H123" t="s">
        <v>1462</v>
      </c>
      <c r="I123" t="s">
        <v>1463</v>
      </c>
    </row>
    <row r="124" spans="1:9" x14ac:dyDescent="0.35">
      <c r="A124">
        <v>20260301</v>
      </c>
      <c r="B124" t="s">
        <v>1243</v>
      </c>
      <c r="C124">
        <v>5100</v>
      </c>
      <c r="D124" t="s">
        <v>485</v>
      </c>
      <c r="E124">
        <v>91800</v>
      </c>
      <c r="F124" t="s">
        <v>1451</v>
      </c>
      <c r="G124">
        <v>0.75</v>
      </c>
      <c r="H124" t="s">
        <v>1462</v>
      </c>
      <c r="I124" t="s">
        <v>1463</v>
      </c>
    </row>
    <row r="125" spans="1:9" x14ac:dyDescent="0.35">
      <c r="A125">
        <v>20260301</v>
      </c>
      <c r="B125" t="s">
        <v>1243</v>
      </c>
      <c r="C125">
        <v>3400</v>
      </c>
      <c r="D125" t="s">
        <v>485</v>
      </c>
      <c r="E125">
        <v>-91800</v>
      </c>
      <c r="F125" t="s">
        <v>1451</v>
      </c>
      <c r="G125">
        <v>0.75</v>
      </c>
      <c r="H125" t="s">
        <v>1462</v>
      </c>
      <c r="I125" t="s">
        <v>1463</v>
      </c>
    </row>
    <row r="126" spans="1:9" x14ac:dyDescent="0.35">
      <c r="A126">
        <v>20260301</v>
      </c>
      <c r="B126" t="s">
        <v>1205</v>
      </c>
      <c r="C126">
        <v>5000</v>
      </c>
      <c r="D126" t="s">
        <v>1131</v>
      </c>
      <c r="E126">
        <v>469200</v>
      </c>
      <c r="F126" t="s">
        <v>1451</v>
      </c>
      <c r="G126">
        <v>0.75</v>
      </c>
      <c r="H126" t="s">
        <v>1462</v>
      </c>
      <c r="I126" t="s">
        <v>1463</v>
      </c>
    </row>
    <row r="127" spans="1:9" x14ac:dyDescent="0.35">
      <c r="A127">
        <v>20260301</v>
      </c>
      <c r="B127" t="s">
        <v>1205</v>
      </c>
      <c r="C127">
        <v>5400</v>
      </c>
      <c r="D127" t="s">
        <v>1131</v>
      </c>
      <c r="E127">
        <v>66157.2</v>
      </c>
      <c r="F127" t="s">
        <v>1451</v>
      </c>
      <c r="G127">
        <v>0.75</v>
      </c>
      <c r="H127" t="s">
        <v>1462</v>
      </c>
      <c r="I127" t="s">
        <v>1463</v>
      </c>
    </row>
    <row r="128" spans="1:9" x14ac:dyDescent="0.35">
      <c r="A128">
        <v>20260301</v>
      </c>
      <c r="B128" t="s">
        <v>1205</v>
      </c>
      <c r="C128">
        <v>6300</v>
      </c>
      <c r="D128" t="s">
        <v>1131</v>
      </c>
      <c r="E128">
        <v>86700</v>
      </c>
      <c r="F128" t="s">
        <v>1451</v>
      </c>
      <c r="G128">
        <v>0.75</v>
      </c>
      <c r="H128" t="s">
        <v>1462</v>
      </c>
      <c r="I128" t="s">
        <v>1463</v>
      </c>
    </row>
    <row r="129" spans="1:9" x14ac:dyDescent="0.35">
      <c r="A129">
        <v>20260301</v>
      </c>
      <c r="B129" t="s">
        <v>1205</v>
      </c>
      <c r="C129">
        <v>3900</v>
      </c>
      <c r="D129" t="s">
        <v>1131</v>
      </c>
      <c r="E129">
        <v>-663000</v>
      </c>
      <c r="F129" t="s">
        <v>1451</v>
      </c>
      <c r="G129">
        <v>0.75</v>
      </c>
      <c r="H129" t="s">
        <v>1462</v>
      </c>
      <c r="I129" t="s">
        <v>1463</v>
      </c>
    </row>
    <row r="130" spans="1:9" x14ac:dyDescent="0.35">
      <c r="A130">
        <v>20260301</v>
      </c>
      <c r="B130" t="s">
        <v>1257</v>
      </c>
      <c r="C130">
        <v>5100</v>
      </c>
      <c r="D130" t="s">
        <v>485</v>
      </c>
      <c r="E130">
        <v>91800</v>
      </c>
      <c r="F130" t="s">
        <v>1451</v>
      </c>
      <c r="G130">
        <v>0.75</v>
      </c>
      <c r="H130" t="s">
        <v>1462</v>
      </c>
      <c r="I130" t="s">
        <v>1463</v>
      </c>
    </row>
    <row r="131" spans="1:9" x14ac:dyDescent="0.35">
      <c r="A131">
        <v>20260301</v>
      </c>
      <c r="B131" t="s">
        <v>1257</v>
      </c>
      <c r="C131">
        <v>3400</v>
      </c>
      <c r="D131" t="s">
        <v>485</v>
      </c>
      <c r="E131">
        <v>-91800</v>
      </c>
      <c r="F131" t="s">
        <v>1451</v>
      </c>
      <c r="G131">
        <v>0.75</v>
      </c>
      <c r="H131" t="s">
        <v>1462</v>
      </c>
      <c r="I131" t="s">
        <v>1463</v>
      </c>
    </row>
    <row r="132" spans="1:9" x14ac:dyDescent="0.35">
      <c r="A132">
        <v>20260301</v>
      </c>
      <c r="B132" t="s">
        <v>1164</v>
      </c>
      <c r="C132">
        <v>5000</v>
      </c>
      <c r="D132" t="s">
        <v>1131</v>
      </c>
      <c r="E132">
        <v>469200</v>
      </c>
      <c r="F132" t="s">
        <v>1451</v>
      </c>
      <c r="G132">
        <v>0.75</v>
      </c>
      <c r="H132" t="s">
        <v>1462</v>
      </c>
      <c r="I132" t="s">
        <v>1463</v>
      </c>
    </row>
    <row r="133" spans="1:9" x14ac:dyDescent="0.35">
      <c r="A133">
        <v>20260301</v>
      </c>
      <c r="B133" t="s">
        <v>1164</v>
      </c>
      <c r="C133">
        <v>5400</v>
      </c>
      <c r="D133" t="s">
        <v>1131</v>
      </c>
      <c r="E133">
        <v>66157.2</v>
      </c>
      <c r="F133" t="s">
        <v>1451</v>
      </c>
      <c r="G133">
        <v>0.75</v>
      </c>
      <c r="H133" t="s">
        <v>1462</v>
      </c>
      <c r="I133" t="s">
        <v>1463</v>
      </c>
    </row>
    <row r="134" spans="1:9" x14ac:dyDescent="0.35">
      <c r="A134">
        <v>20260301</v>
      </c>
      <c r="B134" t="s">
        <v>1164</v>
      </c>
      <c r="C134">
        <v>6300</v>
      </c>
      <c r="D134" t="s">
        <v>1131</v>
      </c>
      <c r="E134">
        <v>86700</v>
      </c>
      <c r="F134" t="s">
        <v>1451</v>
      </c>
      <c r="G134">
        <v>0.75</v>
      </c>
      <c r="H134" t="s">
        <v>1462</v>
      </c>
      <c r="I134" t="s">
        <v>1463</v>
      </c>
    </row>
    <row r="135" spans="1:9" x14ac:dyDescent="0.35">
      <c r="A135">
        <v>20260301</v>
      </c>
      <c r="B135" t="s">
        <v>1164</v>
      </c>
      <c r="C135">
        <v>3900</v>
      </c>
      <c r="D135" t="s">
        <v>1131</v>
      </c>
      <c r="E135">
        <v>-663000</v>
      </c>
      <c r="F135" t="s">
        <v>1451</v>
      </c>
      <c r="G135">
        <v>0.75</v>
      </c>
      <c r="H135" t="s">
        <v>1462</v>
      </c>
      <c r="I135" t="s">
        <v>1463</v>
      </c>
    </row>
    <row r="136" spans="1:9" x14ac:dyDescent="0.35">
      <c r="A136">
        <v>20260301</v>
      </c>
      <c r="B136" t="s">
        <v>1249</v>
      </c>
      <c r="C136">
        <v>5100</v>
      </c>
      <c r="D136" t="s">
        <v>485</v>
      </c>
      <c r="E136">
        <v>91800</v>
      </c>
      <c r="F136" t="s">
        <v>1451</v>
      </c>
      <c r="G136">
        <v>0.75</v>
      </c>
      <c r="H136" t="s">
        <v>1462</v>
      </c>
      <c r="I136" t="s">
        <v>1463</v>
      </c>
    </row>
    <row r="137" spans="1:9" x14ac:dyDescent="0.35">
      <c r="A137">
        <v>20260301</v>
      </c>
      <c r="B137" t="s">
        <v>1249</v>
      </c>
      <c r="C137">
        <v>3400</v>
      </c>
      <c r="D137" t="s">
        <v>485</v>
      </c>
      <c r="E137">
        <v>-91800</v>
      </c>
      <c r="F137" t="s">
        <v>1451</v>
      </c>
      <c r="G137">
        <v>0.75</v>
      </c>
      <c r="H137" t="s">
        <v>1462</v>
      </c>
      <c r="I137" t="s">
        <v>1463</v>
      </c>
    </row>
    <row r="138" spans="1:9" x14ac:dyDescent="0.35">
      <c r="A138">
        <v>20260301</v>
      </c>
      <c r="B138" t="s">
        <v>1169</v>
      </c>
      <c r="C138">
        <v>5000</v>
      </c>
      <c r="D138" t="s">
        <v>1131</v>
      </c>
      <c r="E138">
        <v>469200</v>
      </c>
      <c r="F138" t="s">
        <v>1451</v>
      </c>
      <c r="G138">
        <v>0.75</v>
      </c>
      <c r="H138" t="s">
        <v>1462</v>
      </c>
      <c r="I138" t="s">
        <v>1463</v>
      </c>
    </row>
    <row r="139" spans="1:9" x14ac:dyDescent="0.35">
      <c r="A139">
        <v>20260301</v>
      </c>
      <c r="B139" t="s">
        <v>1169</v>
      </c>
      <c r="C139">
        <v>5400</v>
      </c>
      <c r="D139" t="s">
        <v>1131</v>
      </c>
      <c r="E139">
        <v>66157.2</v>
      </c>
      <c r="F139" t="s">
        <v>1451</v>
      </c>
      <c r="G139">
        <v>0.75</v>
      </c>
      <c r="H139" t="s">
        <v>1462</v>
      </c>
      <c r="I139" t="s">
        <v>1463</v>
      </c>
    </row>
    <row r="140" spans="1:9" x14ac:dyDescent="0.35">
      <c r="A140">
        <v>20260301</v>
      </c>
      <c r="B140" t="s">
        <v>1169</v>
      </c>
      <c r="C140">
        <v>6300</v>
      </c>
      <c r="D140" t="s">
        <v>1131</v>
      </c>
      <c r="E140">
        <v>86700</v>
      </c>
      <c r="F140" t="s">
        <v>1451</v>
      </c>
      <c r="G140">
        <v>0.75</v>
      </c>
      <c r="H140" t="s">
        <v>1462</v>
      </c>
      <c r="I140" t="s">
        <v>1463</v>
      </c>
    </row>
    <row r="141" spans="1:9" x14ac:dyDescent="0.35">
      <c r="A141">
        <v>20260301</v>
      </c>
      <c r="B141" t="s">
        <v>1169</v>
      </c>
      <c r="C141">
        <v>3900</v>
      </c>
      <c r="D141" t="s">
        <v>1131</v>
      </c>
      <c r="E141">
        <v>-663000</v>
      </c>
      <c r="F141" t="s">
        <v>1451</v>
      </c>
      <c r="G141">
        <v>0.75</v>
      </c>
      <c r="H141" t="s">
        <v>1462</v>
      </c>
      <c r="I141" t="s">
        <v>1463</v>
      </c>
    </row>
    <row r="142" spans="1:9" x14ac:dyDescent="0.35">
      <c r="A142">
        <v>20260301</v>
      </c>
      <c r="B142" t="s">
        <v>1260</v>
      </c>
      <c r="C142">
        <v>5100</v>
      </c>
      <c r="D142" t="s">
        <v>485</v>
      </c>
      <c r="E142">
        <v>91800</v>
      </c>
      <c r="F142" t="s">
        <v>1451</v>
      </c>
      <c r="G142">
        <v>0.75</v>
      </c>
      <c r="H142" t="s">
        <v>1462</v>
      </c>
      <c r="I142" t="s">
        <v>1463</v>
      </c>
    </row>
    <row r="143" spans="1:9" x14ac:dyDescent="0.35">
      <c r="A143">
        <v>20260301</v>
      </c>
      <c r="B143" t="s">
        <v>1260</v>
      </c>
      <c r="C143">
        <v>3400</v>
      </c>
      <c r="D143" t="s">
        <v>485</v>
      </c>
      <c r="E143">
        <v>-91800</v>
      </c>
      <c r="F143" t="s">
        <v>1451</v>
      </c>
      <c r="G143">
        <v>0.75</v>
      </c>
      <c r="H143" t="s">
        <v>1462</v>
      </c>
      <c r="I143" t="s">
        <v>1463</v>
      </c>
    </row>
    <row r="144" spans="1:9" x14ac:dyDescent="0.35">
      <c r="A144">
        <v>20260301</v>
      </c>
      <c r="B144" t="s">
        <v>1175</v>
      </c>
      <c r="C144">
        <v>5000</v>
      </c>
      <c r="D144" t="s">
        <v>1131</v>
      </c>
      <c r="E144">
        <v>469200</v>
      </c>
      <c r="F144" t="s">
        <v>1451</v>
      </c>
      <c r="G144">
        <v>0.75</v>
      </c>
      <c r="H144" t="s">
        <v>1462</v>
      </c>
      <c r="I144" t="s">
        <v>1463</v>
      </c>
    </row>
    <row r="145" spans="1:9" x14ac:dyDescent="0.35">
      <c r="A145">
        <v>20260301</v>
      </c>
      <c r="B145" t="s">
        <v>1175</v>
      </c>
      <c r="C145">
        <v>5400</v>
      </c>
      <c r="D145" t="s">
        <v>1131</v>
      </c>
      <c r="E145">
        <v>66157.2</v>
      </c>
      <c r="F145" t="s">
        <v>1451</v>
      </c>
      <c r="G145">
        <v>0.75</v>
      </c>
      <c r="H145" t="s">
        <v>1462</v>
      </c>
      <c r="I145" t="s">
        <v>1463</v>
      </c>
    </row>
    <row r="146" spans="1:9" x14ac:dyDescent="0.35">
      <c r="A146">
        <v>20260301</v>
      </c>
      <c r="B146" t="s">
        <v>1175</v>
      </c>
      <c r="C146">
        <v>6300</v>
      </c>
      <c r="D146" t="s">
        <v>1131</v>
      </c>
      <c r="E146">
        <v>86700</v>
      </c>
      <c r="F146" t="s">
        <v>1451</v>
      </c>
      <c r="G146">
        <v>0.75</v>
      </c>
      <c r="H146" t="s">
        <v>1462</v>
      </c>
      <c r="I146" t="s">
        <v>1463</v>
      </c>
    </row>
    <row r="147" spans="1:9" x14ac:dyDescent="0.35">
      <c r="A147">
        <v>20260301</v>
      </c>
      <c r="B147" t="s">
        <v>1175</v>
      </c>
      <c r="C147">
        <v>3900</v>
      </c>
      <c r="D147" t="s">
        <v>1131</v>
      </c>
      <c r="E147">
        <v>-663000</v>
      </c>
      <c r="F147" t="s">
        <v>1451</v>
      </c>
      <c r="G147">
        <v>0.75</v>
      </c>
      <c r="H147" t="s">
        <v>1462</v>
      </c>
      <c r="I147" t="s">
        <v>1463</v>
      </c>
    </row>
    <row r="148" spans="1:9" x14ac:dyDescent="0.35">
      <c r="A148">
        <v>20260301</v>
      </c>
      <c r="B148" t="s">
        <v>1247</v>
      </c>
      <c r="C148">
        <v>5100</v>
      </c>
      <c r="D148" t="s">
        <v>485</v>
      </c>
      <c r="E148">
        <v>91800</v>
      </c>
      <c r="F148" t="s">
        <v>1451</v>
      </c>
      <c r="G148">
        <v>0.75</v>
      </c>
      <c r="H148" t="s">
        <v>1462</v>
      </c>
      <c r="I148" t="s">
        <v>1463</v>
      </c>
    </row>
    <row r="149" spans="1:9" x14ac:dyDescent="0.35">
      <c r="A149">
        <v>20260301</v>
      </c>
      <c r="B149" t="s">
        <v>1247</v>
      </c>
      <c r="C149">
        <v>3400</v>
      </c>
      <c r="D149" t="s">
        <v>485</v>
      </c>
      <c r="E149">
        <v>-91800</v>
      </c>
      <c r="F149" t="s">
        <v>1451</v>
      </c>
      <c r="G149">
        <v>0.75</v>
      </c>
      <c r="H149" t="s">
        <v>1462</v>
      </c>
      <c r="I149" t="s">
        <v>1463</v>
      </c>
    </row>
    <row r="150" spans="1:9" x14ac:dyDescent="0.35">
      <c r="A150">
        <v>20260301</v>
      </c>
      <c r="B150" t="s">
        <v>1130</v>
      </c>
      <c r="C150">
        <v>5000</v>
      </c>
      <c r="D150" t="s">
        <v>1131</v>
      </c>
      <c r="E150">
        <v>469200</v>
      </c>
      <c r="F150" t="s">
        <v>1451</v>
      </c>
      <c r="G150">
        <v>0.75</v>
      </c>
      <c r="H150" t="s">
        <v>1462</v>
      </c>
      <c r="I150" t="s">
        <v>1463</v>
      </c>
    </row>
    <row r="151" spans="1:9" x14ac:dyDescent="0.35">
      <c r="A151">
        <v>20260301</v>
      </c>
      <c r="B151" t="s">
        <v>1130</v>
      </c>
      <c r="C151">
        <v>5400</v>
      </c>
      <c r="D151" t="s">
        <v>1131</v>
      </c>
      <c r="E151">
        <v>66157.2</v>
      </c>
      <c r="F151" t="s">
        <v>1451</v>
      </c>
      <c r="G151">
        <v>0.75</v>
      </c>
      <c r="H151" t="s">
        <v>1462</v>
      </c>
      <c r="I151" t="s">
        <v>1463</v>
      </c>
    </row>
    <row r="152" spans="1:9" x14ac:dyDescent="0.35">
      <c r="A152">
        <v>20260301</v>
      </c>
      <c r="B152" t="s">
        <v>1130</v>
      </c>
      <c r="C152">
        <v>6300</v>
      </c>
      <c r="D152" t="s">
        <v>1131</v>
      </c>
      <c r="E152">
        <v>86700</v>
      </c>
      <c r="F152" t="s">
        <v>1451</v>
      </c>
      <c r="G152">
        <v>0.75</v>
      </c>
      <c r="H152" t="s">
        <v>1462</v>
      </c>
      <c r="I152" t="s">
        <v>1463</v>
      </c>
    </row>
    <row r="153" spans="1:9" x14ac:dyDescent="0.35">
      <c r="A153">
        <v>20260301</v>
      </c>
      <c r="B153" t="s">
        <v>1130</v>
      </c>
      <c r="C153">
        <v>3900</v>
      </c>
      <c r="D153" t="s">
        <v>1131</v>
      </c>
      <c r="E153">
        <v>-663000</v>
      </c>
      <c r="F153" t="s">
        <v>1451</v>
      </c>
      <c r="G153">
        <v>0.75</v>
      </c>
      <c r="H153" t="s">
        <v>1462</v>
      </c>
      <c r="I153" t="s">
        <v>1463</v>
      </c>
    </row>
    <row r="154" spans="1:9" x14ac:dyDescent="0.35">
      <c r="A154">
        <v>20260301</v>
      </c>
      <c r="B154" t="s">
        <v>1265</v>
      </c>
      <c r="C154">
        <v>5100</v>
      </c>
      <c r="D154" t="s">
        <v>485</v>
      </c>
      <c r="E154">
        <v>91800</v>
      </c>
      <c r="F154" t="s">
        <v>1451</v>
      </c>
      <c r="G154">
        <v>0.75</v>
      </c>
      <c r="H154" t="s">
        <v>1462</v>
      </c>
      <c r="I154" t="s">
        <v>1463</v>
      </c>
    </row>
    <row r="155" spans="1:9" x14ac:dyDescent="0.35">
      <c r="A155">
        <v>20260301</v>
      </c>
      <c r="B155" t="s">
        <v>1265</v>
      </c>
      <c r="C155">
        <v>3400</v>
      </c>
      <c r="D155" t="s">
        <v>485</v>
      </c>
      <c r="E155">
        <v>-91800</v>
      </c>
      <c r="F155" t="s">
        <v>1451</v>
      </c>
      <c r="G155">
        <v>0.75</v>
      </c>
      <c r="H155" t="s">
        <v>1462</v>
      </c>
      <c r="I155" t="s">
        <v>1463</v>
      </c>
    </row>
    <row r="156" spans="1:9" x14ac:dyDescent="0.35">
      <c r="A156">
        <v>20260301</v>
      </c>
      <c r="B156" t="s">
        <v>1173</v>
      </c>
      <c r="C156">
        <v>5000</v>
      </c>
      <c r="D156" t="s">
        <v>1131</v>
      </c>
      <c r="E156">
        <v>469200</v>
      </c>
      <c r="F156" t="s">
        <v>1451</v>
      </c>
      <c r="G156">
        <v>0.75</v>
      </c>
      <c r="H156" t="s">
        <v>1462</v>
      </c>
      <c r="I156" t="s">
        <v>1463</v>
      </c>
    </row>
    <row r="157" spans="1:9" x14ac:dyDescent="0.35">
      <c r="A157">
        <v>20260301</v>
      </c>
      <c r="B157" t="s">
        <v>1173</v>
      </c>
      <c r="C157">
        <v>5400</v>
      </c>
      <c r="D157" t="s">
        <v>1131</v>
      </c>
      <c r="E157">
        <v>66157.2</v>
      </c>
      <c r="F157" t="s">
        <v>1451</v>
      </c>
      <c r="G157">
        <v>0.75</v>
      </c>
      <c r="H157" t="s">
        <v>1462</v>
      </c>
      <c r="I157" t="s">
        <v>1463</v>
      </c>
    </row>
    <row r="158" spans="1:9" x14ac:dyDescent="0.35">
      <c r="A158">
        <v>20260301</v>
      </c>
      <c r="B158" t="s">
        <v>1173</v>
      </c>
      <c r="C158">
        <v>6300</v>
      </c>
      <c r="D158" t="s">
        <v>1131</v>
      </c>
      <c r="E158">
        <v>86700</v>
      </c>
      <c r="F158" t="s">
        <v>1451</v>
      </c>
      <c r="G158">
        <v>0.75</v>
      </c>
      <c r="H158" t="s">
        <v>1462</v>
      </c>
      <c r="I158" t="s">
        <v>1463</v>
      </c>
    </row>
    <row r="159" spans="1:9" x14ac:dyDescent="0.35">
      <c r="A159">
        <v>20260301</v>
      </c>
      <c r="B159" t="s">
        <v>1173</v>
      </c>
      <c r="C159">
        <v>3900</v>
      </c>
      <c r="D159" t="s">
        <v>1131</v>
      </c>
      <c r="E159">
        <v>-663000</v>
      </c>
      <c r="F159" t="s">
        <v>1451</v>
      </c>
      <c r="G159">
        <v>0.75</v>
      </c>
      <c r="H159" t="s">
        <v>1462</v>
      </c>
      <c r="I159" t="s">
        <v>1463</v>
      </c>
    </row>
    <row r="160" spans="1:9" x14ac:dyDescent="0.35">
      <c r="A160">
        <v>20260301</v>
      </c>
      <c r="B160" t="s">
        <v>1255</v>
      </c>
      <c r="C160">
        <v>5100</v>
      </c>
      <c r="D160" t="s">
        <v>485</v>
      </c>
      <c r="E160">
        <v>91800</v>
      </c>
      <c r="F160" t="s">
        <v>1451</v>
      </c>
      <c r="G160">
        <v>0.75</v>
      </c>
      <c r="H160" t="s">
        <v>1462</v>
      </c>
      <c r="I160" t="s">
        <v>1463</v>
      </c>
    </row>
    <row r="161" spans="1:9" x14ac:dyDescent="0.35">
      <c r="A161">
        <v>20260301</v>
      </c>
      <c r="B161" t="s">
        <v>1255</v>
      </c>
      <c r="C161">
        <v>3400</v>
      </c>
      <c r="D161" t="s">
        <v>485</v>
      </c>
      <c r="E161">
        <v>-91800</v>
      </c>
      <c r="F161" t="s">
        <v>1451</v>
      </c>
      <c r="G161">
        <v>0.75</v>
      </c>
      <c r="H161" t="s">
        <v>1462</v>
      </c>
      <c r="I161" t="s">
        <v>1463</v>
      </c>
    </row>
    <row r="162" spans="1:9" x14ac:dyDescent="0.35">
      <c r="A162">
        <v>20260301</v>
      </c>
      <c r="B162" t="s">
        <v>1155</v>
      </c>
      <c r="C162">
        <v>5000</v>
      </c>
      <c r="D162" t="s">
        <v>1131</v>
      </c>
      <c r="E162">
        <v>469200</v>
      </c>
      <c r="F162" t="s">
        <v>1451</v>
      </c>
      <c r="G162">
        <v>0.75</v>
      </c>
      <c r="H162" t="s">
        <v>1462</v>
      </c>
      <c r="I162" t="s">
        <v>1463</v>
      </c>
    </row>
    <row r="163" spans="1:9" x14ac:dyDescent="0.35">
      <c r="A163">
        <v>20260301</v>
      </c>
      <c r="B163" t="s">
        <v>1155</v>
      </c>
      <c r="C163">
        <v>5400</v>
      </c>
      <c r="D163" t="s">
        <v>1131</v>
      </c>
      <c r="E163">
        <v>66157.2</v>
      </c>
      <c r="F163" t="s">
        <v>1451</v>
      </c>
      <c r="G163">
        <v>0.75</v>
      </c>
      <c r="H163" t="s">
        <v>1462</v>
      </c>
      <c r="I163" t="s">
        <v>1463</v>
      </c>
    </row>
    <row r="164" spans="1:9" x14ac:dyDescent="0.35">
      <c r="A164">
        <v>20260301</v>
      </c>
      <c r="B164" t="s">
        <v>1155</v>
      </c>
      <c r="C164">
        <v>6300</v>
      </c>
      <c r="D164" t="s">
        <v>1131</v>
      </c>
      <c r="E164">
        <v>86700</v>
      </c>
      <c r="F164" t="s">
        <v>1451</v>
      </c>
      <c r="G164">
        <v>0.75</v>
      </c>
      <c r="H164" t="s">
        <v>1462</v>
      </c>
      <c r="I164" t="s">
        <v>1463</v>
      </c>
    </row>
    <row r="165" spans="1:9" x14ac:dyDescent="0.35">
      <c r="A165">
        <v>20260301</v>
      </c>
      <c r="B165" t="s">
        <v>1155</v>
      </c>
      <c r="C165">
        <v>3900</v>
      </c>
      <c r="D165" t="s">
        <v>1131</v>
      </c>
      <c r="E165">
        <v>-663000</v>
      </c>
      <c r="F165" t="s">
        <v>1451</v>
      </c>
      <c r="G165">
        <v>0.75</v>
      </c>
      <c r="H165" t="s">
        <v>1462</v>
      </c>
      <c r="I165" t="s">
        <v>1463</v>
      </c>
    </row>
    <row r="166" spans="1:9" x14ac:dyDescent="0.35">
      <c r="A166">
        <v>20260301</v>
      </c>
      <c r="B166" t="s">
        <v>1138</v>
      </c>
      <c r="C166">
        <v>5000</v>
      </c>
      <c r="D166" t="s">
        <v>1131</v>
      </c>
      <c r="E166">
        <v>469200</v>
      </c>
      <c r="F166" t="s">
        <v>1451</v>
      </c>
      <c r="G166">
        <v>0.75</v>
      </c>
      <c r="H166" t="s">
        <v>1462</v>
      </c>
      <c r="I166" t="s">
        <v>1463</v>
      </c>
    </row>
    <row r="167" spans="1:9" x14ac:dyDescent="0.35">
      <c r="A167">
        <v>20260301</v>
      </c>
      <c r="B167" t="s">
        <v>1138</v>
      </c>
      <c r="C167">
        <v>5400</v>
      </c>
      <c r="D167" t="s">
        <v>1131</v>
      </c>
      <c r="E167">
        <v>66157.2</v>
      </c>
      <c r="F167" t="s">
        <v>1451</v>
      </c>
      <c r="G167">
        <v>0.75</v>
      </c>
      <c r="H167" t="s">
        <v>1462</v>
      </c>
      <c r="I167" t="s">
        <v>1463</v>
      </c>
    </row>
    <row r="168" spans="1:9" x14ac:dyDescent="0.35">
      <c r="A168">
        <v>20260301</v>
      </c>
      <c r="B168" t="s">
        <v>1138</v>
      </c>
      <c r="C168">
        <v>6300</v>
      </c>
      <c r="D168" t="s">
        <v>1131</v>
      </c>
      <c r="E168">
        <v>86700</v>
      </c>
      <c r="F168" t="s">
        <v>1451</v>
      </c>
      <c r="G168">
        <v>0.75</v>
      </c>
      <c r="H168" t="s">
        <v>1462</v>
      </c>
      <c r="I168" t="s">
        <v>1463</v>
      </c>
    </row>
    <row r="169" spans="1:9" x14ac:dyDescent="0.35">
      <c r="A169">
        <v>20260301</v>
      </c>
      <c r="B169" t="s">
        <v>1138</v>
      </c>
      <c r="C169">
        <v>3900</v>
      </c>
      <c r="D169" t="s">
        <v>1131</v>
      </c>
      <c r="E169">
        <v>-663000</v>
      </c>
      <c r="F169" t="s">
        <v>1451</v>
      </c>
      <c r="G169">
        <v>0.75</v>
      </c>
      <c r="H169" t="s">
        <v>1462</v>
      </c>
      <c r="I169" t="s">
        <v>1463</v>
      </c>
    </row>
    <row r="170" spans="1:9" x14ac:dyDescent="0.35">
      <c r="A170">
        <v>20260401</v>
      </c>
      <c r="B170" t="s">
        <v>1150</v>
      </c>
      <c r="C170">
        <v>5000</v>
      </c>
      <c r="D170" t="s">
        <v>1131</v>
      </c>
      <c r="E170">
        <v>469200</v>
      </c>
      <c r="F170" t="s">
        <v>1451</v>
      </c>
      <c r="G170">
        <v>0.75</v>
      </c>
      <c r="H170" t="s">
        <v>1462</v>
      </c>
      <c r="I170" t="s">
        <v>1463</v>
      </c>
    </row>
    <row r="171" spans="1:9" x14ac:dyDescent="0.35">
      <c r="A171">
        <v>20260401</v>
      </c>
      <c r="B171" t="s">
        <v>1150</v>
      </c>
      <c r="C171">
        <v>5400</v>
      </c>
      <c r="D171" t="s">
        <v>1131</v>
      </c>
      <c r="E171">
        <v>66157.2</v>
      </c>
      <c r="F171" t="s">
        <v>1451</v>
      </c>
      <c r="G171">
        <v>0.75</v>
      </c>
      <c r="H171" t="s">
        <v>1462</v>
      </c>
      <c r="I171" t="s">
        <v>1463</v>
      </c>
    </row>
    <row r="172" spans="1:9" x14ac:dyDescent="0.35">
      <c r="A172">
        <v>20260401</v>
      </c>
      <c r="B172" t="s">
        <v>1150</v>
      </c>
      <c r="C172">
        <v>6300</v>
      </c>
      <c r="D172" t="s">
        <v>1131</v>
      </c>
      <c r="E172">
        <v>86700</v>
      </c>
      <c r="F172" t="s">
        <v>1451</v>
      </c>
      <c r="G172">
        <v>0.75</v>
      </c>
      <c r="H172" t="s">
        <v>1462</v>
      </c>
      <c r="I172" t="s">
        <v>1463</v>
      </c>
    </row>
    <row r="173" spans="1:9" x14ac:dyDescent="0.35">
      <c r="A173">
        <v>20260401</v>
      </c>
      <c r="B173" t="s">
        <v>1150</v>
      </c>
      <c r="C173">
        <v>3900</v>
      </c>
      <c r="D173" t="s">
        <v>1131</v>
      </c>
      <c r="E173">
        <v>-663000</v>
      </c>
      <c r="F173" t="s">
        <v>1451</v>
      </c>
      <c r="G173">
        <v>0.75</v>
      </c>
      <c r="H173" t="s">
        <v>1462</v>
      </c>
      <c r="I173" t="s">
        <v>1463</v>
      </c>
    </row>
    <row r="174" spans="1:9" x14ac:dyDescent="0.35">
      <c r="A174">
        <v>20260401</v>
      </c>
      <c r="B174" t="s">
        <v>1272</v>
      </c>
      <c r="C174">
        <v>5100</v>
      </c>
      <c r="D174" t="s">
        <v>485</v>
      </c>
      <c r="E174">
        <v>91800</v>
      </c>
      <c r="F174" t="s">
        <v>1451</v>
      </c>
      <c r="G174">
        <v>0.75</v>
      </c>
      <c r="H174" t="s">
        <v>1462</v>
      </c>
      <c r="I174" t="s">
        <v>1463</v>
      </c>
    </row>
    <row r="175" spans="1:9" x14ac:dyDescent="0.35">
      <c r="A175">
        <v>20260401</v>
      </c>
      <c r="B175" t="s">
        <v>1272</v>
      </c>
      <c r="C175">
        <v>3400</v>
      </c>
      <c r="D175" t="s">
        <v>485</v>
      </c>
      <c r="E175">
        <v>-91800</v>
      </c>
      <c r="F175" t="s">
        <v>1451</v>
      </c>
      <c r="G175">
        <v>0.75</v>
      </c>
      <c r="H175" t="s">
        <v>1462</v>
      </c>
      <c r="I175" t="s">
        <v>1463</v>
      </c>
    </row>
    <row r="176" spans="1:9" x14ac:dyDescent="0.35">
      <c r="A176">
        <v>20260401</v>
      </c>
      <c r="B176" t="s">
        <v>1158</v>
      </c>
      <c r="C176">
        <v>5000</v>
      </c>
      <c r="D176" t="s">
        <v>1131</v>
      </c>
      <c r="E176">
        <v>469200</v>
      </c>
      <c r="F176" t="s">
        <v>1451</v>
      </c>
      <c r="G176">
        <v>0.75</v>
      </c>
      <c r="H176" t="s">
        <v>1462</v>
      </c>
      <c r="I176" t="s">
        <v>1463</v>
      </c>
    </row>
    <row r="177" spans="1:9" x14ac:dyDescent="0.35">
      <c r="A177">
        <v>20260401</v>
      </c>
      <c r="B177" t="s">
        <v>1158</v>
      </c>
      <c r="C177">
        <v>5400</v>
      </c>
      <c r="D177" t="s">
        <v>1131</v>
      </c>
      <c r="E177">
        <v>66157.2</v>
      </c>
      <c r="F177" t="s">
        <v>1451</v>
      </c>
      <c r="G177">
        <v>0.75</v>
      </c>
      <c r="H177" t="s">
        <v>1462</v>
      </c>
      <c r="I177" t="s">
        <v>1463</v>
      </c>
    </row>
    <row r="178" spans="1:9" x14ac:dyDescent="0.35">
      <c r="A178">
        <v>20260401</v>
      </c>
      <c r="B178" t="s">
        <v>1158</v>
      </c>
      <c r="C178">
        <v>6300</v>
      </c>
      <c r="D178" t="s">
        <v>1131</v>
      </c>
      <c r="E178">
        <v>86700</v>
      </c>
      <c r="F178" t="s">
        <v>1451</v>
      </c>
      <c r="G178">
        <v>0.75</v>
      </c>
      <c r="H178" t="s">
        <v>1462</v>
      </c>
      <c r="I178" t="s">
        <v>1463</v>
      </c>
    </row>
    <row r="179" spans="1:9" x14ac:dyDescent="0.35">
      <c r="A179">
        <v>20260401</v>
      </c>
      <c r="B179" t="s">
        <v>1158</v>
      </c>
      <c r="C179">
        <v>3900</v>
      </c>
      <c r="D179" t="s">
        <v>1131</v>
      </c>
      <c r="E179">
        <v>-663000</v>
      </c>
      <c r="F179" t="s">
        <v>1451</v>
      </c>
      <c r="G179">
        <v>0.75</v>
      </c>
      <c r="H179" t="s">
        <v>1462</v>
      </c>
      <c r="I179" t="s">
        <v>1463</v>
      </c>
    </row>
    <row r="180" spans="1:9" x14ac:dyDescent="0.35">
      <c r="A180">
        <v>20260401</v>
      </c>
      <c r="B180" t="s">
        <v>1243</v>
      </c>
      <c r="C180">
        <v>5100</v>
      </c>
      <c r="D180" t="s">
        <v>485</v>
      </c>
      <c r="E180">
        <v>91800</v>
      </c>
      <c r="F180" t="s">
        <v>1451</v>
      </c>
      <c r="G180">
        <v>0.75</v>
      </c>
      <c r="H180" t="s">
        <v>1462</v>
      </c>
      <c r="I180" t="s">
        <v>1463</v>
      </c>
    </row>
    <row r="181" spans="1:9" x14ac:dyDescent="0.35">
      <c r="A181">
        <v>20260401</v>
      </c>
      <c r="B181" t="s">
        <v>1243</v>
      </c>
      <c r="C181">
        <v>3400</v>
      </c>
      <c r="D181" t="s">
        <v>485</v>
      </c>
      <c r="E181">
        <v>-91800</v>
      </c>
      <c r="F181" t="s">
        <v>1451</v>
      </c>
      <c r="G181">
        <v>0.75</v>
      </c>
      <c r="H181" t="s">
        <v>1462</v>
      </c>
      <c r="I181" t="s">
        <v>1463</v>
      </c>
    </row>
    <row r="182" spans="1:9" x14ac:dyDescent="0.35">
      <c r="A182">
        <v>20260401</v>
      </c>
      <c r="B182" t="s">
        <v>1205</v>
      </c>
      <c r="C182">
        <v>5000</v>
      </c>
      <c r="D182" t="s">
        <v>1131</v>
      </c>
      <c r="E182">
        <v>469200</v>
      </c>
      <c r="F182" t="s">
        <v>1451</v>
      </c>
      <c r="G182">
        <v>0.75</v>
      </c>
      <c r="H182" t="s">
        <v>1462</v>
      </c>
      <c r="I182" t="s">
        <v>1463</v>
      </c>
    </row>
    <row r="183" spans="1:9" x14ac:dyDescent="0.35">
      <c r="A183">
        <v>20260401</v>
      </c>
      <c r="B183" t="s">
        <v>1205</v>
      </c>
      <c r="C183">
        <v>5400</v>
      </c>
      <c r="D183" t="s">
        <v>1131</v>
      </c>
      <c r="E183">
        <v>66157.2</v>
      </c>
      <c r="F183" t="s">
        <v>1451</v>
      </c>
      <c r="G183">
        <v>0.75</v>
      </c>
      <c r="H183" t="s">
        <v>1462</v>
      </c>
      <c r="I183" t="s">
        <v>1463</v>
      </c>
    </row>
    <row r="184" spans="1:9" x14ac:dyDescent="0.35">
      <c r="A184">
        <v>20260401</v>
      </c>
      <c r="B184" t="s">
        <v>1205</v>
      </c>
      <c r="C184">
        <v>6300</v>
      </c>
      <c r="D184" t="s">
        <v>1131</v>
      </c>
      <c r="E184">
        <v>86700</v>
      </c>
      <c r="F184" t="s">
        <v>1451</v>
      </c>
      <c r="G184">
        <v>0.75</v>
      </c>
      <c r="H184" t="s">
        <v>1462</v>
      </c>
      <c r="I184" t="s">
        <v>1463</v>
      </c>
    </row>
    <row r="185" spans="1:9" x14ac:dyDescent="0.35">
      <c r="A185">
        <v>20260401</v>
      </c>
      <c r="B185" t="s">
        <v>1205</v>
      </c>
      <c r="C185">
        <v>3900</v>
      </c>
      <c r="D185" t="s">
        <v>1131</v>
      </c>
      <c r="E185">
        <v>-663000</v>
      </c>
      <c r="F185" t="s">
        <v>1451</v>
      </c>
      <c r="G185">
        <v>0.75</v>
      </c>
      <c r="H185" t="s">
        <v>1462</v>
      </c>
      <c r="I185" t="s">
        <v>1463</v>
      </c>
    </row>
    <row r="186" spans="1:9" x14ac:dyDescent="0.35">
      <c r="A186">
        <v>20260401</v>
      </c>
      <c r="B186" t="s">
        <v>1257</v>
      </c>
      <c r="C186">
        <v>5100</v>
      </c>
      <c r="D186" t="s">
        <v>485</v>
      </c>
      <c r="E186">
        <v>91800</v>
      </c>
      <c r="F186" t="s">
        <v>1451</v>
      </c>
      <c r="G186">
        <v>0.75</v>
      </c>
      <c r="H186" t="s">
        <v>1462</v>
      </c>
      <c r="I186" t="s">
        <v>1463</v>
      </c>
    </row>
    <row r="187" spans="1:9" x14ac:dyDescent="0.35">
      <c r="A187">
        <v>20260401</v>
      </c>
      <c r="B187" t="s">
        <v>1257</v>
      </c>
      <c r="C187">
        <v>3400</v>
      </c>
      <c r="D187" t="s">
        <v>485</v>
      </c>
      <c r="E187">
        <v>-91800</v>
      </c>
      <c r="F187" t="s">
        <v>1451</v>
      </c>
      <c r="G187">
        <v>0.75</v>
      </c>
      <c r="H187" t="s">
        <v>1462</v>
      </c>
      <c r="I187" t="s">
        <v>1463</v>
      </c>
    </row>
    <row r="188" spans="1:9" x14ac:dyDescent="0.35">
      <c r="A188">
        <v>20260401</v>
      </c>
      <c r="B188" t="s">
        <v>1164</v>
      </c>
      <c r="C188">
        <v>5000</v>
      </c>
      <c r="D188" t="s">
        <v>1131</v>
      </c>
      <c r="E188">
        <v>469200</v>
      </c>
      <c r="F188" t="s">
        <v>1451</v>
      </c>
      <c r="G188">
        <v>0.75</v>
      </c>
      <c r="H188" t="s">
        <v>1462</v>
      </c>
      <c r="I188" t="s">
        <v>1463</v>
      </c>
    </row>
    <row r="189" spans="1:9" x14ac:dyDescent="0.35">
      <c r="A189">
        <v>20260401</v>
      </c>
      <c r="B189" t="s">
        <v>1164</v>
      </c>
      <c r="C189">
        <v>5400</v>
      </c>
      <c r="D189" t="s">
        <v>1131</v>
      </c>
      <c r="E189">
        <v>66157.2</v>
      </c>
      <c r="F189" t="s">
        <v>1451</v>
      </c>
      <c r="G189">
        <v>0.75</v>
      </c>
      <c r="H189" t="s">
        <v>1462</v>
      </c>
      <c r="I189" t="s">
        <v>1463</v>
      </c>
    </row>
    <row r="190" spans="1:9" x14ac:dyDescent="0.35">
      <c r="A190">
        <v>20260401</v>
      </c>
      <c r="B190" t="s">
        <v>1164</v>
      </c>
      <c r="C190">
        <v>6300</v>
      </c>
      <c r="D190" t="s">
        <v>1131</v>
      </c>
      <c r="E190">
        <v>86700</v>
      </c>
      <c r="F190" t="s">
        <v>1451</v>
      </c>
      <c r="G190">
        <v>0.75</v>
      </c>
      <c r="H190" t="s">
        <v>1462</v>
      </c>
      <c r="I190" t="s">
        <v>1463</v>
      </c>
    </row>
    <row r="191" spans="1:9" x14ac:dyDescent="0.35">
      <c r="A191">
        <v>20260401</v>
      </c>
      <c r="B191" t="s">
        <v>1164</v>
      </c>
      <c r="C191">
        <v>3900</v>
      </c>
      <c r="D191" t="s">
        <v>1131</v>
      </c>
      <c r="E191">
        <v>-663000</v>
      </c>
      <c r="F191" t="s">
        <v>1451</v>
      </c>
      <c r="G191">
        <v>0.75</v>
      </c>
      <c r="H191" t="s">
        <v>1462</v>
      </c>
      <c r="I191" t="s">
        <v>1463</v>
      </c>
    </row>
    <row r="192" spans="1:9" x14ac:dyDescent="0.35">
      <c r="A192">
        <v>20260401</v>
      </c>
      <c r="B192" t="s">
        <v>1249</v>
      </c>
      <c r="C192">
        <v>5100</v>
      </c>
      <c r="D192" t="s">
        <v>485</v>
      </c>
      <c r="E192">
        <v>91800</v>
      </c>
      <c r="F192" t="s">
        <v>1451</v>
      </c>
      <c r="G192">
        <v>0.75</v>
      </c>
      <c r="H192" t="s">
        <v>1462</v>
      </c>
      <c r="I192" t="s">
        <v>1463</v>
      </c>
    </row>
    <row r="193" spans="1:9" x14ac:dyDescent="0.35">
      <c r="A193">
        <v>20260401</v>
      </c>
      <c r="B193" t="s">
        <v>1249</v>
      </c>
      <c r="C193">
        <v>3400</v>
      </c>
      <c r="D193" t="s">
        <v>485</v>
      </c>
      <c r="E193">
        <v>-91800</v>
      </c>
      <c r="F193" t="s">
        <v>1451</v>
      </c>
      <c r="G193">
        <v>0.75</v>
      </c>
      <c r="H193" t="s">
        <v>1462</v>
      </c>
      <c r="I193" t="s">
        <v>1463</v>
      </c>
    </row>
    <row r="194" spans="1:9" x14ac:dyDescent="0.35">
      <c r="A194">
        <v>20260401</v>
      </c>
      <c r="B194" t="s">
        <v>1169</v>
      </c>
      <c r="C194">
        <v>5000</v>
      </c>
      <c r="D194" t="s">
        <v>1131</v>
      </c>
      <c r="E194">
        <v>469200</v>
      </c>
      <c r="F194" t="s">
        <v>1451</v>
      </c>
      <c r="G194">
        <v>0.75</v>
      </c>
      <c r="H194" t="s">
        <v>1462</v>
      </c>
      <c r="I194" t="s">
        <v>1463</v>
      </c>
    </row>
    <row r="195" spans="1:9" x14ac:dyDescent="0.35">
      <c r="A195">
        <v>20260401</v>
      </c>
      <c r="B195" t="s">
        <v>1169</v>
      </c>
      <c r="C195">
        <v>5400</v>
      </c>
      <c r="D195" t="s">
        <v>1131</v>
      </c>
      <c r="E195">
        <v>66157.2</v>
      </c>
      <c r="F195" t="s">
        <v>1451</v>
      </c>
      <c r="G195">
        <v>0.75</v>
      </c>
      <c r="H195" t="s">
        <v>1462</v>
      </c>
      <c r="I195" t="s">
        <v>1463</v>
      </c>
    </row>
    <row r="196" spans="1:9" x14ac:dyDescent="0.35">
      <c r="A196">
        <v>20260401</v>
      </c>
      <c r="B196" t="s">
        <v>1169</v>
      </c>
      <c r="C196">
        <v>6300</v>
      </c>
      <c r="D196" t="s">
        <v>1131</v>
      </c>
      <c r="E196">
        <v>86700</v>
      </c>
      <c r="F196" t="s">
        <v>1451</v>
      </c>
      <c r="G196">
        <v>0.75</v>
      </c>
      <c r="H196" t="s">
        <v>1462</v>
      </c>
      <c r="I196" t="s">
        <v>1463</v>
      </c>
    </row>
    <row r="197" spans="1:9" x14ac:dyDescent="0.35">
      <c r="A197">
        <v>20260401</v>
      </c>
      <c r="B197" t="s">
        <v>1169</v>
      </c>
      <c r="C197">
        <v>3900</v>
      </c>
      <c r="D197" t="s">
        <v>1131</v>
      </c>
      <c r="E197">
        <v>-663000</v>
      </c>
      <c r="F197" t="s">
        <v>1451</v>
      </c>
      <c r="G197">
        <v>0.75</v>
      </c>
      <c r="H197" t="s">
        <v>1462</v>
      </c>
      <c r="I197" t="s">
        <v>1463</v>
      </c>
    </row>
    <row r="198" spans="1:9" x14ac:dyDescent="0.35">
      <c r="A198">
        <v>20260401</v>
      </c>
      <c r="B198" t="s">
        <v>1260</v>
      </c>
      <c r="C198">
        <v>5100</v>
      </c>
      <c r="D198" t="s">
        <v>485</v>
      </c>
      <c r="E198">
        <v>91800</v>
      </c>
      <c r="F198" t="s">
        <v>1451</v>
      </c>
      <c r="G198">
        <v>0.75</v>
      </c>
      <c r="H198" t="s">
        <v>1462</v>
      </c>
      <c r="I198" t="s">
        <v>1463</v>
      </c>
    </row>
    <row r="199" spans="1:9" x14ac:dyDescent="0.35">
      <c r="A199">
        <v>20260401</v>
      </c>
      <c r="B199" t="s">
        <v>1260</v>
      </c>
      <c r="C199">
        <v>3400</v>
      </c>
      <c r="D199" t="s">
        <v>485</v>
      </c>
      <c r="E199">
        <v>-91800</v>
      </c>
      <c r="F199" t="s">
        <v>1451</v>
      </c>
      <c r="G199">
        <v>0.75</v>
      </c>
      <c r="H199" t="s">
        <v>1462</v>
      </c>
      <c r="I199" t="s">
        <v>1463</v>
      </c>
    </row>
    <row r="200" spans="1:9" x14ac:dyDescent="0.35">
      <c r="A200">
        <v>20260401</v>
      </c>
      <c r="B200" t="s">
        <v>1175</v>
      </c>
      <c r="C200">
        <v>5000</v>
      </c>
      <c r="D200" t="s">
        <v>1131</v>
      </c>
      <c r="E200">
        <v>469200</v>
      </c>
      <c r="F200" t="s">
        <v>1451</v>
      </c>
      <c r="G200">
        <v>0.75</v>
      </c>
      <c r="H200" t="s">
        <v>1462</v>
      </c>
      <c r="I200" t="s">
        <v>1463</v>
      </c>
    </row>
    <row r="201" spans="1:9" x14ac:dyDescent="0.35">
      <c r="A201">
        <v>20260401</v>
      </c>
      <c r="B201" t="s">
        <v>1175</v>
      </c>
      <c r="C201">
        <v>5400</v>
      </c>
      <c r="D201" t="s">
        <v>1131</v>
      </c>
      <c r="E201">
        <v>66157.2</v>
      </c>
      <c r="F201" t="s">
        <v>1451</v>
      </c>
      <c r="G201">
        <v>0.75</v>
      </c>
      <c r="H201" t="s">
        <v>1462</v>
      </c>
      <c r="I201" t="s">
        <v>1463</v>
      </c>
    </row>
    <row r="202" spans="1:9" x14ac:dyDescent="0.35">
      <c r="A202">
        <v>20260401</v>
      </c>
      <c r="B202" t="s">
        <v>1175</v>
      </c>
      <c r="C202">
        <v>6300</v>
      </c>
      <c r="D202" t="s">
        <v>1131</v>
      </c>
      <c r="E202">
        <v>86700</v>
      </c>
      <c r="F202" t="s">
        <v>1451</v>
      </c>
      <c r="G202">
        <v>0.75</v>
      </c>
      <c r="H202" t="s">
        <v>1462</v>
      </c>
      <c r="I202" t="s">
        <v>1463</v>
      </c>
    </row>
    <row r="203" spans="1:9" x14ac:dyDescent="0.35">
      <c r="A203">
        <v>20260401</v>
      </c>
      <c r="B203" t="s">
        <v>1175</v>
      </c>
      <c r="C203">
        <v>3900</v>
      </c>
      <c r="D203" t="s">
        <v>1131</v>
      </c>
      <c r="E203">
        <v>-663000</v>
      </c>
      <c r="F203" t="s">
        <v>1451</v>
      </c>
      <c r="G203">
        <v>0.75</v>
      </c>
      <c r="H203" t="s">
        <v>1462</v>
      </c>
      <c r="I203" t="s">
        <v>1463</v>
      </c>
    </row>
    <row r="204" spans="1:9" x14ac:dyDescent="0.35">
      <c r="A204">
        <v>20260401</v>
      </c>
      <c r="B204" t="s">
        <v>1247</v>
      </c>
      <c r="C204">
        <v>5100</v>
      </c>
      <c r="D204" t="s">
        <v>485</v>
      </c>
      <c r="E204">
        <v>91800</v>
      </c>
      <c r="F204" t="s">
        <v>1451</v>
      </c>
      <c r="G204">
        <v>0.75</v>
      </c>
      <c r="H204" t="s">
        <v>1462</v>
      </c>
      <c r="I204" t="s">
        <v>1463</v>
      </c>
    </row>
    <row r="205" spans="1:9" x14ac:dyDescent="0.35">
      <c r="A205">
        <v>20260401</v>
      </c>
      <c r="B205" t="s">
        <v>1247</v>
      </c>
      <c r="C205">
        <v>3400</v>
      </c>
      <c r="D205" t="s">
        <v>485</v>
      </c>
      <c r="E205">
        <v>-91800</v>
      </c>
      <c r="F205" t="s">
        <v>1451</v>
      </c>
      <c r="G205">
        <v>0.75</v>
      </c>
      <c r="H205" t="s">
        <v>1462</v>
      </c>
      <c r="I205" t="s">
        <v>1463</v>
      </c>
    </row>
    <row r="206" spans="1:9" x14ac:dyDescent="0.35">
      <c r="A206">
        <v>20260401</v>
      </c>
      <c r="B206" t="s">
        <v>1130</v>
      </c>
      <c r="C206">
        <v>5000</v>
      </c>
      <c r="D206" t="s">
        <v>1131</v>
      </c>
      <c r="E206">
        <v>469200</v>
      </c>
      <c r="F206" t="s">
        <v>1451</v>
      </c>
      <c r="G206">
        <v>0.75</v>
      </c>
      <c r="H206" t="s">
        <v>1462</v>
      </c>
      <c r="I206" t="s">
        <v>1463</v>
      </c>
    </row>
    <row r="207" spans="1:9" x14ac:dyDescent="0.35">
      <c r="A207">
        <v>20260401</v>
      </c>
      <c r="B207" t="s">
        <v>1130</v>
      </c>
      <c r="C207">
        <v>5400</v>
      </c>
      <c r="D207" t="s">
        <v>1131</v>
      </c>
      <c r="E207">
        <v>66157.2</v>
      </c>
      <c r="F207" t="s">
        <v>1451</v>
      </c>
      <c r="G207">
        <v>0.75</v>
      </c>
      <c r="H207" t="s">
        <v>1462</v>
      </c>
      <c r="I207" t="s">
        <v>1463</v>
      </c>
    </row>
    <row r="208" spans="1:9" x14ac:dyDescent="0.35">
      <c r="A208">
        <v>20260401</v>
      </c>
      <c r="B208" t="s">
        <v>1130</v>
      </c>
      <c r="C208">
        <v>6300</v>
      </c>
      <c r="D208" t="s">
        <v>1131</v>
      </c>
      <c r="E208">
        <v>86700</v>
      </c>
      <c r="F208" t="s">
        <v>1451</v>
      </c>
      <c r="G208">
        <v>0.75</v>
      </c>
      <c r="H208" t="s">
        <v>1462</v>
      </c>
      <c r="I208" t="s">
        <v>1463</v>
      </c>
    </row>
    <row r="209" spans="1:9" x14ac:dyDescent="0.35">
      <c r="A209">
        <v>20260401</v>
      </c>
      <c r="B209" t="s">
        <v>1130</v>
      </c>
      <c r="C209">
        <v>3900</v>
      </c>
      <c r="D209" t="s">
        <v>1131</v>
      </c>
      <c r="E209">
        <v>-663000</v>
      </c>
      <c r="F209" t="s">
        <v>1451</v>
      </c>
      <c r="G209">
        <v>0.75</v>
      </c>
      <c r="H209" t="s">
        <v>1462</v>
      </c>
      <c r="I209" t="s">
        <v>1463</v>
      </c>
    </row>
    <row r="210" spans="1:9" x14ac:dyDescent="0.35">
      <c r="A210">
        <v>20260401</v>
      </c>
      <c r="B210" t="s">
        <v>1265</v>
      </c>
      <c r="C210">
        <v>5100</v>
      </c>
      <c r="D210" t="s">
        <v>485</v>
      </c>
      <c r="E210">
        <v>91800</v>
      </c>
      <c r="F210" t="s">
        <v>1451</v>
      </c>
      <c r="G210">
        <v>0.75</v>
      </c>
      <c r="H210" t="s">
        <v>1462</v>
      </c>
      <c r="I210" t="s">
        <v>1463</v>
      </c>
    </row>
    <row r="211" spans="1:9" x14ac:dyDescent="0.35">
      <c r="A211">
        <v>20260401</v>
      </c>
      <c r="B211" t="s">
        <v>1265</v>
      </c>
      <c r="C211">
        <v>3400</v>
      </c>
      <c r="D211" t="s">
        <v>485</v>
      </c>
      <c r="E211">
        <v>-91800</v>
      </c>
      <c r="F211" t="s">
        <v>1451</v>
      </c>
      <c r="G211">
        <v>0.75</v>
      </c>
      <c r="H211" t="s">
        <v>1462</v>
      </c>
      <c r="I211" t="s">
        <v>1463</v>
      </c>
    </row>
    <row r="212" spans="1:9" x14ac:dyDescent="0.35">
      <c r="A212">
        <v>20260401</v>
      </c>
      <c r="B212" t="s">
        <v>1173</v>
      </c>
      <c r="C212">
        <v>5000</v>
      </c>
      <c r="D212" t="s">
        <v>1131</v>
      </c>
      <c r="E212">
        <v>469200</v>
      </c>
      <c r="F212" t="s">
        <v>1451</v>
      </c>
      <c r="G212">
        <v>0.75</v>
      </c>
      <c r="H212" t="s">
        <v>1462</v>
      </c>
      <c r="I212" t="s">
        <v>1463</v>
      </c>
    </row>
    <row r="213" spans="1:9" x14ac:dyDescent="0.35">
      <c r="A213">
        <v>20260401</v>
      </c>
      <c r="B213" t="s">
        <v>1173</v>
      </c>
      <c r="C213">
        <v>5400</v>
      </c>
      <c r="D213" t="s">
        <v>1131</v>
      </c>
      <c r="E213">
        <v>66157.2</v>
      </c>
      <c r="F213" t="s">
        <v>1451</v>
      </c>
      <c r="G213">
        <v>0.75</v>
      </c>
      <c r="H213" t="s">
        <v>1462</v>
      </c>
      <c r="I213" t="s">
        <v>1463</v>
      </c>
    </row>
    <row r="214" spans="1:9" x14ac:dyDescent="0.35">
      <c r="A214">
        <v>20260401</v>
      </c>
      <c r="B214" t="s">
        <v>1173</v>
      </c>
      <c r="C214">
        <v>6300</v>
      </c>
      <c r="D214" t="s">
        <v>1131</v>
      </c>
      <c r="E214">
        <v>86700</v>
      </c>
      <c r="F214" t="s">
        <v>1451</v>
      </c>
      <c r="G214">
        <v>0.75</v>
      </c>
      <c r="H214" t="s">
        <v>1462</v>
      </c>
      <c r="I214" t="s">
        <v>1463</v>
      </c>
    </row>
    <row r="215" spans="1:9" x14ac:dyDescent="0.35">
      <c r="A215">
        <v>20260401</v>
      </c>
      <c r="B215" t="s">
        <v>1173</v>
      </c>
      <c r="C215">
        <v>3900</v>
      </c>
      <c r="D215" t="s">
        <v>1131</v>
      </c>
      <c r="E215">
        <v>-663000</v>
      </c>
      <c r="F215" t="s">
        <v>1451</v>
      </c>
      <c r="G215">
        <v>0.75</v>
      </c>
      <c r="H215" t="s">
        <v>1462</v>
      </c>
      <c r="I215" t="s">
        <v>1463</v>
      </c>
    </row>
    <row r="216" spans="1:9" x14ac:dyDescent="0.35">
      <c r="A216">
        <v>20260401</v>
      </c>
      <c r="B216" t="s">
        <v>1255</v>
      </c>
      <c r="C216">
        <v>5100</v>
      </c>
      <c r="D216" t="s">
        <v>485</v>
      </c>
      <c r="E216">
        <v>91800</v>
      </c>
      <c r="F216" t="s">
        <v>1451</v>
      </c>
      <c r="G216">
        <v>0.75</v>
      </c>
      <c r="H216" t="s">
        <v>1462</v>
      </c>
      <c r="I216" t="s">
        <v>1463</v>
      </c>
    </row>
    <row r="217" spans="1:9" x14ac:dyDescent="0.35">
      <c r="A217">
        <v>20260401</v>
      </c>
      <c r="B217" t="s">
        <v>1255</v>
      </c>
      <c r="C217">
        <v>3400</v>
      </c>
      <c r="D217" t="s">
        <v>485</v>
      </c>
      <c r="E217">
        <v>-91800</v>
      </c>
      <c r="F217" t="s">
        <v>1451</v>
      </c>
      <c r="G217">
        <v>0.75</v>
      </c>
      <c r="H217" t="s">
        <v>1462</v>
      </c>
      <c r="I217" t="s">
        <v>1463</v>
      </c>
    </row>
    <row r="218" spans="1:9" x14ac:dyDescent="0.35">
      <c r="A218">
        <v>20260401</v>
      </c>
      <c r="B218" t="s">
        <v>1155</v>
      </c>
      <c r="C218">
        <v>5000</v>
      </c>
      <c r="D218" t="s">
        <v>1131</v>
      </c>
      <c r="E218">
        <v>469200</v>
      </c>
      <c r="F218" t="s">
        <v>1451</v>
      </c>
      <c r="G218">
        <v>0.75</v>
      </c>
      <c r="H218" t="s">
        <v>1462</v>
      </c>
      <c r="I218" t="s">
        <v>1463</v>
      </c>
    </row>
    <row r="219" spans="1:9" x14ac:dyDescent="0.35">
      <c r="A219">
        <v>20260401</v>
      </c>
      <c r="B219" t="s">
        <v>1155</v>
      </c>
      <c r="C219">
        <v>5400</v>
      </c>
      <c r="D219" t="s">
        <v>1131</v>
      </c>
      <c r="E219">
        <v>66157.2</v>
      </c>
      <c r="F219" t="s">
        <v>1451</v>
      </c>
      <c r="G219">
        <v>0.75</v>
      </c>
      <c r="H219" t="s">
        <v>1462</v>
      </c>
      <c r="I219" t="s">
        <v>1463</v>
      </c>
    </row>
    <row r="220" spans="1:9" x14ac:dyDescent="0.35">
      <c r="A220">
        <v>20260401</v>
      </c>
      <c r="B220" t="s">
        <v>1155</v>
      </c>
      <c r="C220">
        <v>6300</v>
      </c>
      <c r="D220" t="s">
        <v>1131</v>
      </c>
      <c r="E220">
        <v>86700</v>
      </c>
      <c r="F220" t="s">
        <v>1451</v>
      </c>
      <c r="G220">
        <v>0.75</v>
      </c>
      <c r="H220" t="s">
        <v>1462</v>
      </c>
      <c r="I220" t="s">
        <v>1463</v>
      </c>
    </row>
    <row r="221" spans="1:9" x14ac:dyDescent="0.35">
      <c r="A221">
        <v>20260401</v>
      </c>
      <c r="B221" t="s">
        <v>1155</v>
      </c>
      <c r="C221">
        <v>3900</v>
      </c>
      <c r="D221" t="s">
        <v>1131</v>
      </c>
      <c r="E221">
        <v>-663000</v>
      </c>
      <c r="F221" t="s">
        <v>1451</v>
      </c>
      <c r="G221">
        <v>0.75</v>
      </c>
      <c r="H221" t="s">
        <v>1462</v>
      </c>
      <c r="I221" t="s">
        <v>1463</v>
      </c>
    </row>
    <row r="222" spans="1:9" x14ac:dyDescent="0.35">
      <c r="A222">
        <v>20260401</v>
      </c>
      <c r="B222" t="s">
        <v>1138</v>
      </c>
      <c r="C222">
        <v>5000</v>
      </c>
      <c r="D222" t="s">
        <v>1131</v>
      </c>
      <c r="E222">
        <v>469200</v>
      </c>
      <c r="F222" t="s">
        <v>1451</v>
      </c>
      <c r="G222">
        <v>0.75</v>
      </c>
      <c r="H222" t="s">
        <v>1462</v>
      </c>
      <c r="I222" t="s">
        <v>1463</v>
      </c>
    </row>
    <row r="223" spans="1:9" x14ac:dyDescent="0.35">
      <c r="A223">
        <v>20260401</v>
      </c>
      <c r="B223" t="s">
        <v>1138</v>
      </c>
      <c r="C223">
        <v>5400</v>
      </c>
      <c r="D223" t="s">
        <v>1131</v>
      </c>
      <c r="E223">
        <v>66157.2</v>
      </c>
      <c r="F223" t="s">
        <v>1451</v>
      </c>
      <c r="G223">
        <v>0.75</v>
      </c>
      <c r="H223" t="s">
        <v>1462</v>
      </c>
      <c r="I223" t="s">
        <v>1463</v>
      </c>
    </row>
    <row r="224" spans="1:9" x14ac:dyDescent="0.35">
      <c r="A224">
        <v>20260401</v>
      </c>
      <c r="B224" t="s">
        <v>1138</v>
      </c>
      <c r="C224">
        <v>6300</v>
      </c>
      <c r="D224" t="s">
        <v>1131</v>
      </c>
      <c r="E224">
        <v>86700</v>
      </c>
      <c r="F224" t="s">
        <v>1451</v>
      </c>
      <c r="G224">
        <v>0.75</v>
      </c>
      <c r="H224" t="s">
        <v>1462</v>
      </c>
      <c r="I224" t="s">
        <v>1463</v>
      </c>
    </row>
    <row r="225" spans="1:9" x14ac:dyDescent="0.35">
      <c r="A225">
        <v>20260401</v>
      </c>
      <c r="B225" t="s">
        <v>1138</v>
      </c>
      <c r="C225">
        <v>3900</v>
      </c>
      <c r="D225" t="s">
        <v>1131</v>
      </c>
      <c r="E225">
        <v>-663000</v>
      </c>
      <c r="F225" t="s">
        <v>1451</v>
      </c>
      <c r="G225">
        <v>0.75</v>
      </c>
      <c r="H225" t="s">
        <v>1462</v>
      </c>
      <c r="I225" t="s">
        <v>1463</v>
      </c>
    </row>
    <row r="226" spans="1:9" x14ac:dyDescent="0.35">
      <c r="A226">
        <v>20260501</v>
      </c>
      <c r="B226" t="s">
        <v>1150</v>
      </c>
      <c r="C226">
        <v>5000</v>
      </c>
      <c r="D226" t="s">
        <v>1131</v>
      </c>
      <c r="E226">
        <v>469200</v>
      </c>
      <c r="F226" t="s">
        <v>1451</v>
      </c>
      <c r="G226">
        <v>0.75</v>
      </c>
      <c r="H226" t="s">
        <v>1462</v>
      </c>
      <c r="I226" t="s">
        <v>1463</v>
      </c>
    </row>
    <row r="227" spans="1:9" x14ac:dyDescent="0.35">
      <c r="A227">
        <v>20260501</v>
      </c>
      <c r="B227" t="s">
        <v>1150</v>
      </c>
      <c r="C227">
        <v>5400</v>
      </c>
      <c r="D227" t="s">
        <v>1131</v>
      </c>
      <c r="E227">
        <v>66157.2</v>
      </c>
      <c r="F227" t="s">
        <v>1451</v>
      </c>
      <c r="G227">
        <v>0.75</v>
      </c>
      <c r="H227" t="s">
        <v>1462</v>
      </c>
      <c r="I227" t="s">
        <v>1463</v>
      </c>
    </row>
    <row r="228" spans="1:9" x14ac:dyDescent="0.35">
      <c r="A228">
        <v>20260501</v>
      </c>
      <c r="B228" t="s">
        <v>1150</v>
      </c>
      <c r="C228">
        <v>6300</v>
      </c>
      <c r="D228" t="s">
        <v>1131</v>
      </c>
      <c r="E228">
        <v>86700</v>
      </c>
      <c r="F228" t="s">
        <v>1451</v>
      </c>
      <c r="G228">
        <v>0.75</v>
      </c>
      <c r="H228" t="s">
        <v>1462</v>
      </c>
      <c r="I228" t="s">
        <v>1463</v>
      </c>
    </row>
    <row r="229" spans="1:9" x14ac:dyDescent="0.35">
      <c r="A229">
        <v>20260501</v>
      </c>
      <c r="B229" t="s">
        <v>1150</v>
      </c>
      <c r="C229">
        <v>3900</v>
      </c>
      <c r="D229" t="s">
        <v>1131</v>
      </c>
      <c r="E229">
        <v>-663000</v>
      </c>
      <c r="F229" t="s">
        <v>1451</v>
      </c>
      <c r="G229">
        <v>0.75</v>
      </c>
      <c r="H229" t="s">
        <v>1462</v>
      </c>
      <c r="I229" t="s">
        <v>1463</v>
      </c>
    </row>
    <row r="230" spans="1:9" x14ac:dyDescent="0.35">
      <c r="A230">
        <v>20260501</v>
      </c>
      <c r="B230" t="s">
        <v>1272</v>
      </c>
      <c r="C230">
        <v>5100</v>
      </c>
      <c r="D230" t="s">
        <v>485</v>
      </c>
      <c r="E230">
        <v>91800</v>
      </c>
      <c r="F230" t="s">
        <v>1451</v>
      </c>
      <c r="G230">
        <v>0.75</v>
      </c>
      <c r="H230" t="s">
        <v>1462</v>
      </c>
      <c r="I230" t="s">
        <v>1463</v>
      </c>
    </row>
    <row r="231" spans="1:9" x14ac:dyDescent="0.35">
      <c r="A231">
        <v>20260501</v>
      </c>
      <c r="B231" t="s">
        <v>1272</v>
      </c>
      <c r="C231">
        <v>3400</v>
      </c>
      <c r="D231" t="s">
        <v>485</v>
      </c>
      <c r="E231">
        <v>-91800</v>
      </c>
      <c r="F231" t="s">
        <v>1451</v>
      </c>
      <c r="G231">
        <v>0.75</v>
      </c>
      <c r="H231" t="s">
        <v>1462</v>
      </c>
      <c r="I231" t="s">
        <v>1463</v>
      </c>
    </row>
    <row r="232" spans="1:9" x14ac:dyDescent="0.35">
      <c r="A232">
        <v>20260501</v>
      </c>
      <c r="B232" t="s">
        <v>1158</v>
      </c>
      <c r="C232">
        <v>5000</v>
      </c>
      <c r="D232" t="s">
        <v>1131</v>
      </c>
      <c r="E232">
        <v>469200</v>
      </c>
      <c r="F232" t="s">
        <v>1451</v>
      </c>
      <c r="G232">
        <v>0.75</v>
      </c>
      <c r="H232" t="s">
        <v>1462</v>
      </c>
      <c r="I232" t="s">
        <v>1463</v>
      </c>
    </row>
    <row r="233" spans="1:9" x14ac:dyDescent="0.35">
      <c r="A233">
        <v>20260501</v>
      </c>
      <c r="B233" t="s">
        <v>1158</v>
      </c>
      <c r="C233">
        <v>5400</v>
      </c>
      <c r="D233" t="s">
        <v>1131</v>
      </c>
      <c r="E233">
        <v>66157.2</v>
      </c>
      <c r="F233" t="s">
        <v>1451</v>
      </c>
      <c r="G233">
        <v>0.75</v>
      </c>
      <c r="H233" t="s">
        <v>1462</v>
      </c>
      <c r="I233" t="s">
        <v>1463</v>
      </c>
    </row>
    <row r="234" spans="1:9" x14ac:dyDescent="0.35">
      <c r="A234">
        <v>20260501</v>
      </c>
      <c r="B234" t="s">
        <v>1158</v>
      </c>
      <c r="C234">
        <v>6300</v>
      </c>
      <c r="D234" t="s">
        <v>1131</v>
      </c>
      <c r="E234">
        <v>86700</v>
      </c>
      <c r="F234" t="s">
        <v>1451</v>
      </c>
      <c r="G234">
        <v>0.75</v>
      </c>
      <c r="H234" t="s">
        <v>1462</v>
      </c>
      <c r="I234" t="s">
        <v>1463</v>
      </c>
    </row>
    <row r="235" spans="1:9" x14ac:dyDescent="0.35">
      <c r="A235">
        <v>20260501</v>
      </c>
      <c r="B235" t="s">
        <v>1158</v>
      </c>
      <c r="C235">
        <v>3900</v>
      </c>
      <c r="D235" t="s">
        <v>1131</v>
      </c>
      <c r="E235">
        <v>-663000</v>
      </c>
      <c r="F235" t="s">
        <v>1451</v>
      </c>
      <c r="G235">
        <v>0.75</v>
      </c>
      <c r="H235" t="s">
        <v>1462</v>
      </c>
      <c r="I235" t="s">
        <v>1463</v>
      </c>
    </row>
    <row r="236" spans="1:9" x14ac:dyDescent="0.35">
      <c r="A236">
        <v>20260501</v>
      </c>
      <c r="B236" t="s">
        <v>1243</v>
      </c>
      <c r="C236">
        <v>5100</v>
      </c>
      <c r="D236" t="s">
        <v>485</v>
      </c>
      <c r="E236">
        <v>91800</v>
      </c>
      <c r="F236" t="s">
        <v>1451</v>
      </c>
      <c r="G236">
        <v>0.75</v>
      </c>
      <c r="H236" t="s">
        <v>1462</v>
      </c>
      <c r="I236" t="s">
        <v>1463</v>
      </c>
    </row>
    <row r="237" spans="1:9" x14ac:dyDescent="0.35">
      <c r="A237">
        <v>20260501</v>
      </c>
      <c r="B237" t="s">
        <v>1243</v>
      </c>
      <c r="C237">
        <v>3400</v>
      </c>
      <c r="D237" t="s">
        <v>485</v>
      </c>
      <c r="E237">
        <v>-91800</v>
      </c>
      <c r="F237" t="s">
        <v>1451</v>
      </c>
      <c r="G237">
        <v>0.75</v>
      </c>
      <c r="H237" t="s">
        <v>1462</v>
      </c>
      <c r="I237" t="s">
        <v>1463</v>
      </c>
    </row>
    <row r="238" spans="1:9" x14ac:dyDescent="0.35">
      <c r="A238">
        <v>20260501</v>
      </c>
      <c r="B238" t="s">
        <v>1205</v>
      </c>
      <c r="C238">
        <v>5000</v>
      </c>
      <c r="D238" t="s">
        <v>1131</v>
      </c>
      <c r="E238">
        <v>469200</v>
      </c>
      <c r="F238" t="s">
        <v>1451</v>
      </c>
      <c r="G238">
        <v>0.75</v>
      </c>
      <c r="H238" t="s">
        <v>1462</v>
      </c>
      <c r="I238" t="s">
        <v>1463</v>
      </c>
    </row>
    <row r="239" spans="1:9" x14ac:dyDescent="0.35">
      <c r="A239">
        <v>20260501</v>
      </c>
      <c r="B239" t="s">
        <v>1205</v>
      </c>
      <c r="C239">
        <v>5400</v>
      </c>
      <c r="D239" t="s">
        <v>1131</v>
      </c>
      <c r="E239">
        <v>66157.2</v>
      </c>
      <c r="F239" t="s">
        <v>1451</v>
      </c>
      <c r="G239">
        <v>0.75</v>
      </c>
      <c r="H239" t="s">
        <v>1462</v>
      </c>
      <c r="I239" t="s">
        <v>1463</v>
      </c>
    </row>
    <row r="240" spans="1:9" x14ac:dyDescent="0.35">
      <c r="A240">
        <v>20260501</v>
      </c>
      <c r="B240" t="s">
        <v>1205</v>
      </c>
      <c r="C240">
        <v>6300</v>
      </c>
      <c r="D240" t="s">
        <v>1131</v>
      </c>
      <c r="E240">
        <v>86700</v>
      </c>
      <c r="F240" t="s">
        <v>1451</v>
      </c>
      <c r="G240">
        <v>0.75</v>
      </c>
      <c r="H240" t="s">
        <v>1462</v>
      </c>
      <c r="I240" t="s">
        <v>1463</v>
      </c>
    </row>
    <row r="241" spans="1:9" x14ac:dyDescent="0.35">
      <c r="A241">
        <v>20260501</v>
      </c>
      <c r="B241" t="s">
        <v>1205</v>
      </c>
      <c r="C241">
        <v>3900</v>
      </c>
      <c r="D241" t="s">
        <v>1131</v>
      </c>
      <c r="E241">
        <v>-663000</v>
      </c>
      <c r="F241" t="s">
        <v>1451</v>
      </c>
      <c r="G241">
        <v>0.75</v>
      </c>
      <c r="H241" t="s">
        <v>1462</v>
      </c>
      <c r="I241" t="s">
        <v>1463</v>
      </c>
    </row>
    <row r="242" spans="1:9" x14ac:dyDescent="0.35">
      <c r="A242">
        <v>20260501</v>
      </c>
      <c r="B242" t="s">
        <v>1257</v>
      </c>
      <c r="C242">
        <v>5100</v>
      </c>
      <c r="D242" t="s">
        <v>485</v>
      </c>
      <c r="E242">
        <v>91800</v>
      </c>
      <c r="F242" t="s">
        <v>1451</v>
      </c>
      <c r="G242">
        <v>0.75</v>
      </c>
      <c r="H242" t="s">
        <v>1462</v>
      </c>
      <c r="I242" t="s">
        <v>1463</v>
      </c>
    </row>
    <row r="243" spans="1:9" x14ac:dyDescent="0.35">
      <c r="A243">
        <v>20260501</v>
      </c>
      <c r="B243" t="s">
        <v>1257</v>
      </c>
      <c r="C243">
        <v>3400</v>
      </c>
      <c r="D243" t="s">
        <v>485</v>
      </c>
      <c r="E243">
        <v>-91800</v>
      </c>
      <c r="F243" t="s">
        <v>1451</v>
      </c>
      <c r="G243">
        <v>0.75</v>
      </c>
      <c r="H243" t="s">
        <v>1462</v>
      </c>
      <c r="I243" t="s">
        <v>1463</v>
      </c>
    </row>
    <row r="244" spans="1:9" x14ac:dyDescent="0.35">
      <c r="A244">
        <v>20260501</v>
      </c>
      <c r="B244" t="s">
        <v>1164</v>
      </c>
      <c r="C244">
        <v>5000</v>
      </c>
      <c r="D244" t="s">
        <v>1131</v>
      </c>
      <c r="E244">
        <v>469200</v>
      </c>
      <c r="F244" t="s">
        <v>1451</v>
      </c>
      <c r="G244">
        <v>0.75</v>
      </c>
      <c r="H244" t="s">
        <v>1462</v>
      </c>
      <c r="I244" t="s">
        <v>1463</v>
      </c>
    </row>
    <row r="245" spans="1:9" x14ac:dyDescent="0.35">
      <c r="A245">
        <v>20260501</v>
      </c>
      <c r="B245" t="s">
        <v>1164</v>
      </c>
      <c r="C245">
        <v>5400</v>
      </c>
      <c r="D245" t="s">
        <v>1131</v>
      </c>
      <c r="E245">
        <v>66157.2</v>
      </c>
      <c r="F245" t="s">
        <v>1451</v>
      </c>
      <c r="G245">
        <v>0.75</v>
      </c>
      <c r="H245" t="s">
        <v>1462</v>
      </c>
      <c r="I245" t="s">
        <v>1463</v>
      </c>
    </row>
    <row r="246" spans="1:9" x14ac:dyDescent="0.35">
      <c r="A246">
        <v>20260501</v>
      </c>
      <c r="B246" t="s">
        <v>1164</v>
      </c>
      <c r="C246">
        <v>6300</v>
      </c>
      <c r="D246" t="s">
        <v>1131</v>
      </c>
      <c r="E246">
        <v>86700</v>
      </c>
      <c r="F246" t="s">
        <v>1451</v>
      </c>
      <c r="G246">
        <v>0.75</v>
      </c>
      <c r="H246" t="s">
        <v>1462</v>
      </c>
      <c r="I246" t="s">
        <v>1463</v>
      </c>
    </row>
    <row r="247" spans="1:9" x14ac:dyDescent="0.35">
      <c r="A247">
        <v>20260501</v>
      </c>
      <c r="B247" t="s">
        <v>1164</v>
      </c>
      <c r="C247">
        <v>3900</v>
      </c>
      <c r="D247" t="s">
        <v>1131</v>
      </c>
      <c r="E247">
        <v>-663000</v>
      </c>
      <c r="F247" t="s">
        <v>1451</v>
      </c>
      <c r="G247">
        <v>0.75</v>
      </c>
      <c r="H247" t="s">
        <v>1462</v>
      </c>
      <c r="I247" t="s">
        <v>1463</v>
      </c>
    </row>
    <row r="248" spans="1:9" x14ac:dyDescent="0.35">
      <c r="A248">
        <v>20260501</v>
      </c>
      <c r="B248" t="s">
        <v>1249</v>
      </c>
      <c r="C248">
        <v>5100</v>
      </c>
      <c r="D248" t="s">
        <v>485</v>
      </c>
      <c r="E248">
        <v>91800</v>
      </c>
      <c r="F248" t="s">
        <v>1451</v>
      </c>
      <c r="G248">
        <v>0.75</v>
      </c>
      <c r="H248" t="s">
        <v>1462</v>
      </c>
      <c r="I248" t="s">
        <v>1463</v>
      </c>
    </row>
    <row r="249" spans="1:9" x14ac:dyDescent="0.35">
      <c r="A249">
        <v>20260501</v>
      </c>
      <c r="B249" t="s">
        <v>1249</v>
      </c>
      <c r="C249">
        <v>3400</v>
      </c>
      <c r="D249" t="s">
        <v>485</v>
      </c>
      <c r="E249">
        <v>-91800</v>
      </c>
      <c r="F249" t="s">
        <v>1451</v>
      </c>
      <c r="G249">
        <v>0.75</v>
      </c>
      <c r="H249" t="s">
        <v>1462</v>
      </c>
      <c r="I249" t="s">
        <v>1463</v>
      </c>
    </row>
    <row r="250" spans="1:9" x14ac:dyDescent="0.35">
      <c r="A250">
        <v>20260501</v>
      </c>
      <c r="B250" t="s">
        <v>1169</v>
      </c>
      <c r="C250">
        <v>5000</v>
      </c>
      <c r="D250" t="s">
        <v>1131</v>
      </c>
      <c r="E250">
        <v>469200</v>
      </c>
      <c r="F250" t="s">
        <v>1451</v>
      </c>
      <c r="G250">
        <v>0.75</v>
      </c>
      <c r="H250" t="s">
        <v>1462</v>
      </c>
      <c r="I250" t="s">
        <v>1463</v>
      </c>
    </row>
    <row r="251" spans="1:9" x14ac:dyDescent="0.35">
      <c r="A251">
        <v>20260501</v>
      </c>
      <c r="B251" t="s">
        <v>1169</v>
      </c>
      <c r="C251">
        <v>5400</v>
      </c>
      <c r="D251" t="s">
        <v>1131</v>
      </c>
      <c r="E251">
        <v>66157.2</v>
      </c>
      <c r="F251" t="s">
        <v>1451</v>
      </c>
      <c r="G251">
        <v>0.75</v>
      </c>
      <c r="H251" t="s">
        <v>1462</v>
      </c>
      <c r="I251" t="s">
        <v>1463</v>
      </c>
    </row>
    <row r="252" spans="1:9" x14ac:dyDescent="0.35">
      <c r="A252">
        <v>20260501</v>
      </c>
      <c r="B252" t="s">
        <v>1169</v>
      </c>
      <c r="C252">
        <v>6300</v>
      </c>
      <c r="D252" t="s">
        <v>1131</v>
      </c>
      <c r="E252">
        <v>86700</v>
      </c>
      <c r="F252" t="s">
        <v>1451</v>
      </c>
      <c r="G252">
        <v>0.75</v>
      </c>
      <c r="H252" t="s">
        <v>1462</v>
      </c>
      <c r="I252" t="s">
        <v>1463</v>
      </c>
    </row>
    <row r="253" spans="1:9" x14ac:dyDescent="0.35">
      <c r="A253">
        <v>20260501</v>
      </c>
      <c r="B253" t="s">
        <v>1169</v>
      </c>
      <c r="C253">
        <v>3900</v>
      </c>
      <c r="D253" t="s">
        <v>1131</v>
      </c>
      <c r="E253">
        <v>-663000</v>
      </c>
      <c r="F253" t="s">
        <v>1451</v>
      </c>
      <c r="G253">
        <v>0.75</v>
      </c>
      <c r="H253" t="s">
        <v>1462</v>
      </c>
      <c r="I253" t="s">
        <v>1463</v>
      </c>
    </row>
    <row r="254" spans="1:9" x14ac:dyDescent="0.35">
      <c r="A254">
        <v>20260501</v>
      </c>
      <c r="B254" t="s">
        <v>1260</v>
      </c>
      <c r="C254">
        <v>5100</v>
      </c>
      <c r="D254" t="s">
        <v>485</v>
      </c>
      <c r="E254">
        <v>91800</v>
      </c>
      <c r="F254" t="s">
        <v>1451</v>
      </c>
      <c r="G254">
        <v>0.75</v>
      </c>
      <c r="H254" t="s">
        <v>1462</v>
      </c>
      <c r="I254" t="s">
        <v>1463</v>
      </c>
    </row>
    <row r="255" spans="1:9" x14ac:dyDescent="0.35">
      <c r="A255">
        <v>20260501</v>
      </c>
      <c r="B255" t="s">
        <v>1260</v>
      </c>
      <c r="C255">
        <v>3400</v>
      </c>
      <c r="D255" t="s">
        <v>485</v>
      </c>
      <c r="E255">
        <v>-91800</v>
      </c>
      <c r="F255" t="s">
        <v>1451</v>
      </c>
      <c r="G255">
        <v>0.75</v>
      </c>
      <c r="H255" t="s">
        <v>1462</v>
      </c>
      <c r="I255" t="s">
        <v>1463</v>
      </c>
    </row>
    <row r="256" spans="1:9" x14ac:dyDescent="0.35">
      <c r="A256">
        <v>20260501</v>
      </c>
      <c r="B256" t="s">
        <v>1175</v>
      </c>
      <c r="C256">
        <v>5000</v>
      </c>
      <c r="D256" t="s">
        <v>1131</v>
      </c>
      <c r="E256">
        <v>469200</v>
      </c>
      <c r="F256" t="s">
        <v>1451</v>
      </c>
      <c r="G256">
        <v>0.75</v>
      </c>
      <c r="H256" t="s">
        <v>1462</v>
      </c>
      <c r="I256" t="s">
        <v>1463</v>
      </c>
    </row>
    <row r="257" spans="1:9" x14ac:dyDescent="0.35">
      <c r="A257">
        <v>20260501</v>
      </c>
      <c r="B257" t="s">
        <v>1175</v>
      </c>
      <c r="C257">
        <v>5400</v>
      </c>
      <c r="D257" t="s">
        <v>1131</v>
      </c>
      <c r="E257">
        <v>66157.2</v>
      </c>
      <c r="F257" t="s">
        <v>1451</v>
      </c>
      <c r="G257">
        <v>0.75</v>
      </c>
      <c r="H257" t="s">
        <v>1462</v>
      </c>
      <c r="I257" t="s">
        <v>1463</v>
      </c>
    </row>
    <row r="258" spans="1:9" x14ac:dyDescent="0.35">
      <c r="A258">
        <v>20260501</v>
      </c>
      <c r="B258" t="s">
        <v>1175</v>
      </c>
      <c r="C258">
        <v>6300</v>
      </c>
      <c r="D258" t="s">
        <v>1131</v>
      </c>
      <c r="E258">
        <v>86700</v>
      </c>
      <c r="F258" t="s">
        <v>1451</v>
      </c>
      <c r="G258">
        <v>0.75</v>
      </c>
      <c r="H258" t="s">
        <v>1462</v>
      </c>
      <c r="I258" t="s">
        <v>1463</v>
      </c>
    </row>
    <row r="259" spans="1:9" x14ac:dyDescent="0.35">
      <c r="A259">
        <v>20260501</v>
      </c>
      <c r="B259" t="s">
        <v>1175</v>
      </c>
      <c r="C259">
        <v>3900</v>
      </c>
      <c r="D259" t="s">
        <v>1131</v>
      </c>
      <c r="E259">
        <v>-663000</v>
      </c>
      <c r="F259" t="s">
        <v>1451</v>
      </c>
      <c r="G259">
        <v>0.75</v>
      </c>
      <c r="H259" t="s">
        <v>1462</v>
      </c>
      <c r="I259" t="s">
        <v>1463</v>
      </c>
    </row>
    <row r="260" spans="1:9" x14ac:dyDescent="0.35">
      <c r="A260">
        <v>20260501</v>
      </c>
      <c r="B260" t="s">
        <v>1247</v>
      </c>
      <c r="C260">
        <v>5100</v>
      </c>
      <c r="D260" t="s">
        <v>485</v>
      </c>
      <c r="E260">
        <v>91800</v>
      </c>
      <c r="F260" t="s">
        <v>1451</v>
      </c>
      <c r="G260">
        <v>0.75</v>
      </c>
      <c r="H260" t="s">
        <v>1462</v>
      </c>
      <c r="I260" t="s">
        <v>1463</v>
      </c>
    </row>
    <row r="261" spans="1:9" x14ac:dyDescent="0.35">
      <c r="A261">
        <v>20260501</v>
      </c>
      <c r="B261" t="s">
        <v>1247</v>
      </c>
      <c r="C261">
        <v>3400</v>
      </c>
      <c r="D261" t="s">
        <v>485</v>
      </c>
      <c r="E261">
        <v>-91800</v>
      </c>
      <c r="F261" t="s">
        <v>1451</v>
      </c>
      <c r="G261">
        <v>0.75</v>
      </c>
      <c r="H261" t="s">
        <v>1462</v>
      </c>
      <c r="I261" t="s">
        <v>1463</v>
      </c>
    </row>
    <row r="262" spans="1:9" x14ac:dyDescent="0.35">
      <c r="A262">
        <v>20260501</v>
      </c>
      <c r="B262" t="s">
        <v>1130</v>
      </c>
      <c r="C262">
        <v>5000</v>
      </c>
      <c r="D262" t="s">
        <v>1131</v>
      </c>
      <c r="E262">
        <v>469200</v>
      </c>
      <c r="F262" t="s">
        <v>1451</v>
      </c>
      <c r="G262">
        <v>0.75</v>
      </c>
      <c r="H262" t="s">
        <v>1462</v>
      </c>
      <c r="I262" t="s">
        <v>1463</v>
      </c>
    </row>
    <row r="263" spans="1:9" x14ac:dyDescent="0.35">
      <c r="A263">
        <v>20260501</v>
      </c>
      <c r="B263" t="s">
        <v>1130</v>
      </c>
      <c r="C263">
        <v>5400</v>
      </c>
      <c r="D263" t="s">
        <v>1131</v>
      </c>
      <c r="E263">
        <v>66157.2</v>
      </c>
      <c r="F263" t="s">
        <v>1451</v>
      </c>
      <c r="G263">
        <v>0.75</v>
      </c>
      <c r="H263" t="s">
        <v>1462</v>
      </c>
      <c r="I263" t="s">
        <v>1463</v>
      </c>
    </row>
    <row r="264" spans="1:9" x14ac:dyDescent="0.35">
      <c r="A264">
        <v>20260501</v>
      </c>
      <c r="B264" t="s">
        <v>1130</v>
      </c>
      <c r="C264">
        <v>6300</v>
      </c>
      <c r="D264" t="s">
        <v>1131</v>
      </c>
      <c r="E264">
        <v>86700</v>
      </c>
      <c r="F264" t="s">
        <v>1451</v>
      </c>
      <c r="G264">
        <v>0.75</v>
      </c>
      <c r="H264" t="s">
        <v>1462</v>
      </c>
      <c r="I264" t="s">
        <v>1463</v>
      </c>
    </row>
    <row r="265" spans="1:9" x14ac:dyDescent="0.35">
      <c r="A265">
        <v>20260501</v>
      </c>
      <c r="B265" t="s">
        <v>1130</v>
      </c>
      <c r="C265">
        <v>3900</v>
      </c>
      <c r="D265" t="s">
        <v>1131</v>
      </c>
      <c r="E265">
        <v>-663000</v>
      </c>
      <c r="F265" t="s">
        <v>1451</v>
      </c>
      <c r="G265">
        <v>0.75</v>
      </c>
      <c r="H265" t="s">
        <v>1462</v>
      </c>
      <c r="I265" t="s">
        <v>1463</v>
      </c>
    </row>
    <row r="266" spans="1:9" x14ac:dyDescent="0.35">
      <c r="A266">
        <v>20260501</v>
      </c>
      <c r="B266" t="s">
        <v>1265</v>
      </c>
      <c r="C266">
        <v>5100</v>
      </c>
      <c r="D266" t="s">
        <v>485</v>
      </c>
      <c r="E266">
        <v>91800</v>
      </c>
      <c r="F266" t="s">
        <v>1451</v>
      </c>
      <c r="G266">
        <v>0.75</v>
      </c>
      <c r="H266" t="s">
        <v>1462</v>
      </c>
      <c r="I266" t="s">
        <v>1463</v>
      </c>
    </row>
    <row r="267" spans="1:9" x14ac:dyDescent="0.35">
      <c r="A267">
        <v>20260501</v>
      </c>
      <c r="B267" t="s">
        <v>1265</v>
      </c>
      <c r="C267">
        <v>3400</v>
      </c>
      <c r="D267" t="s">
        <v>485</v>
      </c>
      <c r="E267">
        <v>-91800</v>
      </c>
      <c r="F267" t="s">
        <v>1451</v>
      </c>
      <c r="G267">
        <v>0.75</v>
      </c>
      <c r="H267" t="s">
        <v>1462</v>
      </c>
      <c r="I267" t="s">
        <v>1463</v>
      </c>
    </row>
    <row r="268" spans="1:9" x14ac:dyDescent="0.35">
      <c r="A268">
        <v>20260501</v>
      </c>
      <c r="B268" t="s">
        <v>1173</v>
      </c>
      <c r="C268">
        <v>5000</v>
      </c>
      <c r="D268" t="s">
        <v>1131</v>
      </c>
      <c r="E268">
        <v>469200</v>
      </c>
      <c r="F268" t="s">
        <v>1451</v>
      </c>
      <c r="G268">
        <v>0.75</v>
      </c>
      <c r="H268" t="s">
        <v>1462</v>
      </c>
      <c r="I268" t="s">
        <v>1463</v>
      </c>
    </row>
    <row r="269" spans="1:9" x14ac:dyDescent="0.35">
      <c r="A269">
        <v>20260501</v>
      </c>
      <c r="B269" t="s">
        <v>1173</v>
      </c>
      <c r="C269">
        <v>5400</v>
      </c>
      <c r="D269" t="s">
        <v>1131</v>
      </c>
      <c r="E269">
        <v>66157.2</v>
      </c>
      <c r="F269" t="s">
        <v>1451</v>
      </c>
      <c r="G269">
        <v>0.75</v>
      </c>
      <c r="H269" t="s">
        <v>1462</v>
      </c>
      <c r="I269" t="s">
        <v>1463</v>
      </c>
    </row>
    <row r="270" spans="1:9" x14ac:dyDescent="0.35">
      <c r="A270">
        <v>20260501</v>
      </c>
      <c r="B270" t="s">
        <v>1173</v>
      </c>
      <c r="C270">
        <v>6300</v>
      </c>
      <c r="D270" t="s">
        <v>1131</v>
      </c>
      <c r="E270">
        <v>86700</v>
      </c>
      <c r="F270" t="s">
        <v>1451</v>
      </c>
      <c r="G270">
        <v>0.75</v>
      </c>
      <c r="H270" t="s">
        <v>1462</v>
      </c>
      <c r="I270" t="s">
        <v>1463</v>
      </c>
    </row>
    <row r="271" spans="1:9" x14ac:dyDescent="0.35">
      <c r="A271">
        <v>20260501</v>
      </c>
      <c r="B271" t="s">
        <v>1173</v>
      </c>
      <c r="C271">
        <v>3900</v>
      </c>
      <c r="D271" t="s">
        <v>1131</v>
      </c>
      <c r="E271">
        <v>-663000</v>
      </c>
      <c r="F271" t="s">
        <v>1451</v>
      </c>
      <c r="G271">
        <v>0.75</v>
      </c>
      <c r="H271" t="s">
        <v>1462</v>
      </c>
      <c r="I271" t="s">
        <v>1463</v>
      </c>
    </row>
    <row r="272" spans="1:9" x14ac:dyDescent="0.35">
      <c r="A272">
        <v>20260501</v>
      </c>
      <c r="B272" t="s">
        <v>1255</v>
      </c>
      <c r="C272">
        <v>5100</v>
      </c>
      <c r="D272" t="s">
        <v>485</v>
      </c>
      <c r="E272">
        <v>91800</v>
      </c>
      <c r="F272" t="s">
        <v>1451</v>
      </c>
      <c r="G272">
        <v>0.75</v>
      </c>
      <c r="H272" t="s">
        <v>1462</v>
      </c>
      <c r="I272" t="s">
        <v>1463</v>
      </c>
    </row>
    <row r="273" spans="1:9" x14ac:dyDescent="0.35">
      <c r="A273">
        <v>20260501</v>
      </c>
      <c r="B273" t="s">
        <v>1255</v>
      </c>
      <c r="C273">
        <v>3400</v>
      </c>
      <c r="D273" t="s">
        <v>485</v>
      </c>
      <c r="E273">
        <v>-91800</v>
      </c>
      <c r="F273" t="s">
        <v>1451</v>
      </c>
      <c r="G273">
        <v>0.75</v>
      </c>
      <c r="H273" t="s">
        <v>1462</v>
      </c>
      <c r="I273" t="s">
        <v>1463</v>
      </c>
    </row>
    <row r="274" spans="1:9" x14ac:dyDescent="0.35">
      <c r="A274">
        <v>20260501</v>
      </c>
      <c r="B274" t="s">
        <v>1155</v>
      </c>
      <c r="C274">
        <v>5000</v>
      </c>
      <c r="D274" t="s">
        <v>1131</v>
      </c>
      <c r="E274">
        <v>469200</v>
      </c>
      <c r="F274" t="s">
        <v>1451</v>
      </c>
      <c r="G274">
        <v>0.75</v>
      </c>
      <c r="H274" t="s">
        <v>1462</v>
      </c>
      <c r="I274" t="s">
        <v>1463</v>
      </c>
    </row>
    <row r="275" spans="1:9" x14ac:dyDescent="0.35">
      <c r="A275">
        <v>20260501</v>
      </c>
      <c r="B275" t="s">
        <v>1155</v>
      </c>
      <c r="C275">
        <v>5400</v>
      </c>
      <c r="D275" t="s">
        <v>1131</v>
      </c>
      <c r="E275">
        <v>66157.2</v>
      </c>
      <c r="F275" t="s">
        <v>1451</v>
      </c>
      <c r="G275">
        <v>0.75</v>
      </c>
      <c r="H275" t="s">
        <v>1462</v>
      </c>
      <c r="I275" t="s">
        <v>1463</v>
      </c>
    </row>
    <row r="276" spans="1:9" x14ac:dyDescent="0.35">
      <c r="A276">
        <v>20260501</v>
      </c>
      <c r="B276" t="s">
        <v>1155</v>
      </c>
      <c r="C276">
        <v>6300</v>
      </c>
      <c r="D276" t="s">
        <v>1131</v>
      </c>
      <c r="E276">
        <v>86700</v>
      </c>
      <c r="F276" t="s">
        <v>1451</v>
      </c>
      <c r="G276">
        <v>0.75</v>
      </c>
      <c r="H276" t="s">
        <v>1462</v>
      </c>
      <c r="I276" t="s">
        <v>1463</v>
      </c>
    </row>
    <row r="277" spans="1:9" x14ac:dyDescent="0.35">
      <c r="A277">
        <v>20260501</v>
      </c>
      <c r="B277" t="s">
        <v>1155</v>
      </c>
      <c r="C277">
        <v>3900</v>
      </c>
      <c r="D277" t="s">
        <v>1131</v>
      </c>
      <c r="E277">
        <v>-663000</v>
      </c>
      <c r="F277" t="s">
        <v>1451</v>
      </c>
      <c r="G277">
        <v>0.75</v>
      </c>
      <c r="H277" t="s">
        <v>1462</v>
      </c>
      <c r="I277" t="s">
        <v>1463</v>
      </c>
    </row>
    <row r="278" spans="1:9" x14ac:dyDescent="0.35">
      <c r="A278">
        <v>20260501</v>
      </c>
      <c r="B278" t="s">
        <v>1138</v>
      </c>
      <c r="C278">
        <v>5000</v>
      </c>
      <c r="D278" t="s">
        <v>1131</v>
      </c>
      <c r="E278">
        <v>469200</v>
      </c>
      <c r="F278" t="s">
        <v>1451</v>
      </c>
      <c r="G278">
        <v>0.75</v>
      </c>
      <c r="H278" t="s">
        <v>1462</v>
      </c>
      <c r="I278" t="s">
        <v>1463</v>
      </c>
    </row>
    <row r="279" spans="1:9" x14ac:dyDescent="0.35">
      <c r="A279">
        <v>20260501</v>
      </c>
      <c r="B279" t="s">
        <v>1138</v>
      </c>
      <c r="C279">
        <v>5400</v>
      </c>
      <c r="D279" t="s">
        <v>1131</v>
      </c>
      <c r="E279">
        <v>66157.2</v>
      </c>
      <c r="F279" t="s">
        <v>1451</v>
      </c>
      <c r="G279">
        <v>0.75</v>
      </c>
      <c r="H279" t="s">
        <v>1462</v>
      </c>
      <c r="I279" t="s">
        <v>1463</v>
      </c>
    </row>
    <row r="280" spans="1:9" x14ac:dyDescent="0.35">
      <c r="A280">
        <v>20260501</v>
      </c>
      <c r="B280" t="s">
        <v>1138</v>
      </c>
      <c r="C280">
        <v>6300</v>
      </c>
      <c r="D280" t="s">
        <v>1131</v>
      </c>
      <c r="E280">
        <v>86700</v>
      </c>
      <c r="F280" t="s">
        <v>1451</v>
      </c>
      <c r="G280">
        <v>0.75</v>
      </c>
      <c r="H280" t="s">
        <v>1462</v>
      </c>
      <c r="I280" t="s">
        <v>1463</v>
      </c>
    </row>
    <row r="281" spans="1:9" x14ac:dyDescent="0.35">
      <c r="A281">
        <v>20260501</v>
      </c>
      <c r="B281" t="s">
        <v>1138</v>
      </c>
      <c r="C281">
        <v>3900</v>
      </c>
      <c r="D281" t="s">
        <v>1131</v>
      </c>
      <c r="E281">
        <v>-663000</v>
      </c>
      <c r="F281" t="s">
        <v>1451</v>
      </c>
      <c r="G281">
        <v>0.75</v>
      </c>
      <c r="H281" t="s">
        <v>1462</v>
      </c>
      <c r="I281" t="s">
        <v>1463</v>
      </c>
    </row>
    <row r="282" spans="1:9" x14ac:dyDescent="0.35">
      <c r="A282">
        <v>20260601</v>
      </c>
      <c r="B282" t="s">
        <v>1150</v>
      </c>
      <c r="C282">
        <v>5000</v>
      </c>
      <c r="D282" t="s">
        <v>1131</v>
      </c>
      <c r="E282">
        <v>469200</v>
      </c>
      <c r="F282" t="s">
        <v>1451</v>
      </c>
      <c r="G282">
        <v>0.75</v>
      </c>
      <c r="H282" t="s">
        <v>1462</v>
      </c>
      <c r="I282" t="s">
        <v>1463</v>
      </c>
    </row>
    <row r="283" spans="1:9" x14ac:dyDescent="0.35">
      <c r="A283">
        <v>20260601</v>
      </c>
      <c r="B283" t="s">
        <v>1150</v>
      </c>
      <c r="C283">
        <v>5400</v>
      </c>
      <c r="D283" t="s">
        <v>1131</v>
      </c>
      <c r="E283">
        <v>66157.2</v>
      </c>
      <c r="F283" t="s">
        <v>1451</v>
      </c>
      <c r="G283">
        <v>0.75</v>
      </c>
      <c r="H283" t="s">
        <v>1462</v>
      </c>
      <c r="I283" t="s">
        <v>1463</v>
      </c>
    </row>
    <row r="284" spans="1:9" x14ac:dyDescent="0.35">
      <c r="A284">
        <v>20260601</v>
      </c>
      <c r="B284" t="s">
        <v>1150</v>
      </c>
      <c r="C284">
        <v>6300</v>
      </c>
      <c r="D284" t="s">
        <v>1131</v>
      </c>
      <c r="E284">
        <v>86700</v>
      </c>
      <c r="F284" t="s">
        <v>1451</v>
      </c>
      <c r="G284">
        <v>0.75</v>
      </c>
      <c r="H284" t="s">
        <v>1462</v>
      </c>
      <c r="I284" t="s">
        <v>1463</v>
      </c>
    </row>
    <row r="285" spans="1:9" x14ac:dyDescent="0.35">
      <c r="A285">
        <v>20260601</v>
      </c>
      <c r="B285" t="s">
        <v>1150</v>
      </c>
      <c r="C285">
        <v>3900</v>
      </c>
      <c r="D285" t="s">
        <v>1131</v>
      </c>
      <c r="E285">
        <v>-663000</v>
      </c>
      <c r="F285" t="s">
        <v>1451</v>
      </c>
      <c r="G285">
        <v>0.75</v>
      </c>
      <c r="H285" t="s">
        <v>1462</v>
      </c>
      <c r="I285" t="s">
        <v>1463</v>
      </c>
    </row>
    <row r="286" spans="1:9" x14ac:dyDescent="0.35">
      <c r="A286">
        <v>20260601</v>
      </c>
      <c r="B286" t="s">
        <v>1272</v>
      </c>
      <c r="C286">
        <v>5100</v>
      </c>
      <c r="D286" t="s">
        <v>485</v>
      </c>
      <c r="E286">
        <v>91800</v>
      </c>
      <c r="F286" t="s">
        <v>1451</v>
      </c>
      <c r="G286">
        <v>0.75</v>
      </c>
      <c r="H286" t="s">
        <v>1462</v>
      </c>
      <c r="I286" t="s">
        <v>1463</v>
      </c>
    </row>
    <row r="287" spans="1:9" x14ac:dyDescent="0.35">
      <c r="A287">
        <v>20260601</v>
      </c>
      <c r="B287" t="s">
        <v>1272</v>
      </c>
      <c r="C287">
        <v>3400</v>
      </c>
      <c r="D287" t="s">
        <v>485</v>
      </c>
      <c r="E287">
        <v>-91800</v>
      </c>
      <c r="F287" t="s">
        <v>1451</v>
      </c>
      <c r="G287">
        <v>0.75</v>
      </c>
      <c r="H287" t="s">
        <v>1462</v>
      </c>
      <c r="I287" t="s">
        <v>1463</v>
      </c>
    </row>
    <row r="288" spans="1:9" x14ac:dyDescent="0.35">
      <c r="A288">
        <v>20260601</v>
      </c>
      <c r="B288" t="s">
        <v>1158</v>
      </c>
      <c r="C288">
        <v>5000</v>
      </c>
      <c r="D288" t="s">
        <v>1131</v>
      </c>
      <c r="E288">
        <v>469200</v>
      </c>
      <c r="F288" t="s">
        <v>1451</v>
      </c>
      <c r="G288">
        <v>0.75</v>
      </c>
      <c r="H288" t="s">
        <v>1462</v>
      </c>
      <c r="I288" t="s">
        <v>1463</v>
      </c>
    </row>
    <row r="289" spans="1:9" x14ac:dyDescent="0.35">
      <c r="A289">
        <v>20260601</v>
      </c>
      <c r="B289" t="s">
        <v>1158</v>
      </c>
      <c r="C289">
        <v>5400</v>
      </c>
      <c r="D289" t="s">
        <v>1131</v>
      </c>
      <c r="E289">
        <v>66157.2</v>
      </c>
      <c r="F289" t="s">
        <v>1451</v>
      </c>
      <c r="G289">
        <v>0.75</v>
      </c>
      <c r="H289" t="s">
        <v>1462</v>
      </c>
      <c r="I289" t="s">
        <v>1463</v>
      </c>
    </row>
    <row r="290" spans="1:9" x14ac:dyDescent="0.35">
      <c r="A290">
        <v>20260601</v>
      </c>
      <c r="B290" t="s">
        <v>1158</v>
      </c>
      <c r="C290">
        <v>6300</v>
      </c>
      <c r="D290" t="s">
        <v>1131</v>
      </c>
      <c r="E290">
        <v>86700</v>
      </c>
      <c r="F290" t="s">
        <v>1451</v>
      </c>
      <c r="G290">
        <v>0.75</v>
      </c>
      <c r="H290" t="s">
        <v>1462</v>
      </c>
      <c r="I290" t="s">
        <v>1463</v>
      </c>
    </row>
    <row r="291" spans="1:9" x14ac:dyDescent="0.35">
      <c r="A291">
        <v>20260601</v>
      </c>
      <c r="B291" t="s">
        <v>1158</v>
      </c>
      <c r="C291">
        <v>3900</v>
      </c>
      <c r="D291" t="s">
        <v>1131</v>
      </c>
      <c r="E291">
        <v>-663000</v>
      </c>
      <c r="F291" t="s">
        <v>1451</v>
      </c>
      <c r="G291">
        <v>0.75</v>
      </c>
      <c r="H291" t="s">
        <v>1462</v>
      </c>
      <c r="I291" t="s">
        <v>1463</v>
      </c>
    </row>
    <row r="292" spans="1:9" x14ac:dyDescent="0.35">
      <c r="A292">
        <v>20260601</v>
      </c>
      <c r="B292" t="s">
        <v>1243</v>
      </c>
      <c r="C292">
        <v>5100</v>
      </c>
      <c r="D292" t="s">
        <v>485</v>
      </c>
      <c r="E292">
        <v>91800</v>
      </c>
      <c r="F292" t="s">
        <v>1451</v>
      </c>
      <c r="G292">
        <v>0.75</v>
      </c>
      <c r="H292" t="s">
        <v>1462</v>
      </c>
      <c r="I292" t="s">
        <v>1463</v>
      </c>
    </row>
    <row r="293" spans="1:9" x14ac:dyDescent="0.35">
      <c r="A293">
        <v>20260601</v>
      </c>
      <c r="B293" t="s">
        <v>1243</v>
      </c>
      <c r="C293">
        <v>3400</v>
      </c>
      <c r="D293" t="s">
        <v>485</v>
      </c>
      <c r="E293">
        <v>-91800</v>
      </c>
      <c r="F293" t="s">
        <v>1451</v>
      </c>
      <c r="G293">
        <v>0.75</v>
      </c>
      <c r="H293" t="s">
        <v>1462</v>
      </c>
      <c r="I293" t="s">
        <v>1463</v>
      </c>
    </row>
    <row r="294" spans="1:9" x14ac:dyDescent="0.35">
      <c r="A294">
        <v>20260601</v>
      </c>
      <c r="B294" t="s">
        <v>1205</v>
      </c>
      <c r="C294">
        <v>5000</v>
      </c>
      <c r="D294" t="s">
        <v>1131</v>
      </c>
      <c r="E294">
        <v>469200</v>
      </c>
      <c r="F294" t="s">
        <v>1451</v>
      </c>
      <c r="G294">
        <v>0.75</v>
      </c>
      <c r="H294" t="s">
        <v>1462</v>
      </c>
      <c r="I294" t="s">
        <v>1463</v>
      </c>
    </row>
    <row r="295" spans="1:9" x14ac:dyDescent="0.35">
      <c r="A295">
        <v>20260601</v>
      </c>
      <c r="B295" t="s">
        <v>1205</v>
      </c>
      <c r="C295">
        <v>5400</v>
      </c>
      <c r="D295" t="s">
        <v>1131</v>
      </c>
      <c r="E295">
        <v>66157.2</v>
      </c>
      <c r="F295" t="s">
        <v>1451</v>
      </c>
      <c r="G295">
        <v>0.75</v>
      </c>
      <c r="H295" t="s">
        <v>1462</v>
      </c>
      <c r="I295" t="s">
        <v>1463</v>
      </c>
    </row>
    <row r="296" spans="1:9" x14ac:dyDescent="0.35">
      <c r="A296">
        <v>20260601</v>
      </c>
      <c r="B296" t="s">
        <v>1205</v>
      </c>
      <c r="C296">
        <v>6300</v>
      </c>
      <c r="D296" t="s">
        <v>1131</v>
      </c>
      <c r="E296">
        <v>86700</v>
      </c>
      <c r="F296" t="s">
        <v>1451</v>
      </c>
      <c r="G296">
        <v>0.75</v>
      </c>
      <c r="H296" t="s">
        <v>1462</v>
      </c>
      <c r="I296" t="s">
        <v>1463</v>
      </c>
    </row>
    <row r="297" spans="1:9" x14ac:dyDescent="0.35">
      <c r="A297">
        <v>20260601</v>
      </c>
      <c r="B297" t="s">
        <v>1205</v>
      </c>
      <c r="C297">
        <v>3900</v>
      </c>
      <c r="D297" t="s">
        <v>1131</v>
      </c>
      <c r="E297">
        <v>-663000</v>
      </c>
      <c r="F297" t="s">
        <v>1451</v>
      </c>
      <c r="G297">
        <v>0.75</v>
      </c>
      <c r="H297" t="s">
        <v>1462</v>
      </c>
      <c r="I297" t="s">
        <v>1463</v>
      </c>
    </row>
    <row r="298" spans="1:9" x14ac:dyDescent="0.35">
      <c r="A298">
        <v>20260601</v>
      </c>
      <c r="B298" t="s">
        <v>1257</v>
      </c>
      <c r="C298">
        <v>5100</v>
      </c>
      <c r="D298" t="s">
        <v>485</v>
      </c>
      <c r="E298">
        <v>91800</v>
      </c>
      <c r="F298" t="s">
        <v>1451</v>
      </c>
      <c r="G298">
        <v>0.75</v>
      </c>
      <c r="H298" t="s">
        <v>1462</v>
      </c>
      <c r="I298" t="s">
        <v>1463</v>
      </c>
    </row>
    <row r="299" spans="1:9" x14ac:dyDescent="0.35">
      <c r="A299">
        <v>20260601</v>
      </c>
      <c r="B299" t="s">
        <v>1257</v>
      </c>
      <c r="C299">
        <v>3400</v>
      </c>
      <c r="D299" t="s">
        <v>485</v>
      </c>
      <c r="E299">
        <v>-91800</v>
      </c>
      <c r="F299" t="s">
        <v>1451</v>
      </c>
      <c r="G299">
        <v>0.75</v>
      </c>
      <c r="H299" t="s">
        <v>1462</v>
      </c>
      <c r="I299" t="s">
        <v>1463</v>
      </c>
    </row>
    <row r="300" spans="1:9" x14ac:dyDescent="0.35">
      <c r="A300">
        <v>20260601</v>
      </c>
      <c r="B300" t="s">
        <v>1164</v>
      </c>
      <c r="C300">
        <v>5000</v>
      </c>
      <c r="D300" t="s">
        <v>1131</v>
      </c>
      <c r="E300">
        <v>469200</v>
      </c>
      <c r="F300" t="s">
        <v>1451</v>
      </c>
      <c r="G300">
        <v>0.75</v>
      </c>
      <c r="H300" t="s">
        <v>1462</v>
      </c>
      <c r="I300" t="s">
        <v>1463</v>
      </c>
    </row>
    <row r="301" spans="1:9" x14ac:dyDescent="0.35">
      <c r="A301">
        <v>20260601</v>
      </c>
      <c r="B301" t="s">
        <v>1164</v>
      </c>
      <c r="C301">
        <v>5400</v>
      </c>
      <c r="D301" t="s">
        <v>1131</v>
      </c>
      <c r="E301">
        <v>66157.2</v>
      </c>
      <c r="F301" t="s">
        <v>1451</v>
      </c>
      <c r="G301">
        <v>0.75</v>
      </c>
      <c r="H301" t="s">
        <v>1462</v>
      </c>
      <c r="I301" t="s">
        <v>1463</v>
      </c>
    </row>
    <row r="302" spans="1:9" x14ac:dyDescent="0.35">
      <c r="A302">
        <v>20260601</v>
      </c>
      <c r="B302" t="s">
        <v>1164</v>
      </c>
      <c r="C302">
        <v>6300</v>
      </c>
      <c r="D302" t="s">
        <v>1131</v>
      </c>
      <c r="E302">
        <v>86700</v>
      </c>
      <c r="F302" t="s">
        <v>1451</v>
      </c>
      <c r="G302">
        <v>0.75</v>
      </c>
      <c r="H302" t="s">
        <v>1462</v>
      </c>
      <c r="I302" t="s">
        <v>1463</v>
      </c>
    </row>
    <row r="303" spans="1:9" x14ac:dyDescent="0.35">
      <c r="A303">
        <v>20260601</v>
      </c>
      <c r="B303" t="s">
        <v>1164</v>
      </c>
      <c r="C303">
        <v>3900</v>
      </c>
      <c r="D303" t="s">
        <v>1131</v>
      </c>
      <c r="E303">
        <v>-663000</v>
      </c>
      <c r="F303" t="s">
        <v>1451</v>
      </c>
      <c r="G303">
        <v>0.75</v>
      </c>
      <c r="H303" t="s">
        <v>1462</v>
      </c>
      <c r="I303" t="s">
        <v>1463</v>
      </c>
    </row>
    <row r="304" spans="1:9" x14ac:dyDescent="0.35">
      <c r="A304">
        <v>20260601</v>
      </c>
      <c r="B304" t="s">
        <v>1249</v>
      </c>
      <c r="C304">
        <v>5100</v>
      </c>
      <c r="D304" t="s">
        <v>485</v>
      </c>
      <c r="E304">
        <v>91800</v>
      </c>
      <c r="F304" t="s">
        <v>1451</v>
      </c>
      <c r="G304">
        <v>0.75</v>
      </c>
      <c r="H304" t="s">
        <v>1462</v>
      </c>
      <c r="I304" t="s">
        <v>1463</v>
      </c>
    </row>
    <row r="305" spans="1:9" x14ac:dyDescent="0.35">
      <c r="A305">
        <v>20260601</v>
      </c>
      <c r="B305" t="s">
        <v>1249</v>
      </c>
      <c r="C305">
        <v>3400</v>
      </c>
      <c r="D305" t="s">
        <v>485</v>
      </c>
      <c r="E305">
        <v>-91800</v>
      </c>
      <c r="F305" t="s">
        <v>1451</v>
      </c>
      <c r="G305">
        <v>0.75</v>
      </c>
      <c r="H305" t="s">
        <v>1462</v>
      </c>
      <c r="I305" t="s">
        <v>1463</v>
      </c>
    </row>
    <row r="306" spans="1:9" x14ac:dyDescent="0.35">
      <c r="A306">
        <v>20260601</v>
      </c>
      <c r="B306" t="s">
        <v>1169</v>
      </c>
      <c r="C306">
        <v>5000</v>
      </c>
      <c r="D306" t="s">
        <v>1131</v>
      </c>
      <c r="E306">
        <v>469200</v>
      </c>
      <c r="F306" t="s">
        <v>1451</v>
      </c>
      <c r="G306">
        <v>0.75</v>
      </c>
      <c r="H306" t="s">
        <v>1462</v>
      </c>
      <c r="I306" t="s">
        <v>1463</v>
      </c>
    </row>
    <row r="307" spans="1:9" x14ac:dyDescent="0.35">
      <c r="A307">
        <v>20260601</v>
      </c>
      <c r="B307" t="s">
        <v>1169</v>
      </c>
      <c r="C307">
        <v>5400</v>
      </c>
      <c r="D307" t="s">
        <v>1131</v>
      </c>
      <c r="E307">
        <v>66157.2</v>
      </c>
      <c r="F307" t="s">
        <v>1451</v>
      </c>
      <c r="G307">
        <v>0.75</v>
      </c>
      <c r="H307" t="s">
        <v>1462</v>
      </c>
      <c r="I307" t="s">
        <v>1463</v>
      </c>
    </row>
    <row r="308" spans="1:9" x14ac:dyDescent="0.35">
      <c r="A308">
        <v>20260601</v>
      </c>
      <c r="B308" t="s">
        <v>1169</v>
      </c>
      <c r="C308">
        <v>6300</v>
      </c>
      <c r="D308" t="s">
        <v>1131</v>
      </c>
      <c r="E308">
        <v>86700</v>
      </c>
      <c r="F308" t="s">
        <v>1451</v>
      </c>
      <c r="G308">
        <v>0.75</v>
      </c>
      <c r="H308" t="s">
        <v>1462</v>
      </c>
      <c r="I308" t="s">
        <v>1463</v>
      </c>
    </row>
    <row r="309" spans="1:9" x14ac:dyDescent="0.35">
      <c r="A309">
        <v>20260601</v>
      </c>
      <c r="B309" t="s">
        <v>1169</v>
      </c>
      <c r="C309">
        <v>3900</v>
      </c>
      <c r="D309" t="s">
        <v>1131</v>
      </c>
      <c r="E309">
        <v>-663000</v>
      </c>
      <c r="F309" t="s">
        <v>1451</v>
      </c>
      <c r="G309">
        <v>0.75</v>
      </c>
      <c r="H309" t="s">
        <v>1462</v>
      </c>
      <c r="I309" t="s">
        <v>1463</v>
      </c>
    </row>
    <row r="310" spans="1:9" x14ac:dyDescent="0.35">
      <c r="A310">
        <v>20260601</v>
      </c>
      <c r="B310" t="s">
        <v>1260</v>
      </c>
      <c r="C310">
        <v>5100</v>
      </c>
      <c r="D310" t="s">
        <v>485</v>
      </c>
      <c r="E310">
        <v>91800</v>
      </c>
      <c r="F310" t="s">
        <v>1451</v>
      </c>
      <c r="G310">
        <v>0.75</v>
      </c>
      <c r="H310" t="s">
        <v>1462</v>
      </c>
      <c r="I310" t="s">
        <v>1463</v>
      </c>
    </row>
    <row r="311" spans="1:9" x14ac:dyDescent="0.35">
      <c r="A311">
        <v>20260601</v>
      </c>
      <c r="B311" t="s">
        <v>1260</v>
      </c>
      <c r="C311">
        <v>3400</v>
      </c>
      <c r="D311" t="s">
        <v>485</v>
      </c>
      <c r="E311">
        <v>-91800</v>
      </c>
      <c r="F311" t="s">
        <v>1451</v>
      </c>
      <c r="G311">
        <v>0.75</v>
      </c>
      <c r="H311" t="s">
        <v>1462</v>
      </c>
      <c r="I311" t="s">
        <v>1463</v>
      </c>
    </row>
    <row r="312" spans="1:9" x14ac:dyDescent="0.35">
      <c r="A312">
        <v>20260601</v>
      </c>
      <c r="B312" t="s">
        <v>1175</v>
      </c>
      <c r="C312">
        <v>5000</v>
      </c>
      <c r="D312" t="s">
        <v>1131</v>
      </c>
      <c r="E312">
        <v>469200</v>
      </c>
      <c r="F312" t="s">
        <v>1451</v>
      </c>
      <c r="G312">
        <v>0.75</v>
      </c>
      <c r="H312" t="s">
        <v>1462</v>
      </c>
      <c r="I312" t="s">
        <v>1463</v>
      </c>
    </row>
    <row r="313" spans="1:9" x14ac:dyDescent="0.35">
      <c r="A313">
        <v>20260601</v>
      </c>
      <c r="B313" t="s">
        <v>1175</v>
      </c>
      <c r="C313">
        <v>5400</v>
      </c>
      <c r="D313" t="s">
        <v>1131</v>
      </c>
      <c r="E313">
        <v>66157.2</v>
      </c>
      <c r="F313" t="s">
        <v>1451</v>
      </c>
      <c r="G313">
        <v>0.75</v>
      </c>
      <c r="H313" t="s">
        <v>1462</v>
      </c>
      <c r="I313" t="s">
        <v>1463</v>
      </c>
    </row>
    <row r="314" spans="1:9" x14ac:dyDescent="0.35">
      <c r="A314">
        <v>20260601</v>
      </c>
      <c r="B314" t="s">
        <v>1175</v>
      </c>
      <c r="C314">
        <v>6300</v>
      </c>
      <c r="D314" t="s">
        <v>1131</v>
      </c>
      <c r="E314">
        <v>86700</v>
      </c>
      <c r="F314" t="s">
        <v>1451</v>
      </c>
      <c r="G314">
        <v>0.75</v>
      </c>
      <c r="H314" t="s">
        <v>1462</v>
      </c>
      <c r="I314" t="s">
        <v>1463</v>
      </c>
    </row>
    <row r="315" spans="1:9" x14ac:dyDescent="0.35">
      <c r="A315">
        <v>20260601</v>
      </c>
      <c r="B315" t="s">
        <v>1175</v>
      </c>
      <c r="C315">
        <v>3900</v>
      </c>
      <c r="D315" t="s">
        <v>1131</v>
      </c>
      <c r="E315">
        <v>-663000</v>
      </c>
      <c r="F315" t="s">
        <v>1451</v>
      </c>
      <c r="G315">
        <v>0.75</v>
      </c>
      <c r="H315" t="s">
        <v>1462</v>
      </c>
      <c r="I315" t="s">
        <v>1463</v>
      </c>
    </row>
    <row r="316" spans="1:9" x14ac:dyDescent="0.35">
      <c r="A316">
        <v>20260601</v>
      </c>
      <c r="B316" t="s">
        <v>1247</v>
      </c>
      <c r="C316">
        <v>5100</v>
      </c>
      <c r="D316" t="s">
        <v>485</v>
      </c>
      <c r="E316">
        <v>91800</v>
      </c>
      <c r="F316" t="s">
        <v>1451</v>
      </c>
      <c r="G316">
        <v>0.75</v>
      </c>
      <c r="H316" t="s">
        <v>1462</v>
      </c>
      <c r="I316" t="s">
        <v>1463</v>
      </c>
    </row>
    <row r="317" spans="1:9" x14ac:dyDescent="0.35">
      <c r="A317">
        <v>20260601</v>
      </c>
      <c r="B317" t="s">
        <v>1247</v>
      </c>
      <c r="C317">
        <v>3400</v>
      </c>
      <c r="D317" t="s">
        <v>485</v>
      </c>
      <c r="E317">
        <v>-91800</v>
      </c>
      <c r="F317" t="s">
        <v>1451</v>
      </c>
      <c r="G317">
        <v>0.75</v>
      </c>
      <c r="H317" t="s">
        <v>1462</v>
      </c>
      <c r="I317" t="s">
        <v>1463</v>
      </c>
    </row>
    <row r="318" spans="1:9" x14ac:dyDescent="0.35">
      <c r="A318">
        <v>20260601</v>
      </c>
      <c r="B318" t="s">
        <v>1130</v>
      </c>
      <c r="C318">
        <v>5000</v>
      </c>
      <c r="D318" t="s">
        <v>1131</v>
      </c>
      <c r="E318">
        <v>469200</v>
      </c>
      <c r="F318" t="s">
        <v>1451</v>
      </c>
      <c r="G318">
        <v>0.75</v>
      </c>
      <c r="H318" t="s">
        <v>1462</v>
      </c>
      <c r="I318" t="s">
        <v>1463</v>
      </c>
    </row>
    <row r="319" spans="1:9" x14ac:dyDescent="0.35">
      <c r="A319">
        <v>20260601</v>
      </c>
      <c r="B319" t="s">
        <v>1130</v>
      </c>
      <c r="C319">
        <v>5400</v>
      </c>
      <c r="D319" t="s">
        <v>1131</v>
      </c>
      <c r="E319">
        <v>66157.2</v>
      </c>
      <c r="F319" t="s">
        <v>1451</v>
      </c>
      <c r="G319">
        <v>0.75</v>
      </c>
      <c r="H319" t="s">
        <v>1462</v>
      </c>
      <c r="I319" t="s">
        <v>1463</v>
      </c>
    </row>
    <row r="320" spans="1:9" x14ac:dyDescent="0.35">
      <c r="A320">
        <v>20260601</v>
      </c>
      <c r="B320" t="s">
        <v>1130</v>
      </c>
      <c r="C320">
        <v>6300</v>
      </c>
      <c r="D320" t="s">
        <v>1131</v>
      </c>
      <c r="E320">
        <v>86700</v>
      </c>
      <c r="F320" t="s">
        <v>1451</v>
      </c>
      <c r="G320">
        <v>0.75</v>
      </c>
      <c r="H320" t="s">
        <v>1462</v>
      </c>
      <c r="I320" t="s">
        <v>1463</v>
      </c>
    </row>
    <row r="321" spans="1:9" x14ac:dyDescent="0.35">
      <c r="A321">
        <v>20260601</v>
      </c>
      <c r="B321" t="s">
        <v>1130</v>
      </c>
      <c r="C321">
        <v>3900</v>
      </c>
      <c r="D321" t="s">
        <v>1131</v>
      </c>
      <c r="E321">
        <v>-663000</v>
      </c>
      <c r="F321" t="s">
        <v>1451</v>
      </c>
      <c r="G321">
        <v>0.75</v>
      </c>
      <c r="H321" t="s">
        <v>1462</v>
      </c>
      <c r="I321" t="s">
        <v>1463</v>
      </c>
    </row>
    <row r="322" spans="1:9" x14ac:dyDescent="0.35">
      <c r="A322">
        <v>20260601</v>
      </c>
      <c r="B322" t="s">
        <v>1265</v>
      </c>
      <c r="C322">
        <v>5100</v>
      </c>
      <c r="D322" t="s">
        <v>485</v>
      </c>
      <c r="E322">
        <v>91800</v>
      </c>
      <c r="F322" t="s">
        <v>1451</v>
      </c>
      <c r="G322">
        <v>0.75</v>
      </c>
      <c r="H322" t="s">
        <v>1462</v>
      </c>
      <c r="I322" t="s">
        <v>1463</v>
      </c>
    </row>
    <row r="323" spans="1:9" x14ac:dyDescent="0.35">
      <c r="A323">
        <v>20260601</v>
      </c>
      <c r="B323" t="s">
        <v>1265</v>
      </c>
      <c r="C323">
        <v>3400</v>
      </c>
      <c r="D323" t="s">
        <v>485</v>
      </c>
      <c r="E323">
        <v>-91800</v>
      </c>
      <c r="F323" t="s">
        <v>1451</v>
      </c>
      <c r="G323">
        <v>0.75</v>
      </c>
      <c r="H323" t="s">
        <v>1462</v>
      </c>
      <c r="I323" t="s">
        <v>1463</v>
      </c>
    </row>
    <row r="324" spans="1:9" x14ac:dyDescent="0.35">
      <c r="A324">
        <v>20260601</v>
      </c>
      <c r="B324" t="s">
        <v>1173</v>
      </c>
      <c r="C324">
        <v>5000</v>
      </c>
      <c r="D324" t="s">
        <v>1131</v>
      </c>
      <c r="E324">
        <v>469200</v>
      </c>
      <c r="F324" t="s">
        <v>1451</v>
      </c>
      <c r="G324">
        <v>0.75</v>
      </c>
      <c r="H324" t="s">
        <v>1462</v>
      </c>
      <c r="I324" t="s">
        <v>1463</v>
      </c>
    </row>
    <row r="325" spans="1:9" x14ac:dyDescent="0.35">
      <c r="A325">
        <v>20260601</v>
      </c>
      <c r="B325" t="s">
        <v>1173</v>
      </c>
      <c r="C325">
        <v>5400</v>
      </c>
      <c r="D325" t="s">
        <v>1131</v>
      </c>
      <c r="E325">
        <v>66157.2</v>
      </c>
      <c r="F325" t="s">
        <v>1451</v>
      </c>
      <c r="G325">
        <v>0.75</v>
      </c>
      <c r="H325" t="s">
        <v>1462</v>
      </c>
      <c r="I325" t="s">
        <v>1463</v>
      </c>
    </row>
    <row r="326" spans="1:9" x14ac:dyDescent="0.35">
      <c r="A326">
        <v>20260601</v>
      </c>
      <c r="B326" t="s">
        <v>1173</v>
      </c>
      <c r="C326">
        <v>6300</v>
      </c>
      <c r="D326" t="s">
        <v>1131</v>
      </c>
      <c r="E326">
        <v>86700</v>
      </c>
      <c r="F326" t="s">
        <v>1451</v>
      </c>
      <c r="G326">
        <v>0.75</v>
      </c>
      <c r="H326" t="s">
        <v>1462</v>
      </c>
      <c r="I326" t="s">
        <v>1463</v>
      </c>
    </row>
    <row r="327" spans="1:9" x14ac:dyDescent="0.35">
      <c r="A327">
        <v>20260601</v>
      </c>
      <c r="B327" t="s">
        <v>1173</v>
      </c>
      <c r="C327">
        <v>3900</v>
      </c>
      <c r="D327" t="s">
        <v>1131</v>
      </c>
      <c r="E327">
        <v>-663000</v>
      </c>
      <c r="F327" t="s">
        <v>1451</v>
      </c>
      <c r="G327">
        <v>0.75</v>
      </c>
      <c r="H327" t="s">
        <v>1462</v>
      </c>
      <c r="I327" t="s">
        <v>1463</v>
      </c>
    </row>
    <row r="328" spans="1:9" x14ac:dyDescent="0.35">
      <c r="A328">
        <v>20260601</v>
      </c>
      <c r="B328" t="s">
        <v>1255</v>
      </c>
      <c r="C328">
        <v>5100</v>
      </c>
      <c r="D328" t="s">
        <v>485</v>
      </c>
      <c r="E328">
        <v>91800</v>
      </c>
      <c r="F328" t="s">
        <v>1451</v>
      </c>
      <c r="G328">
        <v>0.75</v>
      </c>
      <c r="H328" t="s">
        <v>1462</v>
      </c>
      <c r="I328" t="s">
        <v>1463</v>
      </c>
    </row>
    <row r="329" spans="1:9" x14ac:dyDescent="0.35">
      <c r="A329">
        <v>20260601</v>
      </c>
      <c r="B329" t="s">
        <v>1255</v>
      </c>
      <c r="C329">
        <v>3400</v>
      </c>
      <c r="D329" t="s">
        <v>485</v>
      </c>
      <c r="E329">
        <v>-91800</v>
      </c>
      <c r="F329" t="s">
        <v>1451</v>
      </c>
      <c r="G329">
        <v>0.75</v>
      </c>
      <c r="H329" t="s">
        <v>1462</v>
      </c>
      <c r="I329" t="s">
        <v>1463</v>
      </c>
    </row>
    <row r="330" spans="1:9" x14ac:dyDescent="0.35">
      <c r="A330">
        <v>20260601</v>
      </c>
      <c r="B330" t="s">
        <v>1155</v>
      </c>
      <c r="C330">
        <v>5000</v>
      </c>
      <c r="D330" t="s">
        <v>1131</v>
      </c>
      <c r="E330">
        <v>469200</v>
      </c>
      <c r="F330" t="s">
        <v>1451</v>
      </c>
      <c r="G330">
        <v>0.75</v>
      </c>
      <c r="H330" t="s">
        <v>1462</v>
      </c>
      <c r="I330" t="s">
        <v>1463</v>
      </c>
    </row>
    <row r="331" spans="1:9" x14ac:dyDescent="0.35">
      <c r="A331">
        <v>20260601</v>
      </c>
      <c r="B331" t="s">
        <v>1155</v>
      </c>
      <c r="C331">
        <v>5400</v>
      </c>
      <c r="D331" t="s">
        <v>1131</v>
      </c>
      <c r="E331">
        <v>66157.2</v>
      </c>
      <c r="F331" t="s">
        <v>1451</v>
      </c>
      <c r="G331">
        <v>0.75</v>
      </c>
      <c r="H331" t="s">
        <v>1462</v>
      </c>
      <c r="I331" t="s">
        <v>1463</v>
      </c>
    </row>
    <row r="332" spans="1:9" x14ac:dyDescent="0.35">
      <c r="A332">
        <v>20260601</v>
      </c>
      <c r="B332" t="s">
        <v>1155</v>
      </c>
      <c r="C332">
        <v>6300</v>
      </c>
      <c r="D332" t="s">
        <v>1131</v>
      </c>
      <c r="E332">
        <v>86700</v>
      </c>
      <c r="F332" t="s">
        <v>1451</v>
      </c>
      <c r="G332">
        <v>0.75</v>
      </c>
      <c r="H332" t="s">
        <v>1462</v>
      </c>
      <c r="I332" t="s">
        <v>1463</v>
      </c>
    </row>
    <row r="333" spans="1:9" x14ac:dyDescent="0.35">
      <c r="A333">
        <v>20260601</v>
      </c>
      <c r="B333" t="s">
        <v>1155</v>
      </c>
      <c r="C333">
        <v>3900</v>
      </c>
      <c r="D333" t="s">
        <v>1131</v>
      </c>
      <c r="E333">
        <v>-663000</v>
      </c>
      <c r="F333" t="s">
        <v>1451</v>
      </c>
      <c r="G333">
        <v>0.75</v>
      </c>
      <c r="H333" t="s">
        <v>1462</v>
      </c>
      <c r="I333" t="s">
        <v>1463</v>
      </c>
    </row>
    <row r="334" spans="1:9" x14ac:dyDescent="0.35">
      <c r="A334">
        <v>20260601</v>
      </c>
      <c r="B334" t="s">
        <v>1138</v>
      </c>
      <c r="C334">
        <v>5000</v>
      </c>
      <c r="D334" t="s">
        <v>1131</v>
      </c>
      <c r="E334">
        <v>469200</v>
      </c>
      <c r="F334" t="s">
        <v>1451</v>
      </c>
      <c r="G334">
        <v>0.75</v>
      </c>
      <c r="H334" t="s">
        <v>1462</v>
      </c>
      <c r="I334" t="s">
        <v>1463</v>
      </c>
    </row>
    <row r="335" spans="1:9" x14ac:dyDescent="0.35">
      <c r="A335">
        <v>20260601</v>
      </c>
      <c r="B335" t="s">
        <v>1138</v>
      </c>
      <c r="C335">
        <v>5400</v>
      </c>
      <c r="D335" t="s">
        <v>1131</v>
      </c>
      <c r="E335">
        <v>66157.2</v>
      </c>
      <c r="F335" t="s">
        <v>1451</v>
      </c>
      <c r="G335">
        <v>0.75</v>
      </c>
      <c r="H335" t="s">
        <v>1462</v>
      </c>
      <c r="I335" t="s">
        <v>1463</v>
      </c>
    </row>
    <row r="336" spans="1:9" x14ac:dyDescent="0.35">
      <c r="A336">
        <v>20260601</v>
      </c>
      <c r="B336" t="s">
        <v>1138</v>
      </c>
      <c r="C336">
        <v>6300</v>
      </c>
      <c r="D336" t="s">
        <v>1131</v>
      </c>
      <c r="E336">
        <v>86700</v>
      </c>
      <c r="F336" t="s">
        <v>1451</v>
      </c>
      <c r="G336">
        <v>0.75</v>
      </c>
      <c r="H336" t="s">
        <v>1462</v>
      </c>
      <c r="I336" t="s">
        <v>1463</v>
      </c>
    </row>
    <row r="337" spans="1:9" x14ac:dyDescent="0.35">
      <c r="A337">
        <v>20260601</v>
      </c>
      <c r="B337" t="s">
        <v>1138</v>
      </c>
      <c r="C337">
        <v>3900</v>
      </c>
      <c r="D337" t="s">
        <v>1131</v>
      </c>
      <c r="E337">
        <v>-663000</v>
      </c>
      <c r="F337" t="s">
        <v>1451</v>
      </c>
      <c r="G337">
        <v>0.75</v>
      </c>
      <c r="H337" t="s">
        <v>1462</v>
      </c>
      <c r="I337" t="s">
        <v>1463</v>
      </c>
    </row>
    <row r="338" spans="1:9" x14ac:dyDescent="0.35">
      <c r="A338">
        <v>20260701</v>
      </c>
      <c r="B338" t="s">
        <v>1150</v>
      </c>
      <c r="C338">
        <v>5000</v>
      </c>
      <c r="D338" t="s">
        <v>1131</v>
      </c>
      <c r="E338">
        <v>469200</v>
      </c>
      <c r="F338" t="s">
        <v>1451</v>
      </c>
      <c r="G338">
        <v>0.75</v>
      </c>
      <c r="H338" t="s">
        <v>1462</v>
      </c>
      <c r="I338" t="s">
        <v>1463</v>
      </c>
    </row>
    <row r="339" spans="1:9" x14ac:dyDescent="0.35">
      <c r="A339">
        <v>20260701</v>
      </c>
      <c r="B339" t="s">
        <v>1150</v>
      </c>
      <c r="C339">
        <v>5400</v>
      </c>
      <c r="D339" t="s">
        <v>1131</v>
      </c>
      <c r="E339">
        <v>66157.2</v>
      </c>
      <c r="F339" t="s">
        <v>1451</v>
      </c>
      <c r="G339">
        <v>0.75</v>
      </c>
      <c r="H339" t="s">
        <v>1462</v>
      </c>
      <c r="I339" t="s">
        <v>1463</v>
      </c>
    </row>
    <row r="340" spans="1:9" x14ac:dyDescent="0.35">
      <c r="A340">
        <v>20260701</v>
      </c>
      <c r="B340" t="s">
        <v>1150</v>
      </c>
      <c r="C340">
        <v>6300</v>
      </c>
      <c r="D340" t="s">
        <v>1131</v>
      </c>
      <c r="E340">
        <v>86700</v>
      </c>
      <c r="F340" t="s">
        <v>1451</v>
      </c>
      <c r="G340">
        <v>0.75</v>
      </c>
      <c r="H340" t="s">
        <v>1462</v>
      </c>
      <c r="I340" t="s">
        <v>1463</v>
      </c>
    </row>
    <row r="341" spans="1:9" x14ac:dyDescent="0.35">
      <c r="A341">
        <v>20260701</v>
      </c>
      <c r="B341" t="s">
        <v>1150</v>
      </c>
      <c r="C341">
        <v>3900</v>
      </c>
      <c r="D341" t="s">
        <v>1131</v>
      </c>
      <c r="E341">
        <v>-663000</v>
      </c>
      <c r="F341" t="s">
        <v>1451</v>
      </c>
      <c r="G341">
        <v>0.75</v>
      </c>
      <c r="H341" t="s">
        <v>1462</v>
      </c>
      <c r="I341" t="s">
        <v>1463</v>
      </c>
    </row>
    <row r="342" spans="1:9" x14ac:dyDescent="0.35">
      <c r="A342">
        <v>20260701</v>
      </c>
      <c r="B342" t="s">
        <v>1272</v>
      </c>
      <c r="C342">
        <v>5100</v>
      </c>
      <c r="D342" t="s">
        <v>485</v>
      </c>
      <c r="E342">
        <v>91800</v>
      </c>
      <c r="F342" t="s">
        <v>1451</v>
      </c>
      <c r="G342">
        <v>0.75</v>
      </c>
      <c r="H342" t="s">
        <v>1462</v>
      </c>
      <c r="I342" t="s">
        <v>1463</v>
      </c>
    </row>
    <row r="343" spans="1:9" x14ac:dyDescent="0.35">
      <c r="A343">
        <v>20260701</v>
      </c>
      <c r="B343" t="s">
        <v>1272</v>
      </c>
      <c r="C343">
        <v>3400</v>
      </c>
      <c r="D343" t="s">
        <v>485</v>
      </c>
      <c r="E343">
        <v>-91800</v>
      </c>
      <c r="F343" t="s">
        <v>1451</v>
      </c>
      <c r="G343">
        <v>0.75</v>
      </c>
      <c r="H343" t="s">
        <v>1462</v>
      </c>
      <c r="I343" t="s">
        <v>1463</v>
      </c>
    </row>
    <row r="344" spans="1:9" x14ac:dyDescent="0.35">
      <c r="A344">
        <v>20260701</v>
      </c>
      <c r="B344" t="s">
        <v>1158</v>
      </c>
      <c r="C344">
        <v>5000</v>
      </c>
      <c r="D344" t="s">
        <v>1131</v>
      </c>
      <c r="E344">
        <v>469200</v>
      </c>
      <c r="F344" t="s">
        <v>1451</v>
      </c>
      <c r="G344">
        <v>0.75</v>
      </c>
      <c r="H344" t="s">
        <v>1462</v>
      </c>
      <c r="I344" t="s">
        <v>1463</v>
      </c>
    </row>
    <row r="345" spans="1:9" x14ac:dyDescent="0.35">
      <c r="A345">
        <v>20260701</v>
      </c>
      <c r="B345" t="s">
        <v>1158</v>
      </c>
      <c r="C345">
        <v>5400</v>
      </c>
      <c r="D345" t="s">
        <v>1131</v>
      </c>
      <c r="E345">
        <v>66157.2</v>
      </c>
      <c r="F345" t="s">
        <v>1451</v>
      </c>
      <c r="G345">
        <v>0.75</v>
      </c>
      <c r="H345" t="s">
        <v>1462</v>
      </c>
      <c r="I345" t="s">
        <v>1463</v>
      </c>
    </row>
    <row r="346" spans="1:9" x14ac:dyDescent="0.35">
      <c r="A346">
        <v>20260701</v>
      </c>
      <c r="B346" t="s">
        <v>1158</v>
      </c>
      <c r="C346">
        <v>6300</v>
      </c>
      <c r="D346" t="s">
        <v>1131</v>
      </c>
      <c r="E346">
        <v>86700</v>
      </c>
      <c r="F346" t="s">
        <v>1451</v>
      </c>
      <c r="G346">
        <v>0.75</v>
      </c>
      <c r="H346" t="s">
        <v>1462</v>
      </c>
      <c r="I346" t="s">
        <v>1463</v>
      </c>
    </row>
    <row r="347" spans="1:9" x14ac:dyDescent="0.35">
      <c r="A347">
        <v>20260701</v>
      </c>
      <c r="B347" t="s">
        <v>1158</v>
      </c>
      <c r="C347">
        <v>3900</v>
      </c>
      <c r="D347" t="s">
        <v>1131</v>
      </c>
      <c r="E347">
        <v>-663000</v>
      </c>
      <c r="F347" t="s">
        <v>1451</v>
      </c>
      <c r="G347">
        <v>0.75</v>
      </c>
      <c r="H347" t="s">
        <v>1462</v>
      </c>
      <c r="I347" t="s">
        <v>1463</v>
      </c>
    </row>
    <row r="348" spans="1:9" x14ac:dyDescent="0.35">
      <c r="A348">
        <v>20260701</v>
      </c>
      <c r="B348" t="s">
        <v>1243</v>
      </c>
      <c r="C348">
        <v>5100</v>
      </c>
      <c r="D348" t="s">
        <v>485</v>
      </c>
      <c r="E348">
        <v>91800</v>
      </c>
      <c r="F348" t="s">
        <v>1451</v>
      </c>
      <c r="G348">
        <v>0.75</v>
      </c>
      <c r="H348" t="s">
        <v>1462</v>
      </c>
      <c r="I348" t="s">
        <v>1463</v>
      </c>
    </row>
    <row r="349" spans="1:9" x14ac:dyDescent="0.35">
      <c r="A349">
        <v>20260701</v>
      </c>
      <c r="B349" t="s">
        <v>1243</v>
      </c>
      <c r="C349">
        <v>3400</v>
      </c>
      <c r="D349" t="s">
        <v>485</v>
      </c>
      <c r="E349">
        <v>-91800</v>
      </c>
      <c r="F349" t="s">
        <v>1451</v>
      </c>
      <c r="G349">
        <v>0.75</v>
      </c>
      <c r="H349" t="s">
        <v>1462</v>
      </c>
      <c r="I349" t="s">
        <v>1463</v>
      </c>
    </row>
    <row r="350" spans="1:9" x14ac:dyDescent="0.35">
      <c r="A350">
        <v>20260701</v>
      </c>
      <c r="B350" t="s">
        <v>1205</v>
      </c>
      <c r="C350">
        <v>5000</v>
      </c>
      <c r="D350" t="s">
        <v>1131</v>
      </c>
      <c r="E350">
        <v>469200</v>
      </c>
      <c r="F350" t="s">
        <v>1451</v>
      </c>
      <c r="G350">
        <v>0.75</v>
      </c>
      <c r="H350" t="s">
        <v>1462</v>
      </c>
      <c r="I350" t="s">
        <v>1463</v>
      </c>
    </row>
    <row r="351" spans="1:9" x14ac:dyDescent="0.35">
      <c r="A351">
        <v>20260701</v>
      </c>
      <c r="B351" t="s">
        <v>1205</v>
      </c>
      <c r="C351">
        <v>5400</v>
      </c>
      <c r="D351" t="s">
        <v>1131</v>
      </c>
      <c r="E351">
        <v>66157.2</v>
      </c>
      <c r="F351" t="s">
        <v>1451</v>
      </c>
      <c r="G351">
        <v>0.75</v>
      </c>
      <c r="H351" t="s">
        <v>1462</v>
      </c>
      <c r="I351" t="s">
        <v>1463</v>
      </c>
    </row>
    <row r="352" spans="1:9" x14ac:dyDescent="0.35">
      <c r="A352">
        <v>20260701</v>
      </c>
      <c r="B352" t="s">
        <v>1205</v>
      </c>
      <c r="C352">
        <v>6300</v>
      </c>
      <c r="D352" t="s">
        <v>1131</v>
      </c>
      <c r="E352">
        <v>86700</v>
      </c>
      <c r="F352" t="s">
        <v>1451</v>
      </c>
      <c r="G352">
        <v>0.75</v>
      </c>
      <c r="H352" t="s">
        <v>1462</v>
      </c>
      <c r="I352" t="s">
        <v>1463</v>
      </c>
    </row>
    <row r="353" spans="1:9" x14ac:dyDescent="0.35">
      <c r="A353">
        <v>20260701</v>
      </c>
      <c r="B353" t="s">
        <v>1205</v>
      </c>
      <c r="C353">
        <v>3900</v>
      </c>
      <c r="D353" t="s">
        <v>1131</v>
      </c>
      <c r="E353">
        <v>-663000</v>
      </c>
      <c r="F353" t="s">
        <v>1451</v>
      </c>
      <c r="G353">
        <v>0.75</v>
      </c>
      <c r="H353" t="s">
        <v>1462</v>
      </c>
      <c r="I353" t="s">
        <v>1463</v>
      </c>
    </row>
    <row r="354" spans="1:9" x14ac:dyDescent="0.35">
      <c r="A354">
        <v>20260701</v>
      </c>
      <c r="B354" t="s">
        <v>1257</v>
      </c>
      <c r="C354">
        <v>5100</v>
      </c>
      <c r="D354" t="s">
        <v>485</v>
      </c>
      <c r="E354">
        <v>91800</v>
      </c>
      <c r="F354" t="s">
        <v>1451</v>
      </c>
      <c r="G354">
        <v>0.75</v>
      </c>
      <c r="H354" t="s">
        <v>1462</v>
      </c>
      <c r="I354" t="s">
        <v>1463</v>
      </c>
    </row>
    <row r="355" spans="1:9" x14ac:dyDescent="0.35">
      <c r="A355">
        <v>20260701</v>
      </c>
      <c r="B355" t="s">
        <v>1257</v>
      </c>
      <c r="C355">
        <v>3400</v>
      </c>
      <c r="D355" t="s">
        <v>485</v>
      </c>
      <c r="E355">
        <v>-91800</v>
      </c>
      <c r="F355" t="s">
        <v>1451</v>
      </c>
      <c r="G355">
        <v>0.75</v>
      </c>
      <c r="H355" t="s">
        <v>1462</v>
      </c>
      <c r="I355" t="s">
        <v>1463</v>
      </c>
    </row>
    <row r="356" spans="1:9" x14ac:dyDescent="0.35">
      <c r="A356">
        <v>20260701</v>
      </c>
      <c r="B356" t="s">
        <v>1164</v>
      </c>
      <c r="C356">
        <v>5000</v>
      </c>
      <c r="D356" t="s">
        <v>1131</v>
      </c>
      <c r="E356">
        <v>469200</v>
      </c>
      <c r="F356" t="s">
        <v>1451</v>
      </c>
      <c r="G356">
        <v>0.75</v>
      </c>
      <c r="H356" t="s">
        <v>1462</v>
      </c>
      <c r="I356" t="s">
        <v>1463</v>
      </c>
    </row>
    <row r="357" spans="1:9" x14ac:dyDescent="0.35">
      <c r="A357">
        <v>20260701</v>
      </c>
      <c r="B357" t="s">
        <v>1164</v>
      </c>
      <c r="C357">
        <v>5400</v>
      </c>
      <c r="D357" t="s">
        <v>1131</v>
      </c>
      <c r="E357">
        <v>66157.2</v>
      </c>
      <c r="F357" t="s">
        <v>1451</v>
      </c>
      <c r="G357">
        <v>0.75</v>
      </c>
      <c r="H357" t="s">
        <v>1462</v>
      </c>
      <c r="I357" t="s">
        <v>1463</v>
      </c>
    </row>
    <row r="358" spans="1:9" x14ac:dyDescent="0.35">
      <c r="A358">
        <v>20260701</v>
      </c>
      <c r="B358" t="s">
        <v>1164</v>
      </c>
      <c r="C358">
        <v>6300</v>
      </c>
      <c r="D358" t="s">
        <v>1131</v>
      </c>
      <c r="E358">
        <v>86700</v>
      </c>
      <c r="F358" t="s">
        <v>1451</v>
      </c>
      <c r="G358">
        <v>0.75</v>
      </c>
      <c r="H358" t="s">
        <v>1462</v>
      </c>
      <c r="I358" t="s">
        <v>1463</v>
      </c>
    </row>
    <row r="359" spans="1:9" x14ac:dyDescent="0.35">
      <c r="A359">
        <v>20260701</v>
      </c>
      <c r="B359" t="s">
        <v>1164</v>
      </c>
      <c r="C359">
        <v>3900</v>
      </c>
      <c r="D359" t="s">
        <v>1131</v>
      </c>
      <c r="E359">
        <v>-663000</v>
      </c>
      <c r="F359" t="s">
        <v>1451</v>
      </c>
      <c r="G359">
        <v>0.75</v>
      </c>
      <c r="H359" t="s">
        <v>1462</v>
      </c>
      <c r="I359" t="s">
        <v>1463</v>
      </c>
    </row>
    <row r="360" spans="1:9" x14ac:dyDescent="0.35">
      <c r="A360">
        <v>20260701</v>
      </c>
      <c r="B360" t="s">
        <v>1249</v>
      </c>
      <c r="C360">
        <v>5100</v>
      </c>
      <c r="D360" t="s">
        <v>485</v>
      </c>
      <c r="E360">
        <v>91800</v>
      </c>
      <c r="F360" t="s">
        <v>1451</v>
      </c>
      <c r="G360">
        <v>0.75</v>
      </c>
      <c r="H360" t="s">
        <v>1462</v>
      </c>
      <c r="I360" t="s">
        <v>1463</v>
      </c>
    </row>
    <row r="361" spans="1:9" x14ac:dyDescent="0.35">
      <c r="A361">
        <v>20260701</v>
      </c>
      <c r="B361" t="s">
        <v>1249</v>
      </c>
      <c r="C361">
        <v>3400</v>
      </c>
      <c r="D361" t="s">
        <v>485</v>
      </c>
      <c r="E361">
        <v>-91800</v>
      </c>
      <c r="F361" t="s">
        <v>1451</v>
      </c>
      <c r="G361">
        <v>0.75</v>
      </c>
      <c r="H361" t="s">
        <v>1462</v>
      </c>
      <c r="I361" t="s">
        <v>1463</v>
      </c>
    </row>
    <row r="362" spans="1:9" x14ac:dyDescent="0.35">
      <c r="A362">
        <v>20260701</v>
      </c>
      <c r="B362" t="s">
        <v>1169</v>
      </c>
      <c r="C362">
        <v>5000</v>
      </c>
      <c r="D362" t="s">
        <v>1131</v>
      </c>
      <c r="E362">
        <v>469200</v>
      </c>
      <c r="F362" t="s">
        <v>1451</v>
      </c>
      <c r="G362">
        <v>0.75</v>
      </c>
      <c r="H362" t="s">
        <v>1462</v>
      </c>
      <c r="I362" t="s">
        <v>1463</v>
      </c>
    </row>
    <row r="363" spans="1:9" x14ac:dyDescent="0.35">
      <c r="A363">
        <v>20260701</v>
      </c>
      <c r="B363" t="s">
        <v>1169</v>
      </c>
      <c r="C363">
        <v>5400</v>
      </c>
      <c r="D363" t="s">
        <v>1131</v>
      </c>
      <c r="E363">
        <v>66157.2</v>
      </c>
      <c r="F363" t="s">
        <v>1451</v>
      </c>
      <c r="G363">
        <v>0.75</v>
      </c>
      <c r="H363" t="s">
        <v>1462</v>
      </c>
      <c r="I363" t="s">
        <v>1463</v>
      </c>
    </row>
    <row r="364" spans="1:9" x14ac:dyDescent="0.35">
      <c r="A364">
        <v>20260701</v>
      </c>
      <c r="B364" t="s">
        <v>1169</v>
      </c>
      <c r="C364">
        <v>6300</v>
      </c>
      <c r="D364" t="s">
        <v>1131</v>
      </c>
      <c r="E364">
        <v>86700</v>
      </c>
      <c r="F364" t="s">
        <v>1451</v>
      </c>
      <c r="G364">
        <v>0.75</v>
      </c>
      <c r="H364" t="s">
        <v>1462</v>
      </c>
      <c r="I364" t="s">
        <v>1463</v>
      </c>
    </row>
    <row r="365" spans="1:9" x14ac:dyDescent="0.35">
      <c r="A365">
        <v>20260701</v>
      </c>
      <c r="B365" t="s">
        <v>1169</v>
      </c>
      <c r="C365">
        <v>3900</v>
      </c>
      <c r="D365" t="s">
        <v>1131</v>
      </c>
      <c r="E365">
        <v>-663000</v>
      </c>
      <c r="F365" t="s">
        <v>1451</v>
      </c>
      <c r="G365">
        <v>0.75</v>
      </c>
      <c r="H365" t="s">
        <v>1462</v>
      </c>
      <c r="I365" t="s">
        <v>1463</v>
      </c>
    </row>
    <row r="366" spans="1:9" x14ac:dyDescent="0.35">
      <c r="A366">
        <v>20260701</v>
      </c>
      <c r="B366" t="s">
        <v>1260</v>
      </c>
      <c r="C366">
        <v>5100</v>
      </c>
      <c r="D366" t="s">
        <v>485</v>
      </c>
      <c r="E366">
        <v>91800</v>
      </c>
      <c r="F366" t="s">
        <v>1451</v>
      </c>
      <c r="G366">
        <v>0.75</v>
      </c>
      <c r="H366" t="s">
        <v>1462</v>
      </c>
      <c r="I366" t="s">
        <v>1463</v>
      </c>
    </row>
    <row r="367" spans="1:9" x14ac:dyDescent="0.35">
      <c r="A367">
        <v>20260701</v>
      </c>
      <c r="B367" t="s">
        <v>1260</v>
      </c>
      <c r="C367">
        <v>3400</v>
      </c>
      <c r="D367" t="s">
        <v>485</v>
      </c>
      <c r="E367">
        <v>-91800</v>
      </c>
      <c r="F367" t="s">
        <v>1451</v>
      </c>
      <c r="G367">
        <v>0.75</v>
      </c>
      <c r="H367" t="s">
        <v>1462</v>
      </c>
      <c r="I367" t="s">
        <v>1463</v>
      </c>
    </row>
    <row r="368" spans="1:9" x14ac:dyDescent="0.35">
      <c r="A368">
        <v>20260701</v>
      </c>
      <c r="B368" t="s">
        <v>1175</v>
      </c>
      <c r="C368">
        <v>5000</v>
      </c>
      <c r="D368" t="s">
        <v>1131</v>
      </c>
      <c r="E368">
        <v>469200</v>
      </c>
      <c r="F368" t="s">
        <v>1451</v>
      </c>
      <c r="G368">
        <v>0.75</v>
      </c>
      <c r="H368" t="s">
        <v>1462</v>
      </c>
      <c r="I368" t="s">
        <v>1463</v>
      </c>
    </row>
    <row r="369" spans="1:9" x14ac:dyDescent="0.35">
      <c r="A369">
        <v>20260701</v>
      </c>
      <c r="B369" t="s">
        <v>1175</v>
      </c>
      <c r="C369">
        <v>5400</v>
      </c>
      <c r="D369" t="s">
        <v>1131</v>
      </c>
      <c r="E369">
        <v>66157.2</v>
      </c>
      <c r="F369" t="s">
        <v>1451</v>
      </c>
      <c r="G369">
        <v>0.75</v>
      </c>
      <c r="H369" t="s">
        <v>1462</v>
      </c>
      <c r="I369" t="s">
        <v>1463</v>
      </c>
    </row>
    <row r="370" spans="1:9" x14ac:dyDescent="0.35">
      <c r="A370">
        <v>20260701</v>
      </c>
      <c r="B370" t="s">
        <v>1175</v>
      </c>
      <c r="C370">
        <v>6300</v>
      </c>
      <c r="D370" t="s">
        <v>1131</v>
      </c>
      <c r="E370">
        <v>86700</v>
      </c>
      <c r="F370" t="s">
        <v>1451</v>
      </c>
      <c r="G370">
        <v>0.75</v>
      </c>
      <c r="H370" t="s">
        <v>1462</v>
      </c>
      <c r="I370" t="s">
        <v>1463</v>
      </c>
    </row>
    <row r="371" spans="1:9" x14ac:dyDescent="0.35">
      <c r="A371">
        <v>20260701</v>
      </c>
      <c r="B371" t="s">
        <v>1175</v>
      </c>
      <c r="C371">
        <v>3900</v>
      </c>
      <c r="D371" t="s">
        <v>1131</v>
      </c>
      <c r="E371">
        <v>-663000</v>
      </c>
      <c r="F371" t="s">
        <v>1451</v>
      </c>
      <c r="G371">
        <v>0.75</v>
      </c>
      <c r="H371" t="s">
        <v>1462</v>
      </c>
      <c r="I371" t="s">
        <v>1463</v>
      </c>
    </row>
    <row r="372" spans="1:9" x14ac:dyDescent="0.35">
      <c r="A372">
        <v>20260701</v>
      </c>
      <c r="B372" t="s">
        <v>1247</v>
      </c>
      <c r="C372">
        <v>5100</v>
      </c>
      <c r="D372" t="s">
        <v>485</v>
      </c>
      <c r="E372">
        <v>91800</v>
      </c>
      <c r="F372" t="s">
        <v>1451</v>
      </c>
      <c r="G372">
        <v>0.75</v>
      </c>
      <c r="H372" t="s">
        <v>1462</v>
      </c>
      <c r="I372" t="s">
        <v>1463</v>
      </c>
    </row>
    <row r="373" spans="1:9" x14ac:dyDescent="0.35">
      <c r="A373">
        <v>20260701</v>
      </c>
      <c r="B373" t="s">
        <v>1247</v>
      </c>
      <c r="C373">
        <v>3400</v>
      </c>
      <c r="D373" t="s">
        <v>485</v>
      </c>
      <c r="E373">
        <v>-91800</v>
      </c>
      <c r="F373" t="s">
        <v>1451</v>
      </c>
      <c r="G373">
        <v>0.75</v>
      </c>
      <c r="H373" t="s">
        <v>1462</v>
      </c>
      <c r="I373" t="s">
        <v>1463</v>
      </c>
    </row>
    <row r="374" spans="1:9" x14ac:dyDescent="0.35">
      <c r="A374">
        <v>20260701</v>
      </c>
      <c r="B374" t="s">
        <v>1130</v>
      </c>
      <c r="C374">
        <v>5000</v>
      </c>
      <c r="D374" t="s">
        <v>1131</v>
      </c>
      <c r="E374">
        <v>469200</v>
      </c>
      <c r="F374" t="s">
        <v>1451</v>
      </c>
      <c r="G374">
        <v>0.75</v>
      </c>
      <c r="H374" t="s">
        <v>1462</v>
      </c>
      <c r="I374" t="s">
        <v>1463</v>
      </c>
    </row>
    <row r="375" spans="1:9" x14ac:dyDescent="0.35">
      <c r="A375">
        <v>20260701</v>
      </c>
      <c r="B375" t="s">
        <v>1130</v>
      </c>
      <c r="C375">
        <v>5400</v>
      </c>
      <c r="D375" t="s">
        <v>1131</v>
      </c>
      <c r="E375">
        <v>66157.2</v>
      </c>
      <c r="F375" t="s">
        <v>1451</v>
      </c>
      <c r="G375">
        <v>0.75</v>
      </c>
      <c r="H375" t="s">
        <v>1462</v>
      </c>
      <c r="I375" t="s">
        <v>1463</v>
      </c>
    </row>
    <row r="376" spans="1:9" x14ac:dyDescent="0.35">
      <c r="A376">
        <v>20260701</v>
      </c>
      <c r="B376" t="s">
        <v>1130</v>
      </c>
      <c r="C376">
        <v>6300</v>
      </c>
      <c r="D376" t="s">
        <v>1131</v>
      </c>
      <c r="E376">
        <v>86700</v>
      </c>
      <c r="F376" t="s">
        <v>1451</v>
      </c>
      <c r="G376">
        <v>0.75</v>
      </c>
      <c r="H376" t="s">
        <v>1462</v>
      </c>
      <c r="I376" t="s">
        <v>1463</v>
      </c>
    </row>
    <row r="377" spans="1:9" x14ac:dyDescent="0.35">
      <c r="A377">
        <v>20260701</v>
      </c>
      <c r="B377" t="s">
        <v>1130</v>
      </c>
      <c r="C377">
        <v>3900</v>
      </c>
      <c r="D377" t="s">
        <v>1131</v>
      </c>
      <c r="E377">
        <v>-663000</v>
      </c>
      <c r="F377" t="s">
        <v>1451</v>
      </c>
      <c r="G377">
        <v>0.75</v>
      </c>
      <c r="H377" t="s">
        <v>1462</v>
      </c>
      <c r="I377" t="s">
        <v>1463</v>
      </c>
    </row>
    <row r="378" spans="1:9" x14ac:dyDescent="0.35">
      <c r="A378">
        <v>20260701</v>
      </c>
      <c r="B378" t="s">
        <v>1265</v>
      </c>
      <c r="C378">
        <v>5100</v>
      </c>
      <c r="D378" t="s">
        <v>485</v>
      </c>
      <c r="E378">
        <v>91800</v>
      </c>
      <c r="F378" t="s">
        <v>1451</v>
      </c>
      <c r="G378">
        <v>0.75</v>
      </c>
      <c r="H378" t="s">
        <v>1462</v>
      </c>
      <c r="I378" t="s">
        <v>1463</v>
      </c>
    </row>
    <row r="379" spans="1:9" x14ac:dyDescent="0.35">
      <c r="A379">
        <v>20260701</v>
      </c>
      <c r="B379" t="s">
        <v>1265</v>
      </c>
      <c r="C379">
        <v>3400</v>
      </c>
      <c r="D379" t="s">
        <v>485</v>
      </c>
      <c r="E379">
        <v>-91800</v>
      </c>
      <c r="F379" t="s">
        <v>1451</v>
      </c>
      <c r="G379">
        <v>0.75</v>
      </c>
      <c r="H379" t="s">
        <v>1462</v>
      </c>
      <c r="I379" t="s">
        <v>1463</v>
      </c>
    </row>
    <row r="380" spans="1:9" x14ac:dyDescent="0.35">
      <c r="A380">
        <v>20260701</v>
      </c>
      <c r="B380" t="s">
        <v>1173</v>
      </c>
      <c r="C380">
        <v>5000</v>
      </c>
      <c r="D380" t="s">
        <v>1131</v>
      </c>
      <c r="E380">
        <v>469200</v>
      </c>
      <c r="F380" t="s">
        <v>1451</v>
      </c>
      <c r="G380">
        <v>0.75</v>
      </c>
      <c r="H380" t="s">
        <v>1462</v>
      </c>
      <c r="I380" t="s">
        <v>1463</v>
      </c>
    </row>
    <row r="381" spans="1:9" x14ac:dyDescent="0.35">
      <c r="A381">
        <v>20260701</v>
      </c>
      <c r="B381" t="s">
        <v>1173</v>
      </c>
      <c r="C381">
        <v>5400</v>
      </c>
      <c r="D381" t="s">
        <v>1131</v>
      </c>
      <c r="E381">
        <v>66157.2</v>
      </c>
      <c r="F381" t="s">
        <v>1451</v>
      </c>
      <c r="G381">
        <v>0.75</v>
      </c>
      <c r="H381" t="s">
        <v>1462</v>
      </c>
      <c r="I381" t="s">
        <v>1463</v>
      </c>
    </row>
    <row r="382" spans="1:9" x14ac:dyDescent="0.35">
      <c r="A382">
        <v>20260701</v>
      </c>
      <c r="B382" t="s">
        <v>1173</v>
      </c>
      <c r="C382">
        <v>6300</v>
      </c>
      <c r="D382" t="s">
        <v>1131</v>
      </c>
      <c r="E382">
        <v>86700</v>
      </c>
      <c r="F382" t="s">
        <v>1451</v>
      </c>
      <c r="G382">
        <v>0.75</v>
      </c>
      <c r="H382" t="s">
        <v>1462</v>
      </c>
      <c r="I382" t="s">
        <v>1463</v>
      </c>
    </row>
    <row r="383" spans="1:9" x14ac:dyDescent="0.35">
      <c r="A383">
        <v>20260701</v>
      </c>
      <c r="B383" t="s">
        <v>1173</v>
      </c>
      <c r="C383">
        <v>3900</v>
      </c>
      <c r="D383" t="s">
        <v>1131</v>
      </c>
      <c r="E383">
        <v>-663000</v>
      </c>
      <c r="F383" t="s">
        <v>1451</v>
      </c>
      <c r="G383">
        <v>0.75</v>
      </c>
      <c r="H383" t="s">
        <v>1462</v>
      </c>
      <c r="I383" t="s">
        <v>1463</v>
      </c>
    </row>
    <row r="384" spans="1:9" x14ac:dyDescent="0.35">
      <c r="A384">
        <v>20260701</v>
      </c>
      <c r="B384" t="s">
        <v>1255</v>
      </c>
      <c r="C384">
        <v>5100</v>
      </c>
      <c r="D384" t="s">
        <v>485</v>
      </c>
      <c r="E384">
        <v>91800</v>
      </c>
      <c r="F384" t="s">
        <v>1451</v>
      </c>
      <c r="G384">
        <v>0.75</v>
      </c>
      <c r="H384" t="s">
        <v>1462</v>
      </c>
      <c r="I384" t="s">
        <v>1463</v>
      </c>
    </row>
    <row r="385" spans="1:9" x14ac:dyDescent="0.35">
      <c r="A385">
        <v>20260701</v>
      </c>
      <c r="B385" t="s">
        <v>1255</v>
      </c>
      <c r="C385">
        <v>3400</v>
      </c>
      <c r="D385" t="s">
        <v>485</v>
      </c>
      <c r="E385">
        <v>-91800</v>
      </c>
      <c r="F385" t="s">
        <v>1451</v>
      </c>
      <c r="G385">
        <v>0.75</v>
      </c>
      <c r="H385" t="s">
        <v>1462</v>
      </c>
      <c r="I385" t="s">
        <v>1463</v>
      </c>
    </row>
    <row r="386" spans="1:9" x14ac:dyDescent="0.35">
      <c r="A386">
        <v>20260701</v>
      </c>
      <c r="B386" t="s">
        <v>1155</v>
      </c>
      <c r="C386">
        <v>5000</v>
      </c>
      <c r="D386" t="s">
        <v>1131</v>
      </c>
      <c r="E386">
        <v>469200</v>
      </c>
      <c r="F386" t="s">
        <v>1451</v>
      </c>
      <c r="G386">
        <v>0.75</v>
      </c>
      <c r="H386" t="s">
        <v>1462</v>
      </c>
      <c r="I386" t="s">
        <v>1463</v>
      </c>
    </row>
    <row r="387" spans="1:9" x14ac:dyDescent="0.35">
      <c r="A387">
        <v>20260701</v>
      </c>
      <c r="B387" t="s">
        <v>1155</v>
      </c>
      <c r="C387">
        <v>5400</v>
      </c>
      <c r="D387" t="s">
        <v>1131</v>
      </c>
      <c r="E387">
        <v>66157.2</v>
      </c>
      <c r="F387" t="s">
        <v>1451</v>
      </c>
      <c r="G387">
        <v>0.75</v>
      </c>
      <c r="H387" t="s">
        <v>1462</v>
      </c>
      <c r="I387" t="s">
        <v>1463</v>
      </c>
    </row>
    <row r="388" spans="1:9" x14ac:dyDescent="0.35">
      <c r="A388">
        <v>20260701</v>
      </c>
      <c r="B388" t="s">
        <v>1155</v>
      </c>
      <c r="C388">
        <v>6300</v>
      </c>
      <c r="D388" t="s">
        <v>1131</v>
      </c>
      <c r="E388">
        <v>86700</v>
      </c>
      <c r="F388" t="s">
        <v>1451</v>
      </c>
      <c r="G388">
        <v>0.75</v>
      </c>
      <c r="H388" t="s">
        <v>1462</v>
      </c>
      <c r="I388" t="s">
        <v>1463</v>
      </c>
    </row>
    <row r="389" spans="1:9" x14ac:dyDescent="0.35">
      <c r="A389">
        <v>20260701</v>
      </c>
      <c r="B389" t="s">
        <v>1155</v>
      </c>
      <c r="C389">
        <v>3900</v>
      </c>
      <c r="D389" t="s">
        <v>1131</v>
      </c>
      <c r="E389">
        <v>-663000</v>
      </c>
      <c r="F389" t="s">
        <v>1451</v>
      </c>
      <c r="G389">
        <v>0.75</v>
      </c>
      <c r="H389" t="s">
        <v>1462</v>
      </c>
      <c r="I389" t="s">
        <v>1463</v>
      </c>
    </row>
    <row r="390" spans="1:9" x14ac:dyDescent="0.35">
      <c r="A390">
        <v>20260701</v>
      </c>
      <c r="B390" t="s">
        <v>1138</v>
      </c>
      <c r="C390">
        <v>5000</v>
      </c>
      <c r="D390" t="s">
        <v>1131</v>
      </c>
      <c r="E390">
        <v>469200</v>
      </c>
      <c r="F390" t="s">
        <v>1451</v>
      </c>
      <c r="G390">
        <v>0.75</v>
      </c>
      <c r="H390" t="s">
        <v>1462</v>
      </c>
      <c r="I390" t="s">
        <v>1463</v>
      </c>
    </row>
    <row r="391" spans="1:9" x14ac:dyDescent="0.35">
      <c r="A391">
        <v>20260701</v>
      </c>
      <c r="B391" t="s">
        <v>1138</v>
      </c>
      <c r="C391">
        <v>5400</v>
      </c>
      <c r="D391" t="s">
        <v>1131</v>
      </c>
      <c r="E391">
        <v>66157.2</v>
      </c>
      <c r="F391" t="s">
        <v>1451</v>
      </c>
      <c r="G391">
        <v>0.75</v>
      </c>
      <c r="H391" t="s">
        <v>1462</v>
      </c>
      <c r="I391" t="s">
        <v>1463</v>
      </c>
    </row>
    <row r="392" spans="1:9" x14ac:dyDescent="0.35">
      <c r="A392">
        <v>20260701</v>
      </c>
      <c r="B392" t="s">
        <v>1138</v>
      </c>
      <c r="C392">
        <v>6300</v>
      </c>
      <c r="D392" t="s">
        <v>1131</v>
      </c>
      <c r="E392">
        <v>86700</v>
      </c>
      <c r="F392" t="s">
        <v>1451</v>
      </c>
      <c r="G392">
        <v>0.75</v>
      </c>
      <c r="H392" t="s">
        <v>1462</v>
      </c>
      <c r="I392" t="s">
        <v>1463</v>
      </c>
    </row>
    <row r="393" spans="1:9" x14ac:dyDescent="0.35">
      <c r="A393">
        <v>20260701</v>
      </c>
      <c r="B393" t="s">
        <v>1138</v>
      </c>
      <c r="C393">
        <v>3900</v>
      </c>
      <c r="D393" t="s">
        <v>1131</v>
      </c>
      <c r="E393">
        <v>-663000</v>
      </c>
      <c r="F393" t="s">
        <v>1451</v>
      </c>
      <c r="G393">
        <v>0.75</v>
      </c>
      <c r="H393" t="s">
        <v>1462</v>
      </c>
      <c r="I393" t="s">
        <v>1463</v>
      </c>
    </row>
    <row r="394" spans="1:9" x14ac:dyDescent="0.35">
      <c r="A394">
        <v>20260801</v>
      </c>
      <c r="B394" t="s">
        <v>1150</v>
      </c>
      <c r="C394">
        <v>5000</v>
      </c>
      <c r="D394" t="s">
        <v>1131</v>
      </c>
      <c r="E394">
        <v>469200</v>
      </c>
      <c r="F394" t="s">
        <v>1451</v>
      </c>
      <c r="G394">
        <v>0.75</v>
      </c>
      <c r="H394" t="s">
        <v>1462</v>
      </c>
      <c r="I394" t="s">
        <v>1463</v>
      </c>
    </row>
    <row r="395" spans="1:9" x14ac:dyDescent="0.35">
      <c r="A395">
        <v>20260801</v>
      </c>
      <c r="B395" t="s">
        <v>1150</v>
      </c>
      <c r="C395">
        <v>5400</v>
      </c>
      <c r="D395" t="s">
        <v>1131</v>
      </c>
      <c r="E395">
        <v>66157.2</v>
      </c>
      <c r="F395" t="s">
        <v>1451</v>
      </c>
      <c r="G395">
        <v>0.75</v>
      </c>
      <c r="H395" t="s">
        <v>1462</v>
      </c>
      <c r="I395" t="s">
        <v>1463</v>
      </c>
    </row>
    <row r="396" spans="1:9" x14ac:dyDescent="0.35">
      <c r="A396">
        <v>20260801</v>
      </c>
      <c r="B396" t="s">
        <v>1150</v>
      </c>
      <c r="C396">
        <v>6300</v>
      </c>
      <c r="D396" t="s">
        <v>1131</v>
      </c>
      <c r="E396">
        <v>86700</v>
      </c>
      <c r="F396" t="s">
        <v>1451</v>
      </c>
      <c r="G396">
        <v>0.75</v>
      </c>
      <c r="H396" t="s">
        <v>1462</v>
      </c>
      <c r="I396" t="s">
        <v>1463</v>
      </c>
    </row>
    <row r="397" spans="1:9" x14ac:dyDescent="0.35">
      <c r="A397">
        <v>20260801</v>
      </c>
      <c r="B397" t="s">
        <v>1150</v>
      </c>
      <c r="C397">
        <v>3900</v>
      </c>
      <c r="D397" t="s">
        <v>1131</v>
      </c>
      <c r="E397">
        <v>-663000</v>
      </c>
      <c r="F397" t="s">
        <v>1451</v>
      </c>
      <c r="G397">
        <v>0.75</v>
      </c>
      <c r="H397" t="s">
        <v>1462</v>
      </c>
      <c r="I397" t="s">
        <v>1463</v>
      </c>
    </row>
    <row r="398" spans="1:9" x14ac:dyDescent="0.35">
      <c r="A398">
        <v>20260801</v>
      </c>
      <c r="B398" t="s">
        <v>1272</v>
      </c>
      <c r="C398">
        <v>5100</v>
      </c>
      <c r="D398" t="s">
        <v>485</v>
      </c>
      <c r="E398">
        <v>91800</v>
      </c>
      <c r="F398" t="s">
        <v>1451</v>
      </c>
      <c r="G398">
        <v>0.75</v>
      </c>
      <c r="H398" t="s">
        <v>1462</v>
      </c>
      <c r="I398" t="s">
        <v>1463</v>
      </c>
    </row>
    <row r="399" spans="1:9" x14ac:dyDescent="0.35">
      <c r="A399">
        <v>20260801</v>
      </c>
      <c r="B399" t="s">
        <v>1272</v>
      </c>
      <c r="C399">
        <v>3400</v>
      </c>
      <c r="D399" t="s">
        <v>485</v>
      </c>
      <c r="E399">
        <v>-91800</v>
      </c>
      <c r="F399" t="s">
        <v>1451</v>
      </c>
      <c r="G399">
        <v>0.75</v>
      </c>
      <c r="H399" t="s">
        <v>1462</v>
      </c>
      <c r="I399" t="s">
        <v>1463</v>
      </c>
    </row>
    <row r="400" spans="1:9" x14ac:dyDescent="0.35">
      <c r="A400">
        <v>20260801</v>
      </c>
      <c r="B400" t="s">
        <v>1158</v>
      </c>
      <c r="C400">
        <v>5000</v>
      </c>
      <c r="D400" t="s">
        <v>1131</v>
      </c>
      <c r="E400">
        <v>469200</v>
      </c>
      <c r="F400" t="s">
        <v>1451</v>
      </c>
      <c r="G400">
        <v>0.75</v>
      </c>
      <c r="H400" t="s">
        <v>1462</v>
      </c>
      <c r="I400" t="s">
        <v>1463</v>
      </c>
    </row>
    <row r="401" spans="1:9" x14ac:dyDescent="0.35">
      <c r="A401">
        <v>20260801</v>
      </c>
      <c r="B401" t="s">
        <v>1158</v>
      </c>
      <c r="C401">
        <v>5400</v>
      </c>
      <c r="D401" t="s">
        <v>1131</v>
      </c>
      <c r="E401">
        <v>66157.2</v>
      </c>
      <c r="F401" t="s">
        <v>1451</v>
      </c>
      <c r="G401">
        <v>0.75</v>
      </c>
      <c r="H401" t="s">
        <v>1462</v>
      </c>
      <c r="I401" t="s">
        <v>1463</v>
      </c>
    </row>
    <row r="402" spans="1:9" x14ac:dyDescent="0.35">
      <c r="A402">
        <v>20260801</v>
      </c>
      <c r="B402" t="s">
        <v>1158</v>
      </c>
      <c r="C402">
        <v>6300</v>
      </c>
      <c r="D402" t="s">
        <v>1131</v>
      </c>
      <c r="E402">
        <v>86700</v>
      </c>
      <c r="F402" t="s">
        <v>1451</v>
      </c>
      <c r="G402">
        <v>0.75</v>
      </c>
      <c r="H402" t="s">
        <v>1462</v>
      </c>
      <c r="I402" t="s">
        <v>1463</v>
      </c>
    </row>
    <row r="403" spans="1:9" x14ac:dyDescent="0.35">
      <c r="A403">
        <v>20260801</v>
      </c>
      <c r="B403" t="s">
        <v>1158</v>
      </c>
      <c r="C403">
        <v>3900</v>
      </c>
      <c r="D403" t="s">
        <v>1131</v>
      </c>
      <c r="E403">
        <v>-663000</v>
      </c>
      <c r="F403" t="s">
        <v>1451</v>
      </c>
      <c r="G403">
        <v>0.75</v>
      </c>
      <c r="H403" t="s">
        <v>1462</v>
      </c>
      <c r="I403" t="s">
        <v>1463</v>
      </c>
    </row>
    <row r="404" spans="1:9" x14ac:dyDescent="0.35">
      <c r="A404">
        <v>20260801</v>
      </c>
      <c r="B404" t="s">
        <v>1243</v>
      </c>
      <c r="C404">
        <v>5100</v>
      </c>
      <c r="D404" t="s">
        <v>485</v>
      </c>
      <c r="E404">
        <v>91800</v>
      </c>
      <c r="F404" t="s">
        <v>1451</v>
      </c>
      <c r="G404">
        <v>0.75</v>
      </c>
      <c r="H404" t="s">
        <v>1462</v>
      </c>
      <c r="I404" t="s">
        <v>1463</v>
      </c>
    </row>
    <row r="405" spans="1:9" x14ac:dyDescent="0.35">
      <c r="A405">
        <v>20260801</v>
      </c>
      <c r="B405" t="s">
        <v>1243</v>
      </c>
      <c r="C405">
        <v>3400</v>
      </c>
      <c r="D405" t="s">
        <v>485</v>
      </c>
      <c r="E405">
        <v>-91800</v>
      </c>
      <c r="F405" t="s">
        <v>1451</v>
      </c>
      <c r="G405">
        <v>0.75</v>
      </c>
      <c r="H405" t="s">
        <v>1462</v>
      </c>
      <c r="I405" t="s">
        <v>1463</v>
      </c>
    </row>
    <row r="406" spans="1:9" x14ac:dyDescent="0.35">
      <c r="A406">
        <v>20260801</v>
      </c>
      <c r="B406" t="s">
        <v>1205</v>
      </c>
      <c r="C406">
        <v>5000</v>
      </c>
      <c r="D406" t="s">
        <v>1131</v>
      </c>
      <c r="E406">
        <v>469200</v>
      </c>
      <c r="F406" t="s">
        <v>1451</v>
      </c>
      <c r="G406">
        <v>0.75</v>
      </c>
      <c r="H406" t="s">
        <v>1462</v>
      </c>
      <c r="I406" t="s">
        <v>1463</v>
      </c>
    </row>
    <row r="407" spans="1:9" x14ac:dyDescent="0.35">
      <c r="A407">
        <v>20260801</v>
      </c>
      <c r="B407" t="s">
        <v>1205</v>
      </c>
      <c r="C407">
        <v>5400</v>
      </c>
      <c r="D407" t="s">
        <v>1131</v>
      </c>
      <c r="E407">
        <v>66157.2</v>
      </c>
      <c r="F407" t="s">
        <v>1451</v>
      </c>
      <c r="G407">
        <v>0.75</v>
      </c>
      <c r="H407" t="s">
        <v>1462</v>
      </c>
      <c r="I407" t="s">
        <v>1463</v>
      </c>
    </row>
    <row r="408" spans="1:9" x14ac:dyDescent="0.35">
      <c r="A408">
        <v>20260801</v>
      </c>
      <c r="B408" t="s">
        <v>1205</v>
      </c>
      <c r="C408">
        <v>6300</v>
      </c>
      <c r="D408" t="s">
        <v>1131</v>
      </c>
      <c r="E408">
        <v>86700</v>
      </c>
      <c r="F408" t="s">
        <v>1451</v>
      </c>
      <c r="G408">
        <v>0.75</v>
      </c>
      <c r="H408" t="s">
        <v>1462</v>
      </c>
      <c r="I408" t="s">
        <v>1463</v>
      </c>
    </row>
    <row r="409" spans="1:9" x14ac:dyDescent="0.35">
      <c r="A409">
        <v>20260801</v>
      </c>
      <c r="B409" t="s">
        <v>1205</v>
      </c>
      <c r="C409">
        <v>3900</v>
      </c>
      <c r="D409" t="s">
        <v>1131</v>
      </c>
      <c r="E409">
        <v>-663000</v>
      </c>
      <c r="F409" t="s">
        <v>1451</v>
      </c>
      <c r="G409">
        <v>0.75</v>
      </c>
      <c r="H409" t="s">
        <v>1462</v>
      </c>
      <c r="I409" t="s">
        <v>1463</v>
      </c>
    </row>
    <row r="410" spans="1:9" x14ac:dyDescent="0.35">
      <c r="A410">
        <v>20260801</v>
      </c>
      <c r="B410" t="s">
        <v>1257</v>
      </c>
      <c r="C410">
        <v>5100</v>
      </c>
      <c r="D410" t="s">
        <v>485</v>
      </c>
      <c r="E410">
        <v>91800</v>
      </c>
      <c r="F410" t="s">
        <v>1451</v>
      </c>
      <c r="G410">
        <v>0.75</v>
      </c>
      <c r="H410" t="s">
        <v>1462</v>
      </c>
      <c r="I410" t="s">
        <v>1463</v>
      </c>
    </row>
    <row r="411" spans="1:9" x14ac:dyDescent="0.35">
      <c r="A411">
        <v>20260801</v>
      </c>
      <c r="B411" t="s">
        <v>1257</v>
      </c>
      <c r="C411">
        <v>3400</v>
      </c>
      <c r="D411" t="s">
        <v>485</v>
      </c>
      <c r="E411">
        <v>-91800</v>
      </c>
      <c r="F411" t="s">
        <v>1451</v>
      </c>
      <c r="G411">
        <v>0.75</v>
      </c>
      <c r="H411" t="s">
        <v>1462</v>
      </c>
      <c r="I411" t="s">
        <v>1463</v>
      </c>
    </row>
    <row r="412" spans="1:9" x14ac:dyDescent="0.35">
      <c r="A412">
        <v>20260801</v>
      </c>
      <c r="B412" t="s">
        <v>1164</v>
      </c>
      <c r="C412">
        <v>5000</v>
      </c>
      <c r="D412" t="s">
        <v>1131</v>
      </c>
      <c r="E412">
        <v>469200</v>
      </c>
      <c r="F412" t="s">
        <v>1451</v>
      </c>
      <c r="G412">
        <v>0.75</v>
      </c>
      <c r="H412" t="s">
        <v>1462</v>
      </c>
      <c r="I412" t="s">
        <v>1463</v>
      </c>
    </row>
    <row r="413" spans="1:9" x14ac:dyDescent="0.35">
      <c r="A413">
        <v>20260801</v>
      </c>
      <c r="B413" t="s">
        <v>1164</v>
      </c>
      <c r="C413">
        <v>5400</v>
      </c>
      <c r="D413" t="s">
        <v>1131</v>
      </c>
      <c r="E413">
        <v>66157.2</v>
      </c>
      <c r="F413" t="s">
        <v>1451</v>
      </c>
      <c r="G413">
        <v>0.75</v>
      </c>
      <c r="H413" t="s">
        <v>1462</v>
      </c>
      <c r="I413" t="s">
        <v>1463</v>
      </c>
    </row>
    <row r="414" spans="1:9" x14ac:dyDescent="0.35">
      <c r="A414">
        <v>20260801</v>
      </c>
      <c r="B414" t="s">
        <v>1164</v>
      </c>
      <c r="C414">
        <v>6300</v>
      </c>
      <c r="D414" t="s">
        <v>1131</v>
      </c>
      <c r="E414">
        <v>86700</v>
      </c>
      <c r="F414" t="s">
        <v>1451</v>
      </c>
      <c r="G414">
        <v>0.75</v>
      </c>
      <c r="H414" t="s">
        <v>1462</v>
      </c>
      <c r="I414" t="s">
        <v>1463</v>
      </c>
    </row>
    <row r="415" spans="1:9" x14ac:dyDescent="0.35">
      <c r="A415">
        <v>20260801</v>
      </c>
      <c r="B415" t="s">
        <v>1164</v>
      </c>
      <c r="C415">
        <v>3900</v>
      </c>
      <c r="D415" t="s">
        <v>1131</v>
      </c>
      <c r="E415">
        <v>-663000</v>
      </c>
      <c r="F415" t="s">
        <v>1451</v>
      </c>
      <c r="G415">
        <v>0.75</v>
      </c>
      <c r="H415" t="s">
        <v>1462</v>
      </c>
      <c r="I415" t="s">
        <v>1463</v>
      </c>
    </row>
    <row r="416" spans="1:9" x14ac:dyDescent="0.35">
      <c r="A416">
        <v>20260801</v>
      </c>
      <c r="B416" t="s">
        <v>1249</v>
      </c>
      <c r="C416">
        <v>5100</v>
      </c>
      <c r="D416" t="s">
        <v>485</v>
      </c>
      <c r="E416">
        <v>91800</v>
      </c>
      <c r="F416" t="s">
        <v>1451</v>
      </c>
      <c r="G416">
        <v>0.75</v>
      </c>
      <c r="H416" t="s">
        <v>1462</v>
      </c>
      <c r="I416" t="s">
        <v>1463</v>
      </c>
    </row>
    <row r="417" spans="1:9" x14ac:dyDescent="0.35">
      <c r="A417">
        <v>20260801</v>
      </c>
      <c r="B417" t="s">
        <v>1249</v>
      </c>
      <c r="C417">
        <v>3400</v>
      </c>
      <c r="D417" t="s">
        <v>485</v>
      </c>
      <c r="E417">
        <v>-91800</v>
      </c>
      <c r="F417" t="s">
        <v>1451</v>
      </c>
      <c r="G417">
        <v>0.75</v>
      </c>
      <c r="H417" t="s">
        <v>1462</v>
      </c>
      <c r="I417" t="s">
        <v>1463</v>
      </c>
    </row>
    <row r="418" spans="1:9" x14ac:dyDescent="0.35">
      <c r="A418">
        <v>20260801</v>
      </c>
      <c r="B418" t="s">
        <v>1169</v>
      </c>
      <c r="C418">
        <v>5000</v>
      </c>
      <c r="D418" t="s">
        <v>1131</v>
      </c>
      <c r="E418">
        <v>469200</v>
      </c>
      <c r="F418" t="s">
        <v>1451</v>
      </c>
      <c r="G418">
        <v>0.75</v>
      </c>
      <c r="H418" t="s">
        <v>1462</v>
      </c>
      <c r="I418" t="s">
        <v>1463</v>
      </c>
    </row>
    <row r="419" spans="1:9" x14ac:dyDescent="0.35">
      <c r="A419">
        <v>20260801</v>
      </c>
      <c r="B419" t="s">
        <v>1169</v>
      </c>
      <c r="C419">
        <v>5400</v>
      </c>
      <c r="D419" t="s">
        <v>1131</v>
      </c>
      <c r="E419">
        <v>66157.2</v>
      </c>
      <c r="F419" t="s">
        <v>1451</v>
      </c>
      <c r="G419">
        <v>0.75</v>
      </c>
      <c r="H419" t="s">
        <v>1462</v>
      </c>
      <c r="I419" t="s">
        <v>1463</v>
      </c>
    </row>
    <row r="420" spans="1:9" x14ac:dyDescent="0.35">
      <c r="A420">
        <v>20260801</v>
      </c>
      <c r="B420" t="s">
        <v>1169</v>
      </c>
      <c r="C420">
        <v>6300</v>
      </c>
      <c r="D420" t="s">
        <v>1131</v>
      </c>
      <c r="E420">
        <v>86700</v>
      </c>
      <c r="F420" t="s">
        <v>1451</v>
      </c>
      <c r="G420">
        <v>0.75</v>
      </c>
      <c r="H420" t="s">
        <v>1462</v>
      </c>
      <c r="I420" t="s">
        <v>1463</v>
      </c>
    </row>
    <row r="421" spans="1:9" x14ac:dyDescent="0.35">
      <c r="A421">
        <v>20260801</v>
      </c>
      <c r="B421" t="s">
        <v>1169</v>
      </c>
      <c r="C421">
        <v>3900</v>
      </c>
      <c r="D421" t="s">
        <v>1131</v>
      </c>
      <c r="E421">
        <v>-663000</v>
      </c>
      <c r="F421" t="s">
        <v>1451</v>
      </c>
      <c r="G421">
        <v>0.75</v>
      </c>
      <c r="H421" t="s">
        <v>1462</v>
      </c>
      <c r="I421" t="s">
        <v>1463</v>
      </c>
    </row>
    <row r="422" spans="1:9" x14ac:dyDescent="0.35">
      <c r="A422">
        <v>20260801</v>
      </c>
      <c r="B422" t="s">
        <v>1260</v>
      </c>
      <c r="C422">
        <v>5100</v>
      </c>
      <c r="D422" t="s">
        <v>485</v>
      </c>
      <c r="E422">
        <v>91800</v>
      </c>
      <c r="F422" t="s">
        <v>1451</v>
      </c>
      <c r="G422">
        <v>0.75</v>
      </c>
      <c r="H422" t="s">
        <v>1462</v>
      </c>
      <c r="I422" t="s">
        <v>1463</v>
      </c>
    </row>
    <row r="423" spans="1:9" x14ac:dyDescent="0.35">
      <c r="A423">
        <v>20260801</v>
      </c>
      <c r="B423" t="s">
        <v>1260</v>
      </c>
      <c r="C423">
        <v>3400</v>
      </c>
      <c r="D423" t="s">
        <v>485</v>
      </c>
      <c r="E423">
        <v>-91800</v>
      </c>
      <c r="F423" t="s">
        <v>1451</v>
      </c>
      <c r="G423">
        <v>0.75</v>
      </c>
      <c r="H423" t="s">
        <v>1462</v>
      </c>
      <c r="I423" t="s">
        <v>1463</v>
      </c>
    </row>
    <row r="424" spans="1:9" x14ac:dyDescent="0.35">
      <c r="A424">
        <v>20260801</v>
      </c>
      <c r="B424" t="s">
        <v>1175</v>
      </c>
      <c r="C424">
        <v>5000</v>
      </c>
      <c r="D424" t="s">
        <v>1131</v>
      </c>
      <c r="E424">
        <v>469200</v>
      </c>
      <c r="F424" t="s">
        <v>1451</v>
      </c>
      <c r="G424">
        <v>0.75</v>
      </c>
      <c r="H424" t="s">
        <v>1462</v>
      </c>
      <c r="I424" t="s">
        <v>1463</v>
      </c>
    </row>
    <row r="425" spans="1:9" x14ac:dyDescent="0.35">
      <c r="A425">
        <v>20260801</v>
      </c>
      <c r="B425" t="s">
        <v>1175</v>
      </c>
      <c r="C425">
        <v>5400</v>
      </c>
      <c r="D425" t="s">
        <v>1131</v>
      </c>
      <c r="E425">
        <v>66157.2</v>
      </c>
      <c r="F425" t="s">
        <v>1451</v>
      </c>
      <c r="G425">
        <v>0.75</v>
      </c>
      <c r="H425" t="s">
        <v>1462</v>
      </c>
      <c r="I425" t="s">
        <v>1463</v>
      </c>
    </row>
    <row r="426" spans="1:9" x14ac:dyDescent="0.35">
      <c r="A426">
        <v>20260801</v>
      </c>
      <c r="B426" t="s">
        <v>1175</v>
      </c>
      <c r="C426">
        <v>6300</v>
      </c>
      <c r="D426" t="s">
        <v>1131</v>
      </c>
      <c r="E426">
        <v>86700</v>
      </c>
      <c r="F426" t="s">
        <v>1451</v>
      </c>
      <c r="G426">
        <v>0.75</v>
      </c>
      <c r="H426" t="s">
        <v>1462</v>
      </c>
      <c r="I426" t="s">
        <v>1463</v>
      </c>
    </row>
    <row r="427" spans="1:9" x14ac:dyDescent="0.35">
      <c r="A427">
        <v>20260801</v>
      </c>
      <c r="B427" t="s">
        <v>1175</v>
      </c>
      <c r="C427">
        <v>3900</v>
      </c>
      <c r="D427" t="s">
        <v>1131</v>
      </c>
      <c r="E427">
        <v>-663000</v>
      </c>
      <c r="F427" t="s">
        <v>1451</v>
      </c>
      <c r="G427">
        <v>0.75</v>
      </c>
      <c r="H427" t="s">
        <v>1462</v>
      </c>
      <c r="I427" t="s">
        <v>1463</v>
      </c>
    </row>
    <row r="428" spans="1:9" x14ac:dyDescent="0.35">
      <c r="A428">
        <v>20260801</v>
      </c>
      <c r="B428" t="s">
        <v>1247</v>
      </c>
      <c r="C428">
        <v>5100</v>
      </c>
      <c r="D428" t="s">
        <v>485</v>
      </c>
      <c r="E428">
        <v>91800</v>
      </c>
      <c r="F428" t="s">
        <v>1451</v>
      </c>
      <c r="G428">
        <v>0.75</v>
      </c>
      <c r="H428" t="s">
        <v>1462</v>
      </c>
      <c r="I428" t="s">
        <v>1463</v>
      </c>
    </row>
    <row r="429" spans="1:9" x14ac:dyDescent="0.35">
      <c r="A429">
        <v>20260801</v>
      </c>
      <c r="B429" t="s">
        <v>1247</v>
      </c>
      <c r="C429">
        <v>3400</v>
      </c>
      <c r="D429" t="s">
        <v>485</v>
      </c>
      <c r="E429">
        <v>-91800</v>
      </c>
      <c r="F429" t="s">
        <v>1451</v>
      </c>
      <c r="G429">
        <v>0.75</v>
      </c>
      <c r="H429" t="s">
        <v>1462</v>
      </c>
      <c r="I429" t="s">
        <v>1463</v>
      </c>
    </row>
    <row r="430" spans="1:9" x14ac:dyDescent="0.35">
      <c r="A430">
        <v>20260801</v>
      </c>
      <c r="B430" t="s">
        <v>1130</v>
      </c>
      <c r="C430">
        <v>5000</v>
      </c>
      <c r="D430" t="s">
        <v>1131</v>
      </c>
      <c r="E430">
        <v>469200</v>
      </c>
      <c r="F430" t="s">
        <v>1451</v>
      </c>
      <c r="G430">
        <v>0.75</v>
      </c>
      <c r="H430" t="s">
        <v>1462</v>
      </c>
      <c r="I430" t="s">
        <v>1463</v>
      </c>
    </row>
    <row r="431" spans="1:9" x14ac:dyDescent="0.35">
      <c r="A431">
        <v>20260801</v>
      </c>
      <c r="B431" t="s">
        <v>1130</v>
      </c>
      <c r="C431">
        <v>5400</v>
      </c>
      <c r="D431" t="s">
        <v>1131</v>
      </c>
      <c r="E431">
        <v>66157.2</v>
      </c>
      <c r="F431" t="s">
        <v>1451</v>
      </c>
      <c r="G431">
        <v>0.75</v>
      </c>
      <c r="H431" t="s">
        <v>1462</v>
      </c>
      <c r="I431" t="s">
        <v>1463</v>
      </c>
    </row>
    <row r="432" spans="1:9" x14ac:dyDescent="0.35">
      <c r="A432">
        <v>20260801</v>
      </c>
      <c r="B432" t="s">
        <v>1130</v>
      </c>
      <c r="C432">
        <v>6300</v>
      </c>
      <c r="D432" t="s">
        <v>1131</v>
      </c>
      <c r="E432">
        <v>86700</v>
      </c>
      <c r="F432" t="s">
        <v>1451</v>
      </c>
      <c r="G432">
        <v>0.75</v>
      </c>
      <c r="H432" t="s">
        <v>1462</v>
      </c>
      <c r="I432" t="s">
        <v>1463</v>
      </c>
    </row>
    <row r="433" spans="1:9" x14ac:dyDescent="0.35">
      <c r="A433">
        <v>20260801</v>
      </c>
      <c r="B433" t="s">
        <v>1130</v>
      </c>
      <c r="C433">
        <v>3900</v>
      </c>
      <c r="D433" t="s">
        <v>1131</v>
      </c>
      <c r="E433">
        <v>-663000</v>
      </c>
      <c r="F433" t="s">
        <v>1451</v>
      </c>
      <c r="G433">
        <v>0.75</v>
      </c>
      <c r="H433" t="s">
        <v>1462</v>
      </c>
      <c r="I433" t="s">
        <v>1463</v>
      </c>
    </row>
    <row r="434" spans="1:9" x14ac:dyDescent="0.35">
      <c r="A434">
        <v>20260801</v>
      </c>
      <c r="B434" t="s">
        <v>1265</v>
      </c>
      <c r="C434">
        <v>5100</v>
      </c>
      <c r="D434" t="s">
        <v>485</v>
      </c>
      <c r="E434">
        <v>91800</v>
      </c>
      <c r="F434" t="s">
        <v>1451</v>
      </c>
      <c r="G434">
        <v>0.75</v>
      </c>
      <c r="H434" t="s">
        <v>1462</v>
      </c>
      <c r="I434" t="s">
        <v>1463</v>
      </c>
    </row>
    <row r="435" spans="1:9" x14ac:dyDescent="0.35">
      <c r="A435">
        <v>20260801</v>
      </c>
      <c r="B435" t="s">
        <v>1265</v>
      </c>
      <c r="C435">
        <v>3400</v>
      </c>
      <c r="D435" t="s">
        <v>485</v>
      </c>
      <c r="E435">
        <v>-91800</v>
      </c>
      <c r="F435" t="s">
        <v>1451</v>
      </c>
      <c r="G435">
        <v>0.75</v>
      </c>
      <c r="H435" t="s">
        <v>1462</v>
      </c>
      <c r="I435" t="s">
        <v>1463</v>
      </c>
    </row>
    <row r="436" spans="1:9" x14ac:dyDescent="0.35">
      <c r="A436">
        <v>20260801</v>
      </c>
      <c r="B436" t="s">
        <v>1173</v>
      </c>
      <c r="C436">
        <v>5000</v>
      </c>
      <c r="D436" t="s">
        <v>1131</v>
      </c>
      <c r="E436">
        <v>469200</v>
      </c>
      <c r="F436" t="s">
        <v>1451</v>
      </c>
      <c r="G436">
        <v>0.75</v>
      </c>
      <c r="H436" t="s">
        <v>1462</v>
      </c>
      <c r="I436" t="s">
        <v>1463</v>
      </c>
    </row>
    <row r="437" spans="1:9" x14ac:dyDescent="0.35">
      <c r="A437">
        <v>20260801</v>
      </c>
      <c r="B437" t="s">
        <v>1173</v>
      </c>
      <c r="C437">
        <v>5400</v>
      </c>
      <c r="D437" t="s">
        <v>1131</v>
      </c>
      <c r="E437">
        <v>66157.2</v>
      </c>
      <c r="F437" t="s">
        <v>1451</v>
      </c>
      <c r="G437">
        <v>0.75</v>
      </c>
      <c r="H437" t="s">
        <v>1462</v>
      </c>
      <c r="I437" t="s">
        <v>1463</v>
      </c>
    </row>
    <row r="438" spans="1:9" x14ac:dyDescent="0.35">
      <c r="A438">
        <v>20260801</v>
      </c>
      <c r="B438" t="s">
        <v>1173</v>
      </c>
      <c r="C438">
        <v>6300</v>
      </c>
      <c r="D438" t="s">
        <v>1131</v>
      </c>
      <c r="E438">
        <v>86700</v>
      </c>
      <c r="F438" t="s">
        <v>1451</v>
      </c>
      <c r="G438">
        <v>0.75</v>
      </c>
      <c r="H438" t="s">
        <v>1462</v>
      </c>
      <c r="I438" t="s">
        <v>1463</v>
      </c>
    </row>
    <row r="439" spans="1:9" x14ac:dyDescent="0.35">
      <c r="A439">
        <v>20260801</v>
      </c>
      <c r="B439" t="s">
        <v>1173</v>
      </c>
      <c r="C439">
        <v>3900</v>
      </c>
      <c r="D439" t="s">
        <v>1131</v>
      </c>
      <c r="E439">
        <v>-663000</v>
      </c>
      <c r="F439" t="s">
        <v>1451</v>
      </c>
      <c r="G439">
        <v>0.75</v>
      </c>
      <c r="H439" t="s">
        <v>1462</v>
      </c>
      <c r="I439" t="s">
        <v>1463</v>
      </c>
    </row>
    <row r="440" spans="1:9" x14ac:dyDescent="0.35">
      <c r="A440">
        <v>20260801</v>
      </c>
      <c r="B440" t="s">
        <v>1255</v>
      </c>
      <c r="C440">
        <v>5100</v>
      </c>
      <c r="D440" t="s">
        <v>485</v>
      </c>
      <c r="E440">
        <v>91800</v>
      </c>
      <c r="F440" t="s">
        <v>1451</v>
      </c>
      <c r="G440">
        <v>0.75</v>
      </c>
      <c r="H440" t="s">
        <v>1462</v>
      </c>
      <c r="I440" t="s">
        <v>1463</v>
      </c>
    </row>
    <row r="441" spans="1:9" x14ac:dyDescent="0.35">
      <c r="A441">
        <v>20260801</v>
      </c>
      <c r="B441" t="s">
        <v>1255</v>
      </c>
      <c r="C441">
        <v>3400</v>
      </c>
      <c r="D441" t="s">
        <v>485</v>
      </c>
      <c r="E441">
        <v>-91800</v>
      </c>
      <c r="F441" t="s">
        <v>1451</v>
      </c>
      <c r="G441">
        <v>0.75</v>
      </c>
      <c r="H441" t="s">
        <v>1462</v>
      </c>
      <c r="I441" t="s">
        <v>1463</v>
      </c>
    </row>
    <row r="442" spans="1:9" x14ac:dyDescent="0.35">
      <c r="A442">
        <v>20260801</v>
      </c>
      <c r="B442" t="s">
        <v>1155</v>
      </c>
      <c r="C442">
        <v>5000</v>
      </c>
      <c r="D442" t="s">
        <v>1131</v>
      </c>
      <c r="E442">
        <v>469200</v>
      </c>
      <c r="F442" t="s">
        <v>1451</v>
      </c>
      <c r="G442">
        <v>0.75</v>
      </c>
      <c r="H442" t="s">
        <v>1462</v>
      </c>
      <c r="I442" t="s">
        <v>1463</v>
      </c>
    </row>
    <row r="443" spans="1:9" x14ac:dyDescent="0.35">
      <c r="A443">
        <v>20260801</v>
      </c>
      <c r="B443" t="s">
        <v>1155</v>
      </c>
      <c r="C443">
        <v>5400</v>
      </c>
      <c r="D443" t="s">
        <v>1131</v>
      </c>
      <c r="E443">
        <v>66157.2</v>
      </c>
      <c r="F443" t="s">
        <v>1451</v>
      </c>
      <c r="G443">
        <v>0.75</v>
      </c>
      <c r="H443" t="s">
        <v>1462</v>
      </c>
      <c r="I443" t="s">
        <v>1463</v>
      </c>
    </row>
    <row r="444" spans="1:9" x14ac:dyDescent="0.35">
      <c r="A444">
        <v>20260801</v>
      </c>
      <c r="B444" t="s">
        <v>1155</v>
      </c>
      <c r="C444">
        <v>6300</v>
      </c>
      <c r="D444" t="s">
        <v>1131</v>
      </c>
      <c r="E444">
        <v>86700</v>
      </c>
      <c r="F444" t="s">
        <v>1451</v>
      </c>
      <c r="G444">
        <v>0.75</v>
      </c>
      <c r="H444" t="s">
        <v>1462</v>
      </c>
      <c r="I444" t="s">
        <v>1463</v>
      </c>
    </row>
    <row r="445" spans="1:9" x14ac:dyDescent="0.35">
      <c r="A445">
        <v>20260801</v>
      </c>
      <c r="B445" t="s">
        <v>1155</v>
      </c>
      <c r="C445">
        <v>3900</v>
      </c>
      <c r="D445" t="s">
        <v>1131</v>
      </c>
      <c r="E445">
        <v>-663000</v>
      </c>
      <c r="F445" t="s">
        <v>1451</v>
      </c>
      <c r="G445">
        <v>0.75</v>
      </c>
      <c r="H445" t="s">
        <v>1462</v>
      </c>
      <c r="I445" t="s">
        <v>1463</v>
      </c>
    </row>
    <row r="446" spans="1:9" x14ac:dyDescent="0.35">
      <c r="A446">
        <v>20260801</v>
      </c>
      <c r="B446" t="s">
        <v>1138</v>
      </c>
      <c r="C446">
        <v>5000</v>
      </c>
      <c r="D446" t="s">
        <v>1131</v>
      </c>
      <c r="E446">
        <v>469200</v>
      </c>
      <c r="F446" t="s">
        <v>1451</v>
      </c>
      <c r="G446">
        <v>0.75</v>
      </c>
      <c r="H446" t="s">
        <v>1462</v>
      </c>
      <c r="I446" t="s">
        <v>1463</v>
      </c>
    </row>
    <row r="447" spans="1:9" x14ac:dyDescent="0.35">
      <c r="A447">
        <v>20260801</v>
      </c>
      <c r="B447" t="s">
        <v>1138</v>
      </c>
      <c r="C447">
        <v>5400</v>
      </c>
      <c r="D447" t="s">
        <v>1131</v>
      </c>
      <c r="E447">
        <v>66157.2</v>
      </c>
      <c r="F447" t="s">
        <v>1451</v>
      </c>
      <c r="G447">
        <v>0.75</v>
      </c>
      <c r="H447" t="s">
        <v>1462</v>
      </c>
      <c r="I447" t="s">
        <v>1463</v>
      </c>
    </row>
    <row r="448" spans="1:9" x14ac:dyDescent="0.35">
      <c r="A448">
        <v>20260801</v>
      </c>
      <c r="B448" t="s">
        <v>1138</v>
      </c>
      <c r="C448">
        <v>6300</v>
      </c>
      <c r="D448" t="s">
        <v>1131</v>
      </c>
      <c r="E448">
        <v>86700</v>
      </c>
      <c r="F448" t="s">
        <v>1451</v>
      </c>
      <c r="G448">
        <v>0.75</v>
      </c>
      <c r="H448" t="s">
        <v>1462</v>
      </c>
      <c r="I448" t="s">
        <v>1463</v>
      </c>
    </row>
    <row r="449" spans="1:9" x14ac:dyDescent="0.35">
      <c r="A449">
        <v>20260801</v>
      </c>
      <c r="B449" t="s">
        <v>1138</v>
      </c>
      <c r="C449">
        <v>3900</v>
      </c>
      <c r="D449" t="s">
        <v>1131</v>
      </c>
      <c r="E449">
        <v>-663000</v>
      </c>
      <c r="F449" t="s">
        <v>1451</v>
      </c>
      <c r="G449">
        <v>0.75</v>
      </c>
      <c r="H449" t="s">
        <v>1462</v>
      </c>
      <c r="I449" t="s">
        <v>1463</v>
      </c>
    </row>
    <row r="450" spans="1:9" x14ac:dyDescent="0.35">
      <c r="A450">
        <v>20260101</v>
      </c>
      <c r="B450" t="s">
        <v>1150</v>
      </c>
      <c r="C450">
        <v>5000</v>
      </c>
      <c r="D450" t="s">
        <v>1131</v>
      </c>
      <c r="E450">
        <v>478400</v>
      </c>
      <c r="F450" t="s">
        <v>1452</v>
      </c>
      <c r="G450">
        <v>0.82</v>
      </c>
      <c r="H450" t="s">
        <v>1462</v>
      </c>
      <c r="I450" t="s">
        <v>1463</v>
      </c>
    </row>
    <row r="451" spans="1:9" x14ac:dyDescent="0.35">
      <c r="A451">
        <v>20260101</v>
      </c>
      <c r="B451" t="s">
        <v>1150</v>
      </c>
      <c r="C451">
        <v>5400</v>
      </c>
      <c r="D451" t="s">
        <v>1131</v>
      </c>
      <c r="E451">
        <v>67454.399999999994</v>
      </c>
      <c r="F451" t="s">
        <v>1452</v>
      </c>
      <c r="G451">
        <v>0.82</v>
      </c>
      <c r="H451" t="s">
        <v>1462</v>
      </c>
      <c r="I451" t="s">
        <v>1463</v>
      </c>
    </row>
    <row r="452" spans="1:9" x14ac:dyDescent="0.35">
      <c r="A452">
        <v>20260101</v>
      </c>
      <c r="B452" t="s">
        <v>1150</v>
      </c>
      <c r="C452">
        <v>6300</v>
      </c>
      <c r="D452" t="s">
        <v>1131</v>
      </c>
      <c r="E452">
        <v>88400</v>
      </c>
      <c r="F452" t="s">
        <v>1452</v>
      </c>
      <c r="G452">
        <v>0.82</v>
      </c>
      <c r="H452" t="s">
        <v>1462</v>
      </c>
      <c r="I452" t="s">
        <v>1463</v>
      </c>
    </row>
    <row r="453" spans="1:9" x14ac:dyDescent="0.35">
      <c r="A453">
        <v>20260101</v>
      </c>
      <c r="B453" t="s">
        <v>1150</v>
      </c>
      <c r="C453">
        <v>3900</v>
      </c>
      <c r="D453" t="s">
        <v>1131</v>
      </c>
      <c r="E453">
        <v>-676000</v>
      </c>
      <c r="F453" t="s">
        <v>1452</v>
      </c>
      <c r="G453">
        <v>0.82</v>
      </c>
      <c r="H453" t="s">
        <v>1462</v>
      </c>
      <c r="I453" t="s">
        <v>1463</v>
      </c>
    </row>
    <row r="454" spans="1:9" x14ac:dyDescent="0.35">
      <c r="A454">
        <v>20260101</v>
      </c>
      <c r="B454" t="s">
        <v>1272</v>
      </c>
      <c r="C454">
        <v>5100</v>
      </c>
      <c r="D454" t="s">
        <v>485</v>
      </c>
      <c r="E454">
        <v>93600</v>
      </c>
      <c r="F454" t="s">
        <v>1452</v>
      </c>
      <c r="G454">
        <v>0.82</v>
      </c>
      <c r="H454" t="s">
        <v>1462</v>
      </c>
      <c r="I454" t="s">
        <v>1463</v>
      </c>
    </row>
    <row r="455" spans="1:9" x14ac:dyDescent="0.35">
      <c r="A455">
        <v>20260101</v>
      </c>
      <c r="B455" t="s">
        <v>1272</v>
      </c>
      <c r="C455">
        <v>3400</v>
      </c>
      <c r="D455" t="s">
        <v>485</v>
      </c>
      <c r="E455">
        <v>-93600</v>
      </c>
      <c r="F455" t="s">
        <v>1452</v>
      </c>
      <c r="G455">
        <v>0.82</v>
      </c>
      <c r="H455" t="s">
        <v>1462</v>
      </c>
      <c r="I455" t="s">
        <v>1463</v>
      </c>
    </row>
    <row r="456" spans="1:9" x14ac:dyDescent="0.35">
      <c r="A456">
        <v>20260101</v>
      </c>
      <c r="B456" t="s">
        <v>1158</v>
      </c>
      <c r="C456">
        <v>5000</v>
      </c>
      <c r="D456" t="s">
        <v>1131</v>
      </c>
      <c r="E456">
        <v>478400</v>
      </c>
      <c r="F456" t="s">
        <v>1452</v>
      </c>
      <c r="G456">
        <v>0.82</v>
      </c>
      <c r="H456" t="s">
        <v>1462</v>
      </c>
      <c r="I456" t="s">
        <v>1463</v>
      </c>
    </row>
    <row r="457" spans="1:9" x14ac:dyDescent="0.35">
      <c r="A457">
        <v>20260101</v>
      </c>
      <c r="B457" t="s">
        <v>1158</v>
      </c>
      <c r="C457">
        <v>5400</v>
      </c>
      <c r="D457" t="s">
        <v>1131</v>
      </c>
      <c r="E457">
        <v>67454.399999999994</v>
      </c>
      <c r="F457" t="s">
        <v>1452</v>
      </c>
      <c r="G457">
        <v>0.82</v>
      </c>
      <c r="H457" t="s">
        <v>1462</v>
      </c>
      <c r="I457" t="s">
        <v>1463</v>
      </c>
    </row>
    <row r="458" spans="1:9" x14ac:dyDescent="0.35">
      <c r="A458">
        <v>20260101</v>
      </c>
      <c r="B458" t="s">
        <v>1158</v>
      </c>
      <c r="C458">
        <v>6300</v>
      </c>
      <c r="D458" t="s">
        <v>1131</v>
      </c>
      <c r="E458">
        <v>88400</v>
      </c>
      <c r="F458" t="s">
        <v>1452</v>
      </c>
      <c r="G458">
        <v>0.82</v>
      </c>
      <c r="H458" t="s">
        <v>1462</v>
      </c>
      <c r="I458" t="s">
        <v>1463</v>
      </c>
    </row>
    <row r="459" spans="1:9" x14ac:dyDescent="0.35">
      <c r="A459">
        <v>20260101</v>
      </c>
      <c r="B459" t="s">
        <v>1158</v>
      </c>
      <c r="C459">
        <v>3900</v>
      </c>
      <c r="D459" t="s">
        <v>1131</v>
      </c>
      <c r="E459">
        <v>-676000</v>
      </c>
      <c r="F459" t="s">
        <v>1452</v>
      </c>
      <c r="G459">
        <v>0.82</v>
      </c>
      <c r="H459" t="s">
        <v>1462</v>
      </c>
      <c r="I459" t="s">
        <v>1463</v>
      </c>
    </row>
    <row r="460" spans="1:9" x14ac:dyDescent="0.35">
      <c r="A460">
        <v>20260101</v>
      </c>
      <c r="B460" t="s">
        <v>1243</v>
      </c>
      <c r="C460">
        <v>5100</v>
      </c>
      <c r="D460" t="s">
        <v>485</v>
      </c>
      <c r="E460">
        <v>93600</v>
      </c>
      <c r="F460" t="s">
        <v>1452</v>
      </c>
      <c r="G460">
        <v>0.82</v>
      </c>
      <c r="H460" t="s">
        <v>1462</v>
      </c>
      <c r="I460" t="s">
        <v>1463</v>
      </c>
    </row>
    <row r="461" spans="1:9" x14ac:dyDescent="0.35">
      <c r="A461">
        <v>20260101</v>
      </c>
      <c r="B461" t="s">
        <v>1243</v>
      </c>
      <c r="C461">
        <v>3400</v>
      </c>
      <c r="D461" t="s">
        <v>485</v>
      </c>
      <c r="E461">
        <v>-93600</v>
      </c>
      <c r="F461" t="s">
        <v>1452</v>
      </c>
      <c r="G461">
        <v>0.82</v>
      </c>
      <c r="H461" t="s">
        <v>1462</v>
      </c>
      <c r="I461" t="s">
        <v>1463</v>
      </c>
    </row>
    <row r="462" spans="1:9" x14ac:dyDescent="0.35">
      <c r="A462">
        <v>20260101</v>
      </c>
      <c r="B462" t="s">
        <v>1205</v>
      </c>
      <c r="C462">
        <v>5000</v>
      </c>
      <c r="D462" t="s">
        <v>1131</v>
      </c>
      <c r="E462">
        <v>478400</v>
      </c>
      <c r="F462" t="s">
        <v>1452</v>
      </c>
      <c r="G462">
        <v>0.82</v>
      </c>
      <c r="H462" t="s">
        <v>1462</v>
      </c>
      <c r="I462" t="s">
        <v>1463</v>
      </c>
    </row>
    <row r="463" spans="1:9" x14ac:dyDescent="0.35">
      <c r="A463">
        <v>20260101</v>
      </c>
      <c r="B463" t="s">
        <v>1205</v>
      </c>
      <c r="C463">
        <v>5400</v>
      </c>
      <c r="D463" t="s">
        <v>1131</v>
      </c>
      <c r="E463">
        <v>67454.399999999994</v>
      </c>
      <c r="F463" t="s">
        <v>1452</v>
      </c>
      <c r="G463">
        <v>0.82</v>
      </c>
      <c r="H463" t="s">
        <v>1462</v>
      </c>
      <c r="I463" t="s">
        <v>1463</v>
      </c>
    </row>
    <row r="464" spans="1:9" x14ac:dyDescent="0.35">
      <c r="A464">
        <v>20260101</v>
      </c>
      <c r="B464" t="s">
        <v>1205</v>
      </c>
      <c r="C464">
        <v>6300</v>
      </c>
      <c r="D464" t="s">
        <v>1131</v>
      </c>
      <c r="E464">
        <v>88400</v>
      </c>
      <c r="F464" t="s">
        <v>1452</v>
      </c>
      <c r="G464">
        <v>0.82</v>
      </c>
      <c r="H464" t="s">
        <v>1462</v>
      </c>
      <c r="I464" t="s">
        <v>1463</v>
      </c>
    </row>
    <row r="465" spans="1:9" x14ac:dyDescent="0.35">
      <c r="A465">
        <v>20260101</v>
      </c>
      <c r="B465" t="s">
        <v>1205</v>
      </c>
      <c r="C465">
        <v>3900</v>
      </c>
      <c r="D465" t="s">
        <v>1131</v>
      </c>
      <c r="E465">
        <v>-676000</v>
      </c>
      <c r="F465" t="s">
        <v>1452</v>
      </c>
      <c r="G465">
        <v>0.82</v>
      </c>
      <c r="H465" t="s">
        <v>1462</v>
      </c>
      <c r="I465" t="s">
        <v>1463</v>
      </c>
    </row>
    <row r="466" spans="1:9" x14ac:dyDescent="0.35">
      <c r="A466">
        <v>20260101</v>
      </c>
      <c r="B466" t="s">
        <v>1257</v>
      </c>
      <c r="C466">
        <v>5100</v>
      </c>
      <c r="D466" t="s">
        <v>485</v>
      </c>
      <c r="E466">
        <v>93600</v>
      </c>
      <c r="F466" t="s">
        <v>1452</v>
      </c>
      <c r="G466">
        <v>0.82</v>
      </c>
      <c r="H466" t="s">
        <v>1462</v>
      </c>
      <c r="I466" t="s">
        <v>1463</v>
      </c>
    </row>
    <row r="467" spans="1:9" x14ac:dyDescent="0.35">
      <c r="A467">
        <v>20260101</v>
      </c>
      <c r="B467" t="s">
        <v>1257</v>
      </c>
      <c r="C467">
        <v>3400</v>
      </c>
      <c r="D467" t="s">
        <v>485</v>
      </c>
      <c r="E467">
        <v>-93600</v>
      </c>
      <c r="F467" t="s">
        <v>1452</v>
      </c>
      <c r="G467">
        <v>0.82</v>
      </c>
      <c r="H467" t="s">
        <v>1462</v>
      </c>
      <c r="I467" t="s">
        <v>1463</v>
      </c>
    </row>
    <row r="468" spans="1:9" x14ac:dyDescent="0.35">
      <c r="A468">
        <v>20260101</v>
      </c>
      <c r="B468" t="s">
        <v>1164</v>
      </c>
      <c r="C468">
        <v>5000</v>
      </c>
      <c r="D468" t="s">
        <v>1131</v>
      </c>
      <c r="E468">
        <v>478400</v>
      </c>
      <c r="F468" t="s">
        <v>1452</v>
      </c>
      <c r="G468">
        <v>0.82</v>
      </c>
      <c r="H468" t="s">
        <v>1462</v>
      </c>
      <c r="I468" t="s">
        <v>1463</v>
      </c>
    </row>
    <row r="469" spans="1:9" x14ac:dyDescent="0.35">
      <c r="A469">
        <v>20260101</v>
      </c>
      <c r="B469" t="s">
        <v>1164</v>
      </c>
      <c r="C469">
        <v>5400</v>
      </c>
      <c r="D469" t="s">
        <v>1131</v>
      </c>
      <c r="E469">
        <v>67454.399999999994</v>
      </c>
      <c r="F469" t="s">
        <v>1452</v>
      </c>
      <c r="G469">
        <v>0.82</v>
      </c>
      <c r="H469" t="s">
        <v>1462</v>
      </c>
      <c r="I469" t="s">
        <v>1463</v>
      </c>
    </row>
    <row r="470" spans="1:9" x14ac:dyDescent="0.35">
      <c r="A470">
        <v>20260101</v>
      </c>
      <c r="B470" t="s">
        <v>1164</v>
      </c>
      <c r="C470">
        <v>6300</v>
      </c>
      <c r="D470" t="s">
        <v>1131</v>
      </c>
      <c r="E470">
        <v>88400</v>
      </c>
      <c r="F470" t="s">
        <v>1452</v>
      </c>
      <c r="G470">
        <v>0.82</v>
      </c>
      <c r="H470" t="s">
        <v>1462</v>
      </c>
      <c r="I470" t="s">
        <v>1463</v>
      </c>
    </row>
    <row r="471" spans="1:9" x14ac:dyDescent="0.35">
      <c r="A471">
        <v>20260101</v>
      </c>
      <c r="B471" t="s">
        <v>1164</v>
      </c>
      <c r="C471">
        <v>3900</v>
      </c>
      <c r="D471" t="s">
        <v>1131</v>
      </c>
      <c r="E471">
        <v>-676000</v>
      </c>
      <c r="F471" t="s">
        <v>1452</v>
      </c>
      <c r="G471">
        <v>0.82</v>
      </c>
      <c r="H471" t="s">
        <v>1462</v>
      </c>
      <c r="I471" t="s">
        <v>1463</v>
      </c>
    </row>
    <row r="472" spans="1:9" x14ac:dyDescent="0.35">
      <c r="A472">
        <v>20260101</v>
      </c>
      <c r="B472" t="s">
        <v>1249</v>
      </c>
      <c r="C472">
        <v>5100</v>
      </c>
      <c r="D472" t="s">
        <v>485</v>
      </c>
      <c r="E472">
        <v>93600</v>
      </c>
      <c r="F472" t="s">
        <v>1452</v>
      </c>
      <c r="G472">
        <v>0.82</v>
      </c>
      <c r="H472" t="s">
        <v>1462</v>
      </c>
      <c r="I472" t="s">
        <v>1463</v>
      </c>
    </row>
    <row r="473" spans="1:9" x14ac:dyDescent="0.35">
      <c r="A473">
        <v>20260101</v>
      </c>
      <c r="B473" t="s">
        <v>1249</v>
      </c>
      <c r="C473">
        <v>3400</v>
      </c>
      <c r="D473" t="s">
        <v>485</v>
      </c>
      <c r="E473">
        <v>-93600</v>
      </c>
      <c r="F473" t="s">
        <v>1452</v>
      </c>
      <c r="G473">
        <v>0.82</v>
      </c>
      <c r="H473" t="s">
        <v>1462</v>
      </c>
      <c r="I473" t="s">
        <v>1463</v>
      </c>
    </row>
    <row r="474" spans="1:9" x14ac:dyDescent="0.35">
      <c r="A474">
        <v>20260101</v>
      </c>
      <c r="B474" t="s">
        <v>1169</v>
      </c>
      <c r="C474">
        <v>5000</v>
      </c>
      <c r="D474" t="s">
        <v>1131</v>
      </c>
      <c r="E474">
        <v>478400</v>
      </c>
      <c r="F474" t="s">
        <v>1452</v>
      </c>
      <c r="G474">
        <v>0.82</v>
      </c>
      <c r="H474" t="s">
        <v>1462</v>
      </c>
      <c r="I474" t="s">
        <v>1463</v>
      </c>
    </row>
    <row r="475" spans="1:9" x14ac:dyDescent="0.35">
      <c r="A475">
        <v>20260101</v>
      </c>
      <c r="B475" t="s">
        <v>1169</v>
      </c>
      <c r="C475">
        <v>5400</v>
      </c>
      <c r="D475" t="s">
        <v>1131</v>
      </c>
      <c r="E475">
        <v>67454.399999999994</v>
      </c>
      <c r="F475" t="s">
        <v>1452</v>
      </c>
      <c r="G475">
        <v>0.82</v>
      </c>
      <c r="H475" t="s">
        <v>1462</v>
      </c>
      <c r="I475" t="s">
        <v>1463</v>
      </c>
    </row>
    <row r="476" spans="1:9" x14ac:dyDescent="0.35">
      <c r="A476">
        <v>20260101</v>
      </c>
      <c r="B476" t="s">
        <v>1169</v>
      </c>
      <c r="C476">
        <v>6300</v>
      </c>
      <c r="D476" t="s">
        <v>1131</v>
      </c>
      <c r="E476">
        <v>88400</v>
      </c>
      <c r="F476" t="s">
        <v>1452</v>
      </c>
      <c r="G476">
        <v>0.82</v>
      </c>
      <c r="H476" t="s">
        <v>1462</v>
      </c>
      <c r="I476" t="s">
        <v>1463</v>
      </c>
    </row>
    <row r="477" spans="1:9" x14ac:dyDescent="0.35">
      <c r="A477">
        <v>20260101</v>
      </c>
      <c r="B477" t="s">
        <v>1169</v>
      </c>
      <c r="C477">
        <v>3900</v>
      </c>
      <c r="D477" t="s">
        <v>1131</v>
      </c>
      <c r="E477">
        <v>-676000</v>
      </c>
      <c r="F477" t="s">
        <v>1452</v>
      </c>
      <c r="G477">
        <v>0.82</v>
      </c>
      <c r="H477" t="s">
        <v>1462</v>
      </c>
      <c r="I477" t="s">
        <v>1463</v>
      </c>
    </row>
    <row r="478" spans="1:9" x14ac:dyDescent="0.35">
      <c r="A478">
        <v>20260101</v>
      </c>
      <c r="B478" t="s">
        <v>1260</v>
      </c>
      <c r="C478">
        <v>5100</v>
      </c>
      <c r="D478" t="s">
        <v>485</v>
      </c>
      <c r="E478">
        <v>93600</v>
      </c>
      <c r="F478" t="s">
        <v>1452</v>
      </c>
      <c r="G478">
        <v>0.82</v>
      </c>
      <c r="H478" t="s">
        <v>1462</v>
      </c>
      <c r="I478" t="s">
        <v>1463</v>
      </c>
    </row>
    <row r="479" spans="1:9" x14ac:dyDescent="0.35">
      <c r="A479">
        <v>20260101</v>
      </c>
      <c r="B479" t="s">
        <v>1260</v>
      </c>
      <c r="C479">
        <v>3400</v>
      </c>
      <c r="D479" t="s">
        <v>485</v>
      </c>
      <c r="E479">
        <v>-93600</v>
      </c>
      <c r="F479" t="s">
        <v>1452</v>
      </c>
      <c r="G479">
        <v>0.82</v>
      </c>
      <c r="H479" t="s">
        <v>1462</v>
      </c>
      <c r="I479" t="s">
        <v>1463</v>
      </c>
    </row>
    <row r="480" spans="1:9" x14ac:dyDescent="0.35">
      <c r="A480">
        <v>20260101</v>
      </c>
      <c r="B480" t="s">
        <v>1175</v>
      </c>
      <c r="C480">
        <v>5000</v>
      </c>
      <c r="D480" t="s">
        <v>1131</v>
      </c>
      <c r="E480">
        <v>478400</v>
      </c>
      <c r="F480" t="s">
        <v>1452</v>
      </c>
      <c r="G480">
        <v>0.82</v>
      </c>
      <c r="H480" t="s">
        <v>1462</v>
      </c>
      <c r="I480" t="s">
        <v>1463</v>
      </c>
    </row>
    <row r="481" spans="1:9" x14ac:dyDescent="0.35">
      <c r="A481">
        <v>20260101</v>
      </c>
      <c r="B481" t="s">
        <v>1175</v>
      </c>
      <c r="C481">
        <v>5400</v>
      </c>
      <c r="D481" t="s">
        <v>1131</v>
      </c>
      <c r="E481">
        <v>67454.399999999994</v>
      </c>
      <c r="F481" t="s">
        <v>1452</v>
      </c>
      <c r="G481">
        <v>0.82</v>
      </c>
      <c r="H481" t="s">
        <v>1462</v>
      </c>
      <c r="I481" t="s">
        <v>1463</v>
      </c>
    </row>
    <row r="482" spans="1:9" x14ac:dyDescent="0.35">
      <c r="A482">
        <v>20260101</v>
      </c>
      <c r="B482" t="s">
        <v>1175</v>
      </c>
      <c r="C482">
        <v>6300</v>
      </c>
      <c r="D482" t="s">
        <v>1131</v>
      </c>
      <c r="E482">
        <v>88400</v>
      </c>
      <c r="F482" t="s">
        <v>1452</v>
      </c>
      <c r="G482">
        <v>0.82</v>
      </c>
      <c r="H482" t="s">
        <v>1462</v>
      </c>
      <c r="I482" t="s">
        <v>1463</v>
      </c>
    </row>
    <row r="483" spans="1:9" x14ac:dyDescent="0.35">
      <c r="A483">
        <v>20260101</v>
      </c>
      <c r="B483" t="s">
        <v>1175</v>
      </c>
      <c r="C483">
        <v>3900</v>
      </c>
      <c r="D483" t="s">
        <v>1131</v>
      </c>
      <c r="E483">
        <v>-676000</v>
      </c>
      <c r="F483" t="s">
        <v>1452</v>
      </c>
      <c r="G483">
        <v>0.82</v>
      </c>
      <c r="H483" t="s">
        <v>1462</v>
      </c>
      <c r="I483" t="s">
        <v>1463</v>
      </c>
    </row>
    <row r="484" spans="1:9" x14ac:dyDescent="0.35">
      <c r="A484">
        <v>20260101</v>
      </c>
      <c r="B484" t="s">
        <v>1247</v>
      </c>
      <c r="C484">
        <v>5100</v>
      </c>
      <c r="D484" t="s">
        <v>485</v>
      </c>
      <c r="E484">
        <v>93600</v>
      </c>
      <c r="F484" t="s">
        <v>1452</v>
      </c>
      <c r="G484">
        <v>0.82</v>
      </c>
      <c r="H484" t="s">
        <v>1462</v>
      </c>
      <c r="I484" t="s">
        <v>1463</v>
      </c>
    </row>
    <row r="485" spans="1:9" x14ac:dyDescent="0.35">
      <c r="A485">
        <v>20260101</v>
      </c>
      <c r="B485" t="s">
        <v>1247</v>
      </c>
      <c r="C485">
        <v>3400</v>
      </c>
      <c r="D485" t="s">
        <v>485</v>
      </c>
      <c r="E485">
        <v>-93600</v>
      </c>
      <c r="F485" t="s">
        <v>1452</v>
      </c>
      <c r="G485">
        <v>0.82</v>
      </c>
      <c r="H485" t="s">
        <v>1462</v>
      </c>
      <c r="I485" t="s">
        <v>1463</v>
      </c>
    </row>
    <row r="486" spans="1:9" x14ac:dyDescent="0.35">
      <c r="A486">
        <v>20260101</v>
      </c>
      <c r="B486" t="s">
        <v>1130</v>
      </c>
      <c r="C486">
        <v>5000</v>
      </c>
      <c r="D486" t="s">
        <v>1131</v>
      </c>
      <c r="E486">
        <v>478400</v>
      </c>
      <c r="F486" t="s">
        <v>1452</v>
      </c>
      <c r="G486">
        <v>0.82</v>
      </c>
      <c r="H486" t="s">
        <v>1462</v>
      </c>
      <c r="I486" t="s">
        <v>1463</v>
      </c>
    </row>
    <row r="487" spans="1:9" x14ac:dyDescent="0.35">
      <c r="A487">
        <v>20260101</v>
      </c>
      <c r="B487" t="s">
        <v>1130</v>
      </c>
      <c r="C487">
        <v>5400</v>
      </c>
      <c r="D487" t="s">
        <v>1131</v>
      </c>
      <c r="E487">
        <v>67454.399999999994</v>
      </c>
      <c r="F487" t="s">
        <v>1452</v>
      </c>
      <c r="G487">
        <v>0.82</v>
      </c>
      <c r="H487" t="s">
        <v>1462</v>
      </c>
      <c r="I487" t="s">
        <v>1463</v>
      </c>
    </row>
    <row r="488" spans="1:9" x14ac:dyDescent="0.35">
      <c r="A488">
        <v>20260101</v>
      </c>
      <c r="B488" t="s">
        <v>1130</v>
      </c>
      <c r="C488">
        <v>6300</v>
      </c>
      <c r="D488" t="s">
        <v>1131</v>
      </c>
      <c r="E488">
        <v>88400</v>
      </c>
      <c r="F488" t="s">
        <v>1452</v>
      </c>
      <c r="G488">
        <v>0.82</v>
      </c>
      <c r="H488" t="s">
        <v>1462</v>
      </c>
      <c r="I488" t="s">
        <v>1463</v>
      </c>
    </row>
    <row r="489" spans="1:9" x14ac:dyDescent="0.35">
      <c r="A489">
        <v>20260101</v>
      </c>
      <c r="B489" t="s">
        <v>1130</v>
      </c>
      <c r="C489">
        <v>3900</v>
      </c>
      <c r="D489" t="s">
        <v>1131</v>
      </c>
      <c r="E489">
        <v>-676000</v>
      </c>
      <c r="F489" t="s">
        <v>1452</v>
      </c>
      <c r="G489">
        <v>0.82</v>
      </c>
      <c r="H489" t="s">
        <v>1462</v>
      </c>
      <c r="I489" t="s">
        <v>1463</v>
      </c>
    </row>
    <row r="490" spans="1:9" x14ac:dyDescent="0.35">
      <c r="A490">
        <v>20260101</v>
      </c>
      <c r="B490" t="s">
        <v>1265</v>
      </c>
      <c r="C490">
        <v>5100</v>
      </c>
      <c r="D490" t="s">
        <v>485</v>
      </c>
      <c r="E490">
        <v>93600</v>
      </c>
      <c r="F490" t="s">
        <v>1452</v>
      </c>
      <c r="G490">
        <v>0.82</v>
      </c>
      <c r="H490" t="s">
        <v>1462</v>
      </c>
      <c r="I490" t="s">
        <v>1463</v>
      </c>
    </row>
    <row r="491" spans="1:9" x14ac:dyDescent="0.35">
      <c r="A491">
        <v>20260101</v>
      </c>
      <c r="B491" t="s">
        <v>1265</v>
      </c>
      <c r="C491">
        <v>3400</v>
      </c>
      <c r="D491" t="s">
        <v>485</v>
      </c>
      <c r="E491">
        <v>-93600</v>
      </c>
      <c r="F491" t="s">
        <v>1452</v>
      </c>
      <c r="G491">
        <v>0.82</v>
      </c>
      <c r="H491" t="s">
        <v>1462</v>
      </c>
      <c r="I491" t="s">
        <v>1463</v>
      </c>
    </row>
    <row r="492" spans="1:9" x14ac:dyDescent="0.35">
      <c r="A492">
        <v>20260101</v>
      </c>
      <c r="B492" t="s">
        <v>1173</v>
      </c>
      <c r="C492">
        <v>5000</v>
      </c>
      <c r="D492" t="s">
        <v>1131</v>
      </c>
      <c r="E492">
        <v>478400</v>
      </c>
      <c r="F492" t="s">
        <v>1452</v>
      </c>
      <c r="G492">
        <v>0.82</v>
      </c>
      <c r="H492" t="s">
        <v>1462</v>
      </c>
      <c r="I492" t="s">
        <v>1463</v>
      </c>
    </row>
    <row r="493" spans="1:9" x14ac:dyDescent="0.35">
      <c r="A493">
        <v>20260101</v>
      </c>
      <c r="B493" t="s">
        <v>1173</v>
      </c>
      <c r="C493">
        <v>5400</v>
      </c>
      <c r="D493" t="s">
        <v>1131</v>
      </c>
      <c r="E493">
        <v>67454.399999999994</v>
      </c>
      <c r="F493" t="s">
        <v>1452</v>
      </c>
      <c r="G493">
        <v>0.82</v>
      </c>
      <c r="H493" t="s">
        <v>1462</v>
      </c>
      <c r="I493" t="s">
        <v>1463</v>
      </c>
    </row>
    <row r="494" spans="1:9" x14ac:dyDescent="0.35">
      <c r="A494">
        <v>20260101</v>
      </c>
      <c r="B494" t="s">
        <v>1173</v>
      </c>
      <c r="C494">
        <v>6300</v>
      </c>
      <c r="D494" t="s">
        <v>1131</v>
      </c>
      <c r="E494">
        <v>88400</v>
      </c>
      <c r="F494" t="s">
        <v>1452</v>
      </c>
      <c r="G494">
        <v>0.82</v>
      </c>
      <c r="H494" t="s">
        <v>1462</v>
      </c>
      <c r="I494" t="s">
        <v>1463</v>
      </c>
    </row>
    <row r="495" spans="1:9" x14ac:dyDescent="0.35">
      <c r="A495">
        <v>20260101</v>
      </c>
      <c r="B495" t="s">
        <v>1173</v>
      </c>
      <c r="C495">
        <v>3900</v>
      </c>
      <c r="D495" t="s">
        <v>1131</v>
      </c>
      <c r="E495">
        <v>-676000</v>
      </c>
      <c r="F495" t="s">
        <v>1452</v>
      </c>
      <c r="G495">
        <v>0.82</v>
      </c>
      <c r="H495" t="s">
        <v>1462</v>
      </c>
      <c r="I495" t="s">
        <v>1463</v>
      </c>
    </row>
    <row r="496" spans="1:9" x14ac:dyDescent="0.35">
      <c r="A496">
        <v>20260101</v>
      </c>
      <c r="B496" t="s">
        <v>1255</v>
      </c>
      <c r="C496">
        <v>5100</v>
      </c>
      <c r="D496" t="s">
        <v>485</v>
      </c>
      <c r="E496">
        <v>93600</v>
      </c>
      <c r="F496" t="s">
        <v>1452</v>
      </c>
      <c r="G496">
        <v>0.82</v>
      </c>
      <c r="H496" t="s">
        <v>1462</v>
      </c>
      <c r="I496" t="s">
        <v>1463</v>
      </c>
    </row>
    <row r="497" spans="1:9" x14ac:dyDescent="0.35">
      <c r="A497">
        <v>20260101</v>
      </c>
      <c r="B497" t="s">
        <v>1255</v>
      </c>
      <c r="C497">
        <v>3400</v>
      </c>
      <c r="D497" t="s">
        <v>485</v>
      </c>
      <c r="E497">
        <v>-93600</v>
      </c>
      <c r="F497" t="s">
        <v>1452</v>
      </c>
      <c r="G497">
        <v>0.82</v>
      </c>
      <c r="H497" t="s">
        <v>1462</v>
      </c>
      <c r="I497" t="s">
        <v>1463</v>
      </c>
    </row>
    <row r="498" spans="1:9" x14ac:dyDescent="0.35">
      <c r="A498">
        <v>20260101</v>
      </c>
      <c r="B498" t="s">
        <v>1155</v>
      </c>
      <c r="C498">
        <v>5000</v>
      </c>
      <c r="D498" t="s">
        <v>1131</v>
      </c>
      <c r="E498">
        <v>478400</v>
      </c>
      <c r="F498" t="s">
        <v>1452</v>
      </c>
      <c r="G498">
        <v>0.82</v>
      </c>
      <c r="H498" t="s">
        <v>1462</v>
      </c>
      <c r="I498" t="s">
        <v>1463</v>
      </c>
    </row>
    <row r="499" spans="1:9" x14ac:dyDescent="0.35">
      <c r="A499">
        <v>20260101</v>
      </c>
      <c r="B499" t="s">
        <v>1155</v>
      </c>
      <c r="C499">
        <v>5400</v>
      </c>
      <c r="D499" t="s">
        <v>1131</v>
      </c>
      <c r="E499">
        <v>67454.399999999994</v>
      </c>
      <c r="F499" t="s">
        <v>1452</v>
      </c>
      <c r="G499">
        <v>0.82</v>
      </c>
      <c r="H499" t="s">
        <v>1462</v>
      </c>
      <c r="I499" t="s">
        <v>1463</v>
      </c>
    </row>
    <row r="500" spans="1:9" x14ac:dyDescent="0.35">
      <c r="A500">
        <v>20260101</v>
      </c>
      <c r="B500" t="s">
        <v>1155</v>
      </c>
      <c r="C500">
        <v>6300</v>
      </c>
      <c r="D500" t="s">
        <v>1131</v>
      </c>
      <c r="E500">
        <v>88400</v>
      </c>
      <c r="F500" t="s">
        <v>1452</v>
      </c>
      <c r="G500">
        <v>0.82</v>
      </c>
      <c r="H500" t="s">
        <v>1462</v>
      </c>
      <c r="I500" t="s">
        <v>1463</v>
      </c>
    </row>
    <row r="501" spans="1:9" x14ac:dyDescent="0.35">
      <c r="A501">
        <v>20260101</v>
      </c>
      <c r="B501" t="s">
        <v>1155</v>
      </c>
      <c r="C501">
        <v>3900</v>
      </c>
      <c r="D501" t="s">
        <v>1131</v>
      </c>
      <c r="E501">
        <v>-676000</v>
      </c>
      <c r="F501" t="s">
        <v>1452</v>
      </c>
      <c r="G501">
        <v>0.82</v>
      </c>
      <c r="H501" t="s">
        <v>1462</v>
      </c>
      <c r="I501" t="s">
        <v>1463</v>
      </c>
    </row>
    <row r="502" spans="1:9" x14ac:dyDescent="0.35">
      <c r="A502">
        <v>20260101</v>
      </c>
      <c r="B502" t="s">
        <v>1138</v>
      </c>
      <c r="C502">
        <v>5000</v>
      </c>
      <c r="D502" t="s">
        <v>1131</v>
      </c>
      <c r="E502">
        <v>478400</v>
      </c>
      <c r="F502" t="s">
        <v>1452</v>
      </c>
      <c r="G502">
        <v>0.82</v>
      </c>
      <c r="H502" t="s">
        <v>1462</v>
      </c>
      <c r="I502" t="s">
        <v>1463</v>
      </c>
    </row>
    <row r="503" spans="1:9" x14ac:dyDescent="0.35">
      <c r="A503">
        <v>20260101</v>
      </c>
      <c r="B503" t="s">
        <v>1138</v>
      </c>
      <c r="C503">
        <v>5400</v>
      </c>
      <c r="D503" t="s">
        <v>1131</v>
      </c>
      <c r="E503">
        <v>67454.399999999994</v>
      </c>
      <c r="F503" t="s">
        <v>1452</v>
      </c>
      <c r="G503">
        <v>0.82</v>
      </c>
      <c r="H503" t="s">
        <v>1462</v>
      </c>
      <c r="I503" t="s">
        <v>1463</v>
      </c>
    </row>
    <row r="504" spans="1:9" x14ac:dyDescent="0.35">
      <c r="A504">
        <v>20260101</v>
      </c>
      <c r="B504" t="s">
        <v>1138</v>
      </c>
      <c r="C504">
        <v>6300</v>
      </c>
      <c r="D504" t="s">
        <v>1131</v>
      </c>
      <c r="E504">
        <v>88400</v>
      </c>
      <c r="F504" t="s">
        <v>1452</v>
      </c>
      <c r="G504">
        <v>0.82</v>
      </c>
      <c r="H504" t="s">
        <v>1462</v>
      </c>
      <c r="I504" t="s">
        <v>1463</v>
      </c>
    </row>
    <row r="505" spans="1:9" x14ac:dyDescent="0.35">
      <c r="A505">
        <v>20260101</v>
      </c>
      <c r="B505" t="s">
        <v>1138</v>
      </c>
      <c r="C505">
        <v>3900</v>
      </c>
      <c r="D505" t="s">
        <v>1131</v>
      </c>
      <c r="E505">
        <v>-676000</v>
      </c>
      <c r="F505" t="s">
        <v>1452</v>
      </c>
      <c r="G505">
        <v>0.82</v>
      </c>
      <c r="H505" t="s">
        <v>1462</v>
      </c>
      <c r="I505" t="s">
        <v>1463</v>
      </c>
    </row>
    <row r="506" spans="1:9" x14ac:dyDescent="0.35">
      <c r="A506">
        <v>20260201</v>
      </c>
      <c r="B506" t="s">
        <v>1150</v>
      </c>
      <c r="C506">
        <v>5000</v>
      </c>
      <c r="D506" t="s">
        <v>1131</v>
      </c>
      <c r="E506">
        <v>478400</v>
      </c>
      <c r="F506" t="s">
        <v>1452</v>
      </c>
      <c r="G506">
        <v>0.82</v>
      </c>
      <c r="H506" t="s">
        <v>1462</v>
      </c>
      <c r="I506" t="s">
        <v>1463</v>
      </c>
    </row>
    <row r="507" spans="1:9" x14ac:dyDescent="0.35">
      <c r="A507">
        <v>20260201</v>
      </c>
      <c r="B507" t="s">
        <v>1150</v>
      </c>
      <c r="C507">
        <v>5400</v>
      </c>
      <c r="D507" t="s">
        <v>1131</v>
      </c>
      <c r="E507">
        <v>67454.399999999994</v>
      </c>
      <c r="F507" t="s">
        <v>1452</v>
      </c>
      <c r="G507">
        <v>0.82</v>
      </c>
      <c r="H507" t="s">
        <v>1462</v>
      </c>
      <c r="I507" t="s">
        <v>1463</v>
      </c>
    </row>
    <row r="508" spans="1:9" x14ac:dyDescent="0.35">
      <c r="A508">
        <v>20260201</v>
      </c>
      <c r="B508" t="s">
        <v>1150</v>
      </c>
      <c r="C508">
        <v>6300</v>
      </c>
      <c r="D508" t="s">
        <v>1131</v>
      </c>
      <c r="E508">
        <v>88400</v>
      </c>
      <c r="F508" t="s">
        <v>1452</v>
      </c>
      <c r="G508">
        <v>0.82</v>
      </c>
      <c r="H508" t="s">
        <v>1462</v>
      </c>
      <c r="I508" t="s">
        <v>1463</v>
      </c>
    </row>
    <row r="509" spans="1:9" x14ac:dyDescent="0.35">
      <c r="A509">
        <v>20260201</v>
      </c>
      <c r="B509" t="s">
        <v>1150</v>
      </c>
      <c r="C509">
        <v>3900</v>
      </c>
      <c r="D509" t="s">
        <v>1131</v>
      </c>
      <c r="E509">
        <v>-676000</v>
      </c>
      <c r="F509" t="s">
        <v>1452</v>
      </c>
      <c r="G509">
        <v>0.82</v>
      </c>
      <c r="H509" t="s">
        <v>1462</v>
      </c>
      <c r="I509" t="s">
        <v>1463</v>
      </c>
    </row>
    <row r="510" spans="1:9" x14ac:dyDescent="0.35">
      <c r="A510">
        <v>20260201</v>
      </c>
      <c r="B510" t="s">
        <v>1272</v>
      </c>
      <c r="C510">
        <v>5100</v>
      </c>
      <c r="D510" t="s">
        <v>485</v>
      </c>
      <c r="E510">
        <v>93600</v>
      </c>
      <c r="F510" t="s">
        <v>1452</v>
      </c>
      <c r="G510">
        <v>0.82</v>
      </c>
      <c r="H510" t="s">
        <v>1462</v>
      </c>
      <c r="I510" t="s">
        <v>1463</v>
      </c>
    </row>
    <row r="511" spans="1:9" x14ac:dyDescent="0.35">
      <c r="A511">
        <v>20260201</v>
      </c>
      <c r="B511" t="s">
        <v>1272</v>
      </c>
      <c r="C511">
        <v>3400</v>
      </c>
      <c r="D511" t="s">
        <v>485</v>
      </c>
      <c r="E511">
        <v>-93600</v>
      </c>
      <c r="F511" t="s">
        <v>1452</v>
      </c>
      <c r="G511">
        <v>0.82</v>
      </c>
      <c r="H511" t="s">
        <v>1462</v>
      </c>
      <c r="I511" t="s">
        <v>1463</v>
      </c>
    </row>
    <row r="512" spans="1:9" x14ac:dyDescent="0.35">
      <c r="A512">
        <v>20260201</v>
      </c>
      <c r="B512" t="s">
        <v>1158</v>
      </c>
      <c r="C512">
        <v>5000</v>
      </c>
      <c r="D512" t="s">
        <v>1131</v>
      </c>
      <c r="E512">
        <v>478400</v>
      </c>
      <c r="F512" t="s">
        <v>1452</v>
      </c>
      <c r="G512">
        <v>0.82</v>
      </c>
      <c r="H512" t="s">
        <v>1462</v>
      </c>
      <c r="I512" t="s">
        <v>1463</v>
      </c>
    </row>
    <row r="513" spans="1:9" x14ac:dyDescent="0.35">
      <c r="A513">
        <v>20260201</v>
      </c>
      <c r="B513" t="s">
        <v>1158</v>
      </c>
      <c r="C513">
        <v>5400</v>
      </c>
      <c r="D513" t="s">
        <v>1131</v>
      </c>
      <c r="E513">
        <v>67454.399999999994</v>
      </c>
      <c r="F513" t="s">
        <v>1452</v>
      </c>
      <c r="G513">
        <v>0.82</v>
      </c>
      <c r="H513" t="s">
        <v>1462</v>
      </c>
      <c r="I513" t="s">
        <v>1463</v>
      </c>
    </row>
    <row r="514" spans="1:9" x14ac:dyDescent="0.35">
      <c r="A514">
        <v>20260201</v>
      </c>
      <c r="B514" t="s">
        <v>1158</v>
      </c>
      <c r="C514">
        <v>6300</v>
      </c>
      <c r="D514" t="s">
        <v>1131</v>
      </c>
      <c r="E514">
        <v>88400</v>
      </c>
      <c r="F514" t="s">
        <v>1452</v>
      </c>
      <c r="G514">
        <v>0.82</v>
      </c>
      <c r="H514" t="s">
        <v>1462</v>
      </c>
      <c r="I514" t="s">
        <v>1463</v>
      </c>
    </row>
    <row r="515" spans="1:9" x14ac:dyDescent="0.35">
      <c r="A515">
        <v>20260201</v>
      </c>
      <c r="B515" t="s">
        <v>1158</v>
      </c>
      <c r="C515">
        <v>3900</v>
      </c>
      <c r="D515" t="s">
        <v>1131</v>
      </c>
      <c r="E515">
        <v>-676000</v>
      </c>
      <c r="F515" t="s">
        <v>1452</v>
      </c>
      <c r="G515">
        <v>0.82</v>
      </c>
      <c r="H515" t="s">
        <v>1462</v>
      </c>
      <c r="I515" t="s">
        <v>1463</v>
      </c>
    </row>
    <row r="516" spans="1:9" x14ac:dyDescent="0.35">
      <c r="A516">
        <v>20260201</v>
      </c>
      <c r="B516" t="s">
        <v>1243</v>
      </c>
      <c r="C516">
        <v>5100</v>
      </c>
      <c r="D516" t="s">
        <v>485</v>
      </c>
      <c r="E516">
        <v>93600</v>
      </c>
      <c r="F516" t="s">
        <v>1452</v>
      </c>
      <c r="G516">
        <v>0.82</v>
      </c>
      <c r="H516" t="s">
        <v>1462</v>
      </c>
      <c r="I516" t="s">
        <v>1463</v>
      </c>
    </row>
    <row r="517" spans="1:9" x14ac:dyDescent="0.35">
      <c r="A517">
        <v>20260201</v>
      </c>
      <c r="B517" t="s">
        <v>1243</v>
      </c>
      <c r="C517">
        <v>3400</v>
      </c>
      <c r="D517" t="s">
        <v>485</v>
      </c>
      <c r="E517">
        <v>-93600</v>
      </c>
      <c r="F517" t="s">
        <v>1452</v>
      </c>
      <c r="G517">
        <v>0.82</v>
      </c>
      <c r="H517" t="s">
        <v>1462</v>
      </c>
      <c r="I517" t="s">
        <v>1463</v>
      </c>
    </row>
    <row r="518" spans="1:9" x14ac:dyDescent="0.35">
      <c r="A518">
        <v>20260201</v>
      </c>
      <c r="B518" t="s">
        <v>1205</v>
      </c>
      <c r="C518">
        <v>5000</v>
      </c>
      <c r="D518" t="s">
        <v>1131</v>
      </c>
      <c r="E518">
        <v>478400</v>
      </c>
      <c r="F518" t="s">
        <v>1452</v>
      </c>
      <c r="G518">
        <v>0.82</v>
      </c>
      <c r="H518" t="s">
        <v>1462</v>
      </c>
      <c r="I518" t="s">
        <v>1463</v>
      </c>
    </row>
    <row r="519" spans="1:9" x14ac:dyDescent="0.35">
      <c r="A519">
        <v>20260201</v>
      </c>
      <c r="B519" t="s">
        <v>1205</v>
      </c>
      <c r="C519">
        <v>5400</v>
      </c>
      <c r="D519" t="s">
        <v>1131</v>
      </c>
      <c r="E519">
        <v>67454.399999999994</v>
      </c>
      <c r="F519" t="s">
        <v>1452</v>
      </c>
      <c r="G519">
        <v>0.82</v>
      </c>
      <c r="H519" t="s">
        <v>1462</v>
      </c>
      <c r="I519" t="s">
        <v>1463</v>
      </c>
    </row>
    <row r="520" spans="1:9" x14ac:dyDescent="0.35">
      <c r="A520">
        <v>20260201</v>
      </c>
      <c r="B520" t="s">
        <v>1205</v>
      </c>
      <c r="C520">
        <v>6300</v>
      </c>
      <c r="D520" t="s">
        <v>1131</v>
      </c>
      <c r="E520">
        <v>88400</v>
      </c>
      <c r="F520" t="s">
        <v>1452</v>
      </c>
      <c r="G520">
        <v>0.82</v>
      </c>
      <c r="H520" t="s">
        <v>1462</v>
      </c>
      <c r="I520" t="s">
        <v>1463</v>
      </c>
    </row>
    <row r="521" spans="1:9" x14ac:dyDescent="0.35">
      <c r="A521">
        <v>20260201</v>
      </c>
      <c r="B521" t="s">
        <v>1205</v>
      </c>
      <c r="C521">
        <v>3900</v>
      </c>
      <c r="D521" t="s">
        <v>1131</v>
      </c>
      <c r="E521">
        <v>-676000</v>
      </c>
      <c r="F521" t="s">
        <v>1452</v>
      </c>
      <c r="G521">
        <v>0.82</v>
      </c>
      <c r="H521" t="s">
        <v>1462</v>
      </c>
      <c r="I521" t="s">
        <v>1463</v>
      </c>
    </row>
    <row r="522" spans="1:9" x14ac:dyDescent="0.35">
      <c r="A522">
        <v>20260201</v>
      </c>
      <c r="B522" t="s">
        <v>1257</v>
      </c>
      <c r="C522">
        <v>5100</v>
      </c>
      <c r="D522" t="s">
        <v>485</v>
      </c>
      <c r="E522">
        <v>93600</v>
      </c>
      <c r="F522" t="s">
        <v>1452</v>
      </c>
      <c r="G522">
        <v>0.82</v>
      </c>
      <c r="H522" t="s">
        <v>1462</v>
      </c>
      <c r="I522" t="s">
        <v>1463</v>
      </c>
    </row>
    <row r="523" spans="1:9" x14ac:dyDescent="0.35">
      <c r="A523">
        <v>20260201</v>
      </c>
      <c r="B523" t="s">
        <v>1257</v>
      </c>
      <c r="C523">
        <v>3400</v>
      </c>
      <c r="D523" t="s">
        <v>485</v>
      </c>
      <c r="E523">
        <v>-93600</v>
      </c>
      <c r="F523" t="s">
        <v>1452</v>
      </c>
      <c r="G523">
        <v>0.82</v>
      </c>
      <c r="H523" t="s">
        <v>1462</v>
      </c>
      <c r="I523" t="s">
        <v>1463</v>
      </c>
    </row>
    <row r="524" spans="1:9" x14ac:dyDescent="0.35">
      <c r="A524">
        <v>20260201</v>
      </c>
      <c r="B524" t="s">
        <v>1164</v>
      </c>
      <c r="C524">
        <v>5000</v>
      </c>
      <c r="D524" t="s">
        <v>1131</v>
      </c>
      <c r="E524">
        <v>478400</v>
      </c>
      <c r="F524" t="s">
        <v>1452</v>
      </c>
      <c r="G524">
        <v>0.82</v>
      </c>
      <c r="H524" t="s">
        <v>1462</v>
      </c>
      <c r="I524" t="s">
        <v>1463</v>
      </c>
    </row>
    <row r="525" spans="1:9" x14ac:dyDescent="0.35">
      <c r="A525">
        <v>20260201</v>
      </c>
      <c r="B525" t="s">
        <v>1164</v>
      </c>
      <c r="C525">
        <v>5400</v>
      </c>
      <c r="D525" t="s">
        <v>1131</v>
      </c>
      <c r="E525">
        <v>67454.399999999994</v>
      </c>
      <c r="F525" t="s">
        <v>1452</v>
      </c>
      <c r="G525">
        <v>0.82</v>
      </c>
      <c r="H525" t="s">
        <v>1462</v>
      </c>
      <c r="I525" t="s">
        <v>1463</v>
      </c>
    </row>
    <row r="526" spans="1:9" x14ac:dyDescent="0.35">
      <c r="A526">
        <v>20260201</v>
      </c>
      <c r="B526" t="s">
        <v>1164</v>
      </c>
      <c r="C526">
        <v>6300</v>
      </c>
      <c r="D526" t="s">
        <v>1131</v>
      </c>
      <c r="E526">
        <v>88400</v>
      </c>
      <c r="F526" t="s">
        <v>1452</v>
      </c>
      <c r="G526">
        <v>0.82</v>
      </c>
      <c r="H526" t="s">
        <v>1462</v>
      </c>
      <c r="I526" t="s">
        <v>1463</v>
      </c>
    </row>
    <row r="527" spans="1:9" x14ac:dyDescent="0.35">
      <c r="A527">
        <v>20260201</v>
      </c>
      <c r="B527" t="s">
        <v>1164</v>
      </c>
      <c r="C527">
        <v>3900</v>
      </c>
      <c r="D527" t="s">
        <v>1131</v>
      </c>
      <c r="E527">
        <v>-676000</v>
      </c>
      <c r="F527" t="s">
        <v>1452</v>
      </c>
      <c r="G527">
        <v>0.82</v>
      </c>
      <c r="H527" t="s">
        <v>1462</v>
      </c>
      <c r="I527" t="s">
        <v>1463</v>
      </c>
    </row>
    <row r="528" spans="1:9" x14ac:dyDescent="0.35">
      <c r="A528">
        <v>20260201</v>
      </c>
      <c r="B528" t="s">
        <v>1249</v>
      </c>
      <c r="C528">
        <v>5100</v>
      </c>
      <c r="D528" t="s">
        <v>485</v>
      </c>
      <c r="E528">
        <v>93600</v>
      </c>
      <c r="F528" t="s">
        <v>1452</v>
      </c>
      <c r="G528">
        <v>0.82</v>
      </c>
      <c r="H528" t="s">
        <v>1462</v>
      </c>
      <c r="I528" t="s">
        <v>1463</v>
      </c>
    </row>
    <row r="529" spans="1:9" x14ac:dyDescent="0.35">
      <c r="A529">
        <v>20260201</v>
      </c>
      <c r="B529" t="s">
        <v>1249</v>
      </c>
      <c r="C529">
        <v>3400</v>
      </c>
      <c r="D529" t="s">
        <v>485</v>
      </c>
      <c r="E529">
        <v>-93600</v>
      </c>
      <c r="F529" t="s">
        <v>1452</v>
      </c>
      <c r="G529">
        <v>0.82</v>
      </c>
      <c r="H529" t="s">
        <v>1462</v>
      </c>
      <c r="I529" t="s">
        <v>1463</v>
      </c>
    </row>
    <row r="530" spans="1:9" x14ac:dyDescent="0.35">
      <c r="A530">
        <v>20260201</v>
      </c>
      <c r="B530" t="s">
        <v>1169</v>
      </c>
      <c r="C530">
        <v>5000</v>
      </c>
      <c r="D530" t="s">
        <v>1131</v>
      </c>
      <c r="E530">
        <v>478400</v>
      </c>
      <c r="F530" t="s">
        <v>1452</v>
      </c>
      <c r="G530">
        <v>0.82</v>
      </c>
      <c r="H530" t="s">
        <v>1462</v>
      </c>
      <c r="I530" t="s">
        <v>1463</v>
      </c>
    </row>
    <row r="531" spans="1:9" x14ac:dyDescent="0.35">
      <c r="A531">
        <v>20260201</v>
      </c>
      <c r="B531" t="s">
        <v>1169</v>
      </c>
      <c r="C531">
        <v>5400</v>
      </c>
      <c r="D531" t="s">
        <v>1131</v>
      </c>
      <c r="E531">
        <v>67454.399999999994</v>
      </c>
      <c r="F531" t="s">
        <v>1452</v>
      </c>
      <c r="G531">
        <v>0.82</v>
      </c>
      <c r="H531" t="s">
        <v>1462</v>
      </c>
      <c r="I531" t="s">
        <v>1463</v>
      </c>
    </row>
    <row r="532" spans="1:9" x14ac:dyDescent="0.35">
      <c r="A532">
        <v>20260201</v>
      </c>
      <c r="B532" t="s">
        <v>1169</v>
      </c>
      <c r="C532">
        <v>6300</v>
      </c>
      <c r="D532" t="s">
        <v>1131</v>
      </c>
      <c r="E532">
        <v>88400</v>
      </c>
      <c r="F532" t="s">
        <v>1452</v>
      </c>
      <c r="G532">
        <v>0.82</v>
      </c>
      <c r="H532" t="s">
        <v>1462</v>
      </c>
      <c r="I532" t="s">
        <v>1463</v>
      </c>
    </row>
    <row r="533" spans="1:9" x14ac:dyDescent="0.35">
      <c r="A533">
        <v>20260201</v>
      </c>
      <c r="B533" t="s">
        <v>1169</v>
      </c>
      <c r="C533">
        <v>3900</v>
      </c>
      <c r="D533" t="s">
        <v>1131</v>
      </c>
      <c r="E533">
        <v>-676000</v>
      </c>
      <c r="F533" t="s">
        <v>1452</v>
      </c>
      <c r="G533">
        <v>0.82</v>
      </c>
      <c r="H533" t="s">
        <v>1462</v>
      </c>
      <c r="I533" t="s">
        <v>1463</v>
      </c>
    </row>
    <row r="534" spans="1:9" x14ac:dyDescent="0.35">
      <c r="A534">
        <v>20260201</v>
      </c>
      <c r="B534" t="s">
        <v>1260</v>
      </c>
      <c r="C534">
        <v>5100</v>
      </c>
      <c r="D534" t="s">
        <v>485</v>
      </c>
      <c r="E534">
        <v>93600</v>
      </c>
      <c r="F534" t="s">
        <v>1452</v>
      </c>
      <c r="G534">
        <v>0.82</v>
      </c>
      <c r="H534" t="s">
        <v>1462</v>
      </c>
      <c r="I534" t="s">
        <v>1463</v>
      </c>
    </row>
    <row r="535" spans="1:9" x14ac:dyDescent="0.35">
      <c r="A535">
        <v>20260201</v>
      </c>
      <c r="B535" t="s">
        <v>1260</v>
      </c>
      <c r="C535">
        <v>3400</v>
      </c>
      <c r="D535" t="s">
        <v>485</v>
      </c>
      <c r="E535">
        <v>-93600</v>
      </c>
      <c r="F535" t="s">
        <v>1452</v>
      </c>
      <c r="G535">
        <v>0.82</v>
      </c>
      <c r="H535" t="s">
        <v>1462</v>
      </c>
      <c r="I535" t="s">
        <v>1463</v>
      </c>
    </row>
    <row r="536" spans="1:9" x14ac:dyDescent="0.35">
      <c r="A536">
        <v>20260201</v>
      </c>
      <c r="B536" t="s">
        <v>1175</v>
      </c>
      <c r="C536">
        <v>5000</v>
      </c>
      <c r="D536" t="s">
        <v>1131</v>
      </c>
      <c r="E536">
        <v>478400</v>
      </c>
      <c r="F536" t="s">
        <v>1452</v>
      </c>
      <c r="G536">
        <v>0.82</v>
      </c>
      <c r="H536" t="s">
        <v>1462</v>
      </c>
      <c r="I536" t="s">
        <v>1463</v>
      </c>
    </row>
    <row r="537" spans="1:9" x14ac:dyDescent="0.35">
      <c r="A537">
        <v>20260201</v>
      </c>
      <c r="B537" t="s">
        <v>1175</v>
      </c>
      <c r="C537">
        <v>5400</v>
      </c>
      <c r="D537" t="s">
        <v>1131</v>
      </c>
      <c r="E537">
        <v>67454.399999999994</v>
      </c>
      <c r="F537" t="s">
        <v>1452</v>
      </c>
      <c r="G537">
        <v>0.82</v>
      </c>
      <c r="H537" t="s">
        <v>1462</v>
      </c>
      <c r="I537" t="s">
        <v>1463</v>
      </c>
    </row>
    <row r="538" spans="1:9" x14ac:dyDescent="0.35">
      <c r="A538">
        <v>20260201</v>
      </c>
      <c r="B538" t="s">
        <v>1175</v>
      </c>
      <c r="C538">
        <v>6300</v>
      </c>
      <c r="D538" t="s">
        <v>1131</v>
      </c>
      <c r="E538">
        <v>88400</v>
      </c>
      <c r="F538" t="s">
        <v>1452</v>
      </c>
      <c r="G538">
        <v>0.82</v>
      </c>
      <c r="H538" t="s">
        <v>1462</v>
      </c>
      <c r="I538" t="s">
        <v>1463</v>
      </c>
    </row>
    <row r="539" spans="1:9" x14ac:dyDescent="0.35">
      <c r="A539">
        <v>20260201</v>
      </c>
      <c r="B539" t="s">
        <v>1175</v>
      </c>
      <c r="C539">
        <v>3900</v>
      </c>
      <c r="D539" t="s">
        <v>1131</v>
      </c>
      <c r="E539">
        <v>-676000</v>
      </c>
      <c r="F539" t="s">
        <v>1452</v>
      </c>
      <c r="G539">
        <v>0.82</v>
      </c>
      <c r="H539" t="s">
        <v>1462</v>
      </c>
      <c r="I539" t="s">
        <v>1463</v>
      </c>
    </row>
    <row r="540" spans="1:9" x14ac:dyDescent="0.35">
      <c r="A540">
        <v>20260201</v>
      </c>
      <c r="B540" t="s">
        <v>1247</v>
      </c>
      <c r="C540">
        <v>5100</v>
      </c>
      <c r="D540" t="s">
        <v>485</v>
      </c>
      <c r="E540">
        <v>93600</v>
      </c>
      <c r="F540" t="s">
        <v>1452</v>
      </c>
      <c r="G540">
        <v>0.82</v>
      </c>
      <c r="H540" t="s">
        <v>1462</v>
      </c>
      <c r="I540" t="s">
        <v>1463</v>
      </c>
    </row>
    <row r="541" spans="1:9" x14ac:dyDescent="0.35">
      <c r="A541">
        <v>20260201</v>
      </c>
      <c r="B541" t="s">
        <v>1247</v>
      </c>
      <c r="C541">
        <v>3400</v>
      </c>
      <c r="D541" t="s">
        <v>485</v>
      </c>
      <c r="E541">
        <v>-93600</v>
      </c>
      <c r="F541" t="s">
        <v>1452</v>
      </c>
      <c r="G541">
        <v>0.82</v>
      </c>
      <c r="H541" t="s">
        <v>1462</v>
      </c>
      <c r="I541" t="s">
        <v>1463</v>
      </c>
    </row>
    <row r="542" spans="1:9" x14ac:dyDescent="0.35">
      <c r="A542">
        <v>20260201</v>
      </c>
      <c r="B542" t="s">
        <v>1130</v>
      </c>
      <c r="C542">
        <v>5000</v>
      </c>
      <c r="D542" t="s">
        <v>1131</v>
      </c>
      <c r="E542">
        <v>478400</v>
      </c>
      <c r="F542" t="s">
        <v>1452</v>
      </c>
      <c r="G542">
        <v>0.82</v>
      </c>
      <c r="H542" t="s">
        <v>1462</v>
      </c>
      <c r="I542" t="s">
        <v>1463</v>
      </c>
    </row>
    <row r="543" spans="1:9" x14ac:dyDescent="0.35">
      <c r="A543">
        <v>20260201</v>
      </c>
      <c r="B543" t="s">
        <v>1130</v>
      </c>
      <c r="C543">
        <v>5400</v>
      </c>
      <c r="D543" t="s">
        <v>1131</v>
      </c>
      <c r="E543">
        <v>67454.399999999994</v>
      </c>
      <c r="F543" t="s">
        <v>1452</v>
      </c>
      <c r="G543">
        <v>0.82</v>
      </c>
      <c r="H543" t="s">
        <v>1462</v>
      </c>
      <c r="I543" t="s">
        <v>1463</v>
      </c>
    </row>
    <row r="544" spans="1:9" x14ac:dyDescent="0.35">
      <c r="A544">
        <v>20260201</v>
      </c>
      <c r="B544" t="s">
        <v>1130</v>
      </c>
      <c r="C544">
        <v>6300</v>
      </c>
      <c r="D544" t="s">
        <v>1131</v>
      </c>
      <c r="E544">
        <v>88400</v>
      </c>
      <c r="F544" t="s">
        <v>1452</v>
      </c>
      <c r="G544">
        <v>0.82</v>
      </c>
      <c r="H544" t="s">
        <v>1462</v>
      </c>
      <c r="I544" t="s">
        <v>1463</v>
      </c>
    </row>
    <row r="545" spans="1:9" x14ac:dyDescent="0.35">
      <c r="A545">
        <v>20260201</v>
      </c>
      <c r="B545" t="s">
        <v>1130</v>
      </c>
      <c r="C545">
        <v>3900</v>
      </c>
      <c r="D545" t="s">
        <v>1131</v>
      </c>
      <c r="E545">
        <v>-676000</v>
      </c>
      <c r="F545" t="s">
        <v>1452</v>
      </c>
      <c r="G545">
        <v>0.82</v>
      </c>
      <c r="H545" t="s">
        <v>1462</v>
      </c>
      <c r="I545" t="s">
        <v>1463</v>
      </c>
    </row>
    <row r="546" spans="1:9" x14ac:dyDescent="0.35">
      <c r="A546">
        <v>20260201</v>
      </c>
      <c r="B546" t="s">
        <v>1265</v>
      </c>
      <c r="C546">
        <v>5100</v>
      </c>
      <c r="D546" t="s">
        <v>485</v>
      </c>
      <c r="E546">
        <v>93600</v>
      </c>
      <c r="F546" t="s">
        <v>1452</v>
      </c>
      <c r="G546">
        <v>0.82</v>
      </c>
      <c r="H546" t="s">
        <v>1462</v>
      </c>
      <c r="I546" t="s">
        <v>1463</v>
      </c>
    </row>
    <row r="547" spans="1:9" x14ac:dyDescent="0.35">
      <c r="A547">
        <v>20260201</v>
      </c>
      <c r="B547" t="s">
        <v>1265</v>
      </c>
      <c r="C547">
        <v>3400</v>
      </c>
      <c r="D547" t="s">
        <v>485</v>
      </c>
      <c r="E547">
        <v>-93600</v>
      </c>
      <c r="F547" t="s">
        <v>1452</v>
      </c>
      <c r="G547">
        <v>0.82</v>
      </c>
      <c r="H547" t="s">
        <v>1462</v>
      </c>
      <c r="I547" t="s">
        <v>1463</v>
      </c>
    </row>
    <row r="548" spans="1:9" x14ac:dyDescent="0.35">
      <c r="A548">
        <v>20260201</v>
      </c>
      <c r="B548" t="s">
        <v>1173</v>
      </c>
      <c r="C548">
        <v>5000</v>
      </c>
      <c r="D548" t="s">
        <v>1131</v>
      </c>
      <c r="E548">
        <v>478400</v>
      </c>
      <c r="F548" t="s">
        <v>1452</v>
      </c>
      <c r="G548">
        <v>0.82</v>
      </c>
      <c r="H548" t="s">
        <v>1462</v>
      </c>
      <c r="I548" t="s">
        <v>1463</v>
      </c>
    </row>
    <row r="549" spans="1:9" x14ac:dyDescent="0.35">
      <c r="A549">
        <v>20260201</v>
      </c>
      <c r="B549" t="s">
        <v>1173</v>
      </c>
      <c r="C549">
        <v>5400</v>
      </c>
      <c r="D549" t="s">
        <v>1131</v>
      </c>
      <c r="E549">
        <v>67454.399999999994</v>
      </c>
      <c r="F549" t="s">
        <v>1452</v>
      </c>
      <c r="G549">
        <v>0.82</v>
      </c>
      <c r="H549" t="s">
        <v>1462</v>
      </c>
      <c r="I549" t="s">
        <v>1463</v>
      </c>
    </row>
    <row r="550" spans="1:9" x14ac:dyDescent="0.35">
      <c r="A550">
        <v>20260201</v>
      </c>
      <c r="B550" t="s">
        <v>1173</v>
      </c>
      <c r="C550">
        <v>6300</v>
      </c>
      <c r="D550" t="s">
        <v>1131</v>
      </c>
      <c r="E550">
        <v>88400</v>
      </c>
      <c r="F550" t="s">
        <v>1452</v>
      </c>
      <c r="G550">
        <v>0.82</v>
      </c>
      <c r="H550" t="s">
        <v>1462</v>
      </c>
      <c r="I550" t="s">
        <v>1463</v>
      </c>
    </row>
    <row r="551" spans="1:9" x14ac:dyDescent="0.35">
      <c r="A551">
        <v>20260201</v>
      </c>
      <c r="B551" t="s">
        <v>1173</v>
      </c>
      <c r="C551">
        <v>3900</v>
      </c>
      <c r="D551" t="s">
        <v>1131</v>
      </c>
      <c r="E551">
        <v>-676000</v>
      </c>
      <c r="F551" t="s">
        <v>1452</v>
      </c>
      <c r="G551">
        <v>0.82</v>
      </c>
      <c r="H551" t="s">
        <v>1462</v>
      </c>
      <c r="I551" t="s">
        <v>1463</v>
      </c>
    </row>
    <row r="552" spans="1:9" x14ac:dyDescent="0.35">
      <c r="A552">
        <v>20260201</v>
      </c>
      <c r="B552" t="s">
        <v>1255</v>
      </c>
      <c r="C552">
        <v>5100</v>
      </c>
      <c r="D552" t="s">
        <v>485</v>
      </c>
      <c r="E552">
        <v>93600</v>
      </c>
      <c r="F552" t="s">
        <v>1452</v>
      </c>
      <c r="G552">
        <v>0.82</v>
      </c>
      <c r="H552" t="s">
        <v>1462</v>
      </c>
      <c r="I552" t="s">
        <v>1463</v>
      </c>
    </row>
    <row r="553" spans="1:9" x14ac:dyDescent="0.35">
      <c r="A553">
        <v>20260201</v>
      </c>
      <c r="B553" t="s">
        <v>1255</v>
      </c>
      <c r="C553">
        <v>3400</v>
      </c>
      <c r="D553" t="s">
        <v>485</v>
      </c>
      <c r="E553">
        <v>-93600</v>
      </c>
      <c r="F553" t="s">
        <v>1452</v>
      </c>
      <c r="G553">
        <v>0.82</v>
      </c>
      <c r="H553" t="s">
        <v>1462</v>
      </c>
      <c r="I553" t="s">
        <v>1463</v>
      </c>
    </row>
    <row r="554" spans="1:9" x14ac:dyDescent="0.35">
      <c r="A554">
        <v>20260201</v>
      </c>
      <c r="B554" t="s">
        <v>1155</v>
      </c>
      <c r="C554">
        <v>5000</v>
      </c>
      <c r="D554" t="s">
        <v>1131</v>
      </c>
      <c r="E554">
        <v>478400</v>
      </c>
      <c r="F554" t="s">
        <v>1452</v>
      </c>
      <c r="G554">
        <v>0.82</v>
      </c>
      <c r="H554" t="s">
        <v>1462</v>
      </c>
      <c r="I554" t="s">
        <v>1463</v>
      </c>
    </row>
    <row r="555" spans="1:9" x14ac:dyDescent="0.35">
      <c r="A555">
        <v>20260201</v>
      </c>
      <c r="B555" t="s">
        <v>1155</v>
      </c>
      <c r="C555">
        <v>5400</v>
      </c>
      <c r="D555" t="s">
        <v>1131</v>
      </c>
      <c r="E555">
        <v>67454.399999999994</v>
      </c>
      <c r="F555" t="s">
        <v>1452</v>
      </c>
      <c r="G555">
        <v>0.82</v>
      </c>
      <c r="H555" t="s">
        <v>1462</v>
      </c>
      <c r="I555" t="s">
        <v>1463</v>
      </c>
    </row>
    <row r="556" spans="1:9" x14ac:dyDescent="0.35">
      <c r="A556">
        <v>20260201</v>
      </c>
      <c r="B556" t="s">
        <v>1155</v>
      </c>
      <c r="C556">
        <v>6300</v>
      </c>
      <c r="D556" t="s">
        <v>1131</v>
      </c>
      <c r="E556">
        <v>88400</v>
      </c>
      <c r="F556" t="s">
        <v>1452</v>
      </c>
      <c r="G556">
        <v>0.82</v>
      </c>
      <c r="H556" t="s">
        <v>1462</v>
      </c>
      <c r="I556" t="s">
        <v>1463</v>
      </c>
    </row>
    <row r="557" spans="1:9" x14ac:dyDescent="0.35">
      <c r="A557">
        <v>20260201</v>
      </c>
      <c r="B557" t="s">
        <v>1155</v>
      </c>
      <c r="C557">
        <v>3900</v>
      </c>
      <c r="D557" t="s">
        <v>1131</v>
      </c>
      <c r="E557">
        <v>-676000</v>
      </c>
      <c r="F557" t="s">
        <v>1452</v>
      </c>
      <c r="G557">
        <v>0.82</v>
      </c>
      <c r="H557" t="s">
        <v>1462</v>
      </c>
      <c r="I557" t="s">
        <v>1463</v>
      </c>
    </row>
    <row r="558" spans="1:9" x14ac:dyDescent="0.35">
      <c r="A558">
        <v>20260201</v>
      </c>
      <c r="B558" t="s">
        <v>1138</v>
      </c>
      <c r="C558">
        <v>5000</v>
      </c>
      <c r="D558" t="s">
        <v>1131</v>
      </c>
      <c r="E558">
        <v>478400</v>
      </c>
      <c r="F558" t="s">
        <v>1452</v>
      </c>
      <c r="G558">
        <v>0.82</v>
      </c>
      <c r="H558" t="s">
        <v>1462</v>
      </c>
      <c r="I558" t="s">
        <v>1463</v>
      </c>
    </row>
    <row r="559" spans="1:9" x14ac:dyDescent="0.35">
      <c r="A559">
        <v>20260201</v>
      </c>
      <c r="B559" t="s">
        <v>1138</v>
      </c>
      <c r="C559">
        <v>5400</v>
      </c>
      <c r="D559" t="s">
        <v>1131</v>
      </c>
      <c r="E559">
        <v>67454.399999999994</v>
      </c>
      <c r="F559" t="s">
        <v>1452</v>
      </c>
      <c r="G559">
        <v>0.82</v>
      </c>
      <c r="H559" t="s">
        <v>1462</v>
      </c>
      <c r="I559" t="s">
        <v>1463</v>
      </c>
    </row>
    <row r="560" spans="1:9" x14ac:dyDescent="0.35">
      <c r="A560">
        <v>20260201</v>
      </c>
      <c r="B560" t="s">
        <v>1138</v>
      </c>
      <c r="C560">
        <v>6300</v>
      </c>
      <c r="D560" t="s">
        <v>1131</v>
      </c>
      <c r="E560">
        <v>88400</v>
      </c>
      <c r="F560" t="s">
        <v>1452</v>
      </c>
      <c r="G560">
        <v>0.82</v>
      </c>
      <c r="H560" t="s">
        <v>1462</v>
      </c>
      <c r="I560" t="s">
        <v>1463</v>
      </c>
    </row>
    <row r="561" spans="1:9" x14ac:dyDescent="0.35">
      <c r="A561">
        <v>20260201</v>
      </c>
      <c r="B561" t="s">
        <v>1138</v>
      </c>
      <c r="C561">
        <v>3900</v>
      </c>
      <c r="D561" t="s">
        <v>1131</v>
      </c>
      <c r="E561">
        <v>-676000</v>
      </c>
      <c r="F561" t="s">
        <v>1452</v>
      </c>
      <c r="G561">
        <v>0.82</v>
      </c>
      <c r="H561" t="s">
        <v>1462</v>
      </c>
      <c r="I561" t="s">
        <v>1463</v>
      </c>
    </row>
    <row r="562" spans="1:9" x14ac:dyDescent="0.35">
      <c r="A562">
        <v>20260301</v>
      </c>
      <c r="B562" t="s">
        <v>1150</v>
      </c>
      <c r="C562">
        <v>5000</v>
      </c>
      <c r="D562" t="s">
        <v>1131</v>
      </c>
      <c r="E562">
        <v>478400</v>
      </c>
      <c r="F562" t="s">
        <v>1452</v>
      </c>
      <c r="G562">
        <v>0.82</v>
      </c>
      <c r="H562" t="s">
        <v>1462</v>
      </c>
      <c r="I562" t="s">
        <v>1463</v>
      </c>
    </row>
    <row r="563" spans="1:9" x14ac:dyDescent="0.35">
      <c r="A563">
        <v>20260301</v>
      </c>
      <c r="B563" t="s">
        <v>1150</v>
      </c>
      <c r="C563">
        <v>5400</v>
      </c>
      <c r="D563" t="s">
        <v>1131</v>
      </c>
      <c r="E563">
        <v>67454.399999999994</v>
      </c>
      <c r="F563" t="s">
        <v>1452</v>
      </c>
      <c r="G563">
        <v>0.82</v>
      </c>
      <c r="H563" t="s">
        <v>1462</v>
      </c>
      <c r="I563" t="s">
        <v>1463</v>
      </c>
    </row>
    <row r="564" spans="1:9" x14ac:dyDescent="0.35">
      <c r="A564">
        <v>20260301</v>
      </c>
      <c r="B564" t="s">
        <v>1150</v>
      </c>
      <c r="C564">
        <v>6300</v>
      </c>
      <c r="D564" t="s">
        <v>1131</v>
      </c>
      <c r="E564">
        <v>88400</v>
      </c>
      <c r="F564" t="s">
        <v>1452</v>
      </c>
      <c r="G564">
        <v>0.82</v>
      </c>
      <c r="H564" t="s">
        <v>1462</v>
      </c>
      <c r="I564" t="s">
        <v>1463</v>
      </c>
    </row>
    <row r="565" spans="1:9" x14ac:dyDescent="0.35">
      <c r="A565">
        <v>20260301</v>
      </c>
      <c r="B565" t="s">
        <v>1150</v>
      </c>
      <c r="C565">
        <v>3900</v>
      </c>
      <c r="D565" t="s">
        <v>1131</v>
      </c>
      <c r="E565">
        <v>-676000</v>
      </c>
      <c r="F565" t="s">
        <v>1452</v>
      </c>
      <c r="G565">
        <v>0.82</v>
      </c>
      <c r="H565" t="s">
        <v>1462</v>
      </c>
      <c r="I565" t="s">
        <v>1463</v>
      </c>
    </row>
    <row r="566" spans="1:9" x14ac:dyDescent="0.35">
      <c r="A566">
        <v>20260301</v>
      </c>
      <c r="B566" t="s">
        <v>1272</v>
      </c>
      <c r="C566">
        <v>5100</v>
      </c>
      <c r="D566" t="s">
        <v>485</v>
      </c>
      <c r="E566">
        <v>93600</v>
      </c>
      <c r="F566" t="s">
        <v>1452</v>
      </c>
      <c r="G566">
        <v>0.82</v>
      </c>
      <c r="H566" t="s">
        <v>1462</v>
      </c>
      <c r="I566" t="s">
        <v>1463</v>
      </c>
    </row>
    <row r="567" spans="1:9" x14ac:dyDescent="0.35">
      <c r="A567">
        <v>20260301</v>
      </c>
      <c r="B567" t="s">
        <v>1272</v>
      </c>
      <c r="C567">
        <v>3400</v>
      </c>
      <c r="D567" t="s">
        <v>485</v>
      </c>
      <c r="E567">
        <v>-93600</v>
      </c>
      <c r="F567" t="s">
        <v>1452</v>
      </c>
      <c r="G567">
        <v>0.82</v>
      </c>
      <c r="H567" t="s">
        <v>1462</v>
      </c>
      <c r="I567" t="s">
        <v>1463</v>
      </c>
    </row>
    <row r="568" spans="1:9" x14ac:dyDescent="0.35">
      <c r="A568">
        <v>20260301</v>
      </c>
      <c r="B568" t="s">
        <v>1158</v>
      </c>
      <c r="C568">
        <v>5000</v>
      </c>
      <c r="D568" t="s">
        <v>1131</v>
      </c>
      <c r="E568">
        <v>478400</v>
      </c>
      <c r="F568" t="s">
        <v>1452</v>
      </c>
      <c r="G568">
        <v>0.82</v>
      </c>
      <c r="H568" t="s">
        <v>1462</v>
      </c>
      <c r="I568" t="s">
        <v>1463</v>
      </c>
    </row>
    <row r="569" spans="1:9" x14ac:dyDescent="0.35">
      <c r="A569">
        <v>20260301</v>
      </c>
      <c r="B569" t="s">
        <v>1158</v>
      </c>
      <c r="C569">
        <v>5400</v>
      </c>
      <c r="D569" t="s">
        <v>1131</v>
      </c>
      <c r="E569">
        <v>67454.399999999994</v>
      </c>
      <c r="F569" t="s">
        <v>1452</v>
      </c>
      <c r="G569">
        <v>0.82</v>
      </c>
      <c r="H569" t="s">
        <v>1462</v>
      </c>
      <c r="I569" t="s">
        <v>1463</v>
      </c>
    </row>
    <row r="570" spans="1:9" x14ac:dyDescent="0.35">
      <c r="A570">
        <v>20260301</v>
      </c>
      <c r="B570" t="s">
        <v>1158</v>
      </c>
      <c r="C570">
        <v>6300</v>
      </c>
      <c r="D570" t="s">
        <v>1131</v>
      </c>
      <c r="E570">
        <v>88400</v>
      </c>
      <c r="F570" t="s">
        <v>1452</v>
      </c>
      <c r="G570">
        <v>0.82</v>
      </c>
      <c r="H570" t="s">
        <v>1462</v>
      </c>
      <c r="I570" t="s">
        <v>1463</v>
      </c>
    </row>
    <row r="571" spans="1:9" x14ac:dyDescent="0.35">
      <c r="A571">
        <v>20260301</v>
      </c>
      <c r="B571" t="s">
        <v>1158</v>
      </c>
      <c r="C571">
        <v>3900</v>
      </c>
      <c r="D571" t="s">
        <v>1131</v>
      </c>
      <c r="E571">
        <v>-676000</v>
      </c>
      <c r="F571" t="s">
        <v>1452</v>
      </c>
      <c r="G571">
        <v>0.82</v>
      </c>
      <c r="H571" t="s">
        <v>1462</v>
      </c>
      <c r="I571" t="s">
        <v>1463</v>
      </c>
    </row>
    <row r="572" spans="1:9" x14ac:dyDescent="0.35">
      <c r="A572">
        <v>20260301</v>
      </c>
      <c r="B572" t="s">
        <v>1243</v>
      </c>
      <c r="C572">
        <v>5100</v>
      </c>
      <c r="D572" t="s">
        <v>485</v>
      </c>
      <c r="E572">
        <v>93600</v>
      </c>
      <c r="F572" t="s">
        <v>1452</v>
      </c>
      <c r="G572">
        <v>0.82</v>
      </c>
      <c r="H572" t="s">
        <v>1462</v>
      </c>
      <c r="I572" t="s">
        <v>1463</v>
      </c>
    </row>
    <row r="573" spans="1:9" x14ac:dyDescent="0.35">
      <c r="A573">
        <v>20260301</v>
      </c>
      <c r="B573" t="s">
        <v>1243</v>
      </c>
      <c r="C573">
        <v>3400</v>
      </c>
      <c r="D573" t="s">
        <v>485</v>
      </c>
      <c r="E573">
        <v>-93600</v>
      </c>
      <c r="F573" t="s">
        <v>1452</v>
      </c>
      <c r="G573">
        <v>0.82</v>
      </c>
      <c r="H573" t="s">
        <v>1462</v>
      </c>
      <c r="I573" t="s">
        <v>1463</v>
      </c>
    </row>
    <row r="574" spans="1:9" x14ac:dyDescent="0.35">
      <c r="A574">
        <v>20260301</v>
      </c>
      <c r="B574" t="s">
        <v>1205</v>
      </c>
      <c r="C574">
        <v>5000</v>
      </c>
      <c r="D574" t="s">
        <v>1131</v>
      </c>
      <c r="E574">
        <v>478400</v>
      </c>
      <c r="F574" t="s">
        <v>1452</v>
      </c>
      <c r="G574">
        <v>0.82</v>
      </c>
      <c r="H574" t="s">
        <v>1462</v>
      </c>
      <c r="I574" t="s">
        <v>1463</v>
      </c>
    </row>
    <row r="575" spans="1:9" x14ac:dyDescent="0.35">
      <c r="A575">
        <v>20260301</v>
      </c>
      <c r="B575" t="s">
        <v>1205</v>
      </c>
      <c r="C575">
        <v>5400</v>
      </c>
      <c r="D575" t="s">
        <v>1131</v>
      </c>
      <c r="E575">
        <v>67454.399999999994</v>
      </c>
      <c r="F575" t="s">
        <v>1452</v>
      </c>
      <c r="G575">
        <v>0.82</v>
      </c>
      <c r="H575" t="s">
        <v>1462</v>
      </c>
      <c r="I575" t="s">
        <v>1463</v>
      </c>
    </row>
    <row r="576" spans="1:9" x14ac:dyDescent="0.35">
      <c r="A576">
        <v>20260301</v>
      </c>
      <c r="B576" t="s">
        <v>1205</v>
      </c>
      <c r="C576">
        <v>6300</v>
      </c>
      <c r="D576" t="s">
        <v>1131</v>
      </c>
      <c r="E576">
        <v>88400</v>
      </c>
      <c r="F576" t="s">
        <v>1452</v>
      </c>
      <c r="G576">
        <v>0.82</v>
      </c>
      <c r="H576" t="s">
        <v>1462</v>
      </c>
      <c r="I576" t="s">
        <v>1463</v>
      </c>
    </row>
    <row r="577" spans="1:9" x14ac:dyDescent="0.35">
      <c r="A577">
        <v>20260301</v>
      </c>
      <c r="B577" t="s">
        <v>1205</v>
      </c>
      <c r="C577">
        <v>3900</v>
      </c>
      <c r="D577" t="s">
        <v>1131</v>
      </c>
      <c r="E577">
        <v>-676000</v>
      </c>
      <c r="F577" t="s">
        <v>1452</v>
      </c>
      <c r="G577">
        <v>0.82</v>
      </c>
      <c r="H577" t="s">
        <v>1462</v>
      </c>
      <c r="I577" t="s">
        <v>1463</v>
      </c>
    </row>
    <row r="578" spans="1:9" x14ac:dyDescent="0.35">
      <c r="A578">
        <v>20260301</v>
      </c>
      <c r="B578" t="s">
        <v>1257</v>
      </c>
      <c r="C578">
        <v>5100</v>
      </c>
      <c r="D578" t="s">
        <v>485</v>
      </c>
      <c r="E578">
        <v>93600</v>
      </c>
      <c r="F578" t="s">
        <v>1452</v>
      </c>
      <c r="G578">
        <v>0.82</v>
      </c>
      <c r="H578" t="s">
        <v>1462</v>
      </c>
      <c r="I578" t="s">
        <v>1463</v>
      </c>
    </row>
    <row r="579" spans="1:9" x14ac:dyDescent="0.35">
      <c r="A579">
        <v>20260301</v>
      </c>
      <c r="B579" t="s">
        <v>1257</v>
      </c>
      <c r="C579">
        <v>3400</v>
      </c>
      <c r="D579" t="s">
        <v>485</v>
      </c>
      <c r="E579">
        <v>-93600</v>
      </c>
      <c r="F579" t="s">
        <v>1452</v>
      </c>
      <c r="G579">
        <v>0.82</v>
      </c>
      <c r="H579" t="s">
        <v>1462</v>
      </c>
      <c r="I579" t="s">
        <v>1463</v>
      </c>
    </row>
    <row r="580" spans="1:9" x14ac:dyDescent="0.35">
      <c r="A580">
        <v>20260301</v>
      </c>
      <c r="B580" t="s">
        <v>1164</v>
      </c>
      <c r="C580">
        <v>5000</v>
      </c>
      <c r="D580" t="s">
        <v>1131</v>
      </c>
      <c r="E580">
        <v>478400</v>
      </c>
      <c r="F580" t="s">
        <v>1452</v>
      </c>
      <c r="G580">
        <v>0.82</v>
      </c>
      <c r="H580" t="s">
        <v>1462</v>
      </c>
      <c r="I580" t="s">
        <v>1463</v>
      </c>
    </row>
    <row r="581" spans="1:9" x14ac:dyDescent="0.35">
      <c r="A581">
        <v>20260301</v>
      </c>
      <c r="B581" t="s">
        <v>1164</v>
      </c>
      <c r="C581">
        <v>5400</v>
      </c>
      <c r="D581" t="s">
        <v>1131</v>
      </c>
      <c r="E581">
        <v>67454.399999999994</v>
      </c>
      <c r="F581" t="s">
        <v>1452</v>
      </c>
      <c r="G581">
        <v>0.82</v>
      </c>
      <c r="H581" t="s">
        <v>1462</v>
      </c>
      <c r="I581" t="s">
        <v>1463</v>
      </c>
    </row>
    <row r="582" spans="1:9" x14ac:dyDescent="0.35">
      <c r="A582">
        <v>20260301</v>
      </c>
      <c r="B582" t="s">
        <v>1164</v>
      </c>
      <c r="C582">
        <v>6300</v>
      </c>
      <c r="D582" t="s">
        <v>1131</v>
      </c>
      <c r="E582">
        <v>88400</v>
      </c>
      <c r="F582" t="s">
        <v>1452</v>
      </c>
      <c r="G582">
        <v>0.82</v>
      </c>
      <c r="H582" t="s">
        <v>1462</v>
      </c>
      <c r="I582" t="s">
        <v>1463</v>
      </c>
    </row>
    <row r="583" spans="1:9" x14ac:dyDescent="0.35">
      <c r="A583">
        <v>20260301</v>
      </c>
      <c r="B583" t="s">
        <v>1164</v>
      </c>
      <c r="C583">
        <v>3900</v>
      </c>
      <c r="D583" t="s">
        <v>1131</v>
      </c>
      <c r="E583">
        <v>-676000</v>
      </c>
      <c r="F583" t="s">
        <v>1452</v>
      </c>
      <c r="G583">
        <v>0.82</v>
      </c>
      <c r="H583" t="s">
        <v>1462</v>
      </c>
      <c r="I583" t="s">
        <v>1463</v>
      </c>
    </row>
    <row r="584" spans="1:9" x14ac:dyDescent="0.35">
      <c r="A584">
        <v>20260301</v>
      </c>
      <c r="B584" t="s">
        <v>1249</v>
      </c>
      <c r="C584">
        <v>5100</v>
      </c>
      <c r="D584" t="s">
        <v>485</v>
      </c>
      <c r="E584">
        <v>93600</v>
      </c>
      <c r="F584" t="s">
        <v>1452</v>
      </c>
      <c r="G584">
        <v>0.82</v>
      </c>
      <c r="H584" t="s">
        <v>1462</v>
      </c>
      <c r="I584" t="s">
        <v>1463</v>
      </c>
    </row>
    <row r="585" spans="1:9" x14ac:dyDescent="0.35">
      <c r="A585">
        <v>20260301</v>
      </c>
      <c r="B585" t="s">
        <v>1249</v>
      </c>
      <c r="C585">
        <v>3400</v>
      </c>
      <c r="D585" t="s">
        <v>485</v>
      </c>
      <c r="E585">
        <v>-93600</v>
      </c>
      <c r="F585" t="s">
        <v>1452</v>
      </c>
      <c r="G585">
        <v>0.82</v>
      </c>
      <c r="H585" t="s">
        <v>1462</v>
      </c>
      <c r="I585" t="s">
        <v>1463</v>
      </c>
    </row>
    <row r="586" spans="1:9" x14ac:dyDescent="0.35">
      <c r="A586">
        <v>20260301</v>
      </c>
      <c r="B586" t="s">
        <v>1169</v>
      </c>
      <c r="C586">
        <v>5000</v>
      </c>
      <c r="D586" t="s">
        <v>1131</v>
      </c>
      <c r="E586">
        <v>478400</v>
      </c>
      <c r="F586" t="s">
        <v>1452</v>
      </c>
      <c r="G586">
        <v>0.82</v>
      </c>
      <c r="H586" t="s">
        <v>1462</v>
      </c>
      <c r="I586" t="s">
        <v>1463</v>
      </c>
    </row>
    <row r="587" spans="1:9" x14ac:dyDescent="0.35">
      <c r="A587">
        <v>20260301</v>
      </c>
      <c r="B587" t="s">
        <v>1169</v>
      </c>
      <c r="C587">
        <v>5400</v>
      </c>
      <c r="D587" t="s">
        <v>1131</v>
      </c>
      <c r="E587">
        <v>67454.399999999994</v>
      </c>
      <c r="F587" t="s">
        <v>1452</v>
      </c>
      <c r="G587">
        <v>0.82</v>
      </c>
      <c r="H587" t="s">
        <v>1462</v>
      </c>
      <c r="I587" t="s">
        <v>1463</v>
      </c>
    </row>
    <row r="588" spans="1:9" x14ac:dyDescent="0.35">
      <c r="A588">
        <v>20260301</v>
      </c>
      <c r="B588" t="s">
        <v>1169</v>
      </c>
      <c r="C588">
        <v>6300</v>
      </c>
      <c r="D588" t="s">
        <v>1131</v>
      </c>
      <c r="E588">
        <v>88400</v>
      </c>
      <c r="F588" t="s">
        <v>1452</v>
      </c>
      <c r="G588">
        <v>0.82</v>
      </c>
      <c r="H588" t="s">
        <v>1462</v>
      </c>
      <c r="I588" t="s">
        <v>1463</v>
      </c>
    </row>
    <row r="589" spans="1:9" x14ac:dyDescent="0.35">
      <c r="A589">
        <v>20260301</v>
      </c>
      <c r="B589" t="s">
        <v>1169</v>
      </c>
      <c r="C589">
        <v>3900</v>
      </c>
      <c r="D589" t="s">
        <v>1131</v>
      </c>
      <c r="E589">
        <v>-676000</v>
      </c>
      <c r="F589" t="s">
        <v>1452</v>
      </c>
      <c r="G589">
        <v>0.82</v>
      </c>
      <c r="H589" t="s">
        <v>1462</v>
      </c>
      <c r="I589" t="s">
        <v>1463</v>
      </c>
    </row>
    <row r="590" spans="1:9" x14ac:dyDescent="0.35">
      <c r="A590">
        <v>20260301</v>
      </c>
      <c r="B590" t="s">
        <v>1260</v>
      </c>
      <c r="C590">
        <v>5100</v>
      </c>
      <c r="D590" t="s">
        <v>485</v>
      </c>
      <c r="E590">
        <v>93600</v>
      </c>
      <c r="F590" t="s">
        <v>1452</v>
      </c>
      <c r="G590">
        <v>0.82</v>
      </c>
      <c r="H590" t="s">
        <v>1462</v>
      </c>
      <c r="I590" t="s">
        <v>1463</v>
      </c>
    </row>
    <row r="591" spans="1:9" x14ac:dyDescent="0.35">
      <c r="A591">
        <v>20260301</v>
      </c>
      <c r="B591" t="s">
        <v>1260</v>
      </c>
      <c r="C591">
        <v>3400</v>
      </c>
      <c r="D591" t="s">
        <v>485</v>
      </c>
      <c r="E591">
        <v>-93600</v>
      </c>
      <c r="F591" t="s">
        <v>1452</v>
      </c>
      <c r="G591">
        <v>0.82</v>
      </c>
      <c r="H591" t="s">
        <v>1462</v>
      </c>
      <c r="I591" t="s">
        <v>1463</v>
      </c>
    </row>
    <row r="592" spans="1:9" x14ac:dyDescent="0.35">
      <c r="A592">
        <v>20260301</v>
      </c>
      <c r="B592" t="s">
        <v>1175</v>
      </c>
      <c r="C592">
        <v>5000</v>
      </c>
      <c r="D592" t="s">
        <v>1131</v>
      </c>
      <c r="E592">
        <v>478400</v>
      </c>
      <c r="F592" t="s">
        <v>1452</v>
      </c>
      <c r="G592">
        <v>0.82</v>
      </c>
      <c r="H592" t="s">
        <v>1462</v>
      </c>
      <c r="I592" t="s">
        <v>1463</v>
      </c>
    </row>
    <row r="593" spans="1:9" x14ac:dyDescent="0.35">
      <c r="A593">
        <v>20260301</v>
      </c>
      <c r="B593" t="s">
        <v>1175</v>
      </c>
      <c r="C593">
        <v>5400</v>
      </c>
      <c r="D593" t="s">
        <v>1131</v>
      </c>
      <c r="E593">
        <v>67454.399999999994</v>
      </c>
      <c r="F593" t="s">
        <v>1452</v>
      </c>
      <c r="G593">
        <v>0.82</v>
      </c>
      <c r="H593" t="s">
        <v>1462</v>
      </c>
      <c r="I593" t="s">
        <v>1463</v>
      </c>
    </row>
    <row r="594" spans="1:9" x14ac:dyDescent="0.35">
      <c r="A594">
        <v>20260301</v>
      </c>
      <c r="B594" t="s">
        <v>1175</v>
      </c>
      <c r="C594">
        <v>6300</v>
      </c>
      <c r="D594" t="s">
        <v>1131</v>
      </c>
      <c r="E594">
        <v>88400</v>
      </c>
      <c r="F594" t="s">
        <v>1452</v>
      </c>
      <c r="G594">
        <v>0.82</v>
      </c>
      <c r="H594" t="s">
        <v>1462</v>
      </c>
      <c r="I594" t="s">
        <v>1463</v>
      </c>
    </row>
    <row r="595" spans="1:9" x14ac:dyDescent="0.35">
      <c r="A595">
        <v>20260301</v>
      </c>
      <c r="B595" t="s">
        <v>1175</v>
      </c>
      <c r="C595">
        <v>3900</v>
      </c>
      <c r="D595" t="s">
        <v>1131</v>
      </c>
      <c r="E595">
        <v>-676000</v>
      </c>
      <c r="F595" t="s">
        <v>1452</v>
      </c>
      <c r="G595">
        <v>0.82</v>
      </c>
      <c r="H595" t="s">
        <v>1462</v>
      </c>
      <c r="I595" t="s">
        <v>1463</v>
      </c>
    </row>
    <row r="596" spans="1:9" x14ac:dyDescent="0.35">
      <c r="A596">
        <v>20260301</v>
      </c>
      <c r="B596" t="s">
        <v>1247</v>
      </c>
      <c r="C596">
        <v>5100</v>
      </c>
      <c r="D596" t="s">
        <v>485</v>
      </c>
      <c r="E596">
        <v>93600</v>
      </c>
      <c r="F596" t="s">
        <v>1452</v>
      </c>
      <c r="G596">
        <v>0.82</v>
      </c>
      <c r="H596" t="s">
        <v>1462</v>
      </c>
      <c r="I596" t="s">
        <v>1463</v>
      </c>
    </row>
    <row r="597" spans="1:9" x14ac:dyDescent="0.35">
      <c r="A597">
        <v>20260301</v>
      </c>
      <c r="B597" t="s">
        <v>1247</v>
      </c>
      <c r="C597">
        <v>3400</v>
      </c>
      <c r="D597" t="s">
        <v>485</v>
      </c>
      <c r="E597">
        <v>-93600</v>
      </c>
      <c r="F597" t="s">
        <v>1452</v>
      </c>
      <c r="G597">
        <v>0.82</v>
      </c>
      <c r="H597" t="s">
        <v>1462</v>
      </c>
      <c r="I597" t="s">
        <v>1463</v>
      </c>
    </row>
    <row r="598" spans="1:9" x14ac:dyDescent="0.35">
      <c r="A598">
        <v>20260301</v>
      </c>
      <c r="B598" t="s">
        <v>1130</v>
      </c>
      <c r="C598">
        <v>5000</v>
      </c>
      <c r="D598" t="s">
        <v>1131</v>
      </c>
      <c r="E598">
        <v>478400</v>
      </c>
      <c r="F598" t="s">
        <v>1452</v>
      </c>
      <c r="G598">
        <v>0.82</v>
      </c>
      <c r="H598" t="s">
        <v>1462</v>
      </c>
      <c r="I598" t="s">
        <v>1463</v>
      </c>
    </row>
    <row r="599" spans="1:9" x14ac:dyDescent="0.35">
      <c r="A599">
        <v>20260301</v>
      </c>
      <c r="B599" t="s">
        <v>1130</v>
      </c>
      <c r="C599">
        <v>5400</v>
      </c>
      <c r="D599" t="s">
        <v>1131</v>
      </c>
      <c r="E599">
        <v>67454.399999999994</v>
      </c>
      <c r="F599" t="s">
        <v>1452</v>
      </c>
      <c r="G599">
        <v>0.82</v>
      </c>
      <c r="H599" t="s">
        <v>1462</v>
      </c>
      <c r="I599" t="s">
        <v>1463</v>
      </c>
    </row>
    <row r="600" spans="1:9" x14ac:dyDescent="0.35">
      <c r="A600">
        <v>20260301</v>
      </c>
      <c r="B600" t="s">
        <v>1130</v>
      </c>
      <c r="C600">
        <v>6300</v>
      </c>
      <c r="D600" t="s">
        <v>1131</v>
      </c>
      <c r="E600">
        <v>88400</v>
      </c>
      <c r="F600" t="s">
        <v>1452</v>
      </c>
      <c r="G600">
        <v>0.82</v>
      </c>
      <c r="H600" t="s">
        <v>1462</v>
      </c>
      <c r="I600" t="s">
        <v>1463</v>
      </c>
    </row>
    <row r="601" spans="1:9" x14ac:dyDescent="0.35">
      <c r="A601">
        <v>20260301</v>
      </c>
      <c r="B601" t="s">
        <v>1130</v>
      </c>
      <c r="C601">
        <v>3900</v>
      </c>
      <c r="D601" t="s">
        <v>1131</v>
      </c>
      <c r="E601">
        <v>-676000</v>
      </c>
      <c r="F601" t="s">
        <v>1452</v>
      </c>
      <c r="G601">
        <v>0.82</v>
      </c>
      <c r="H601" t="s">
        <v>1462</v>
      </c>
      <c r="I601" t="s">
        <v>1463</v>
      </c>
    </row>
    <row r="602" spans="1:9" x14ac:dyDescent="0.35">
      <c r="A602">
        <v>20260301</v>
      </c>
      <c r="B602" t="s">
        <v>1265</v>
      </c>
      <c r="C602">
        <v>5100</v>
      </c>
      <c r="D602" t="s">
        <v>485</v>
      </c>
      <c r="E602">
        <v>93600</v>
      </c>
      <c r="F602" t="s">
        <v>1452</v>
      </c>
      <c r="G602">
        <v>0.82</v>
      </c>
      <c r="H602" t="s">
        <v>1462</v>
      </c>
      <c r="I602" t="s">
        <v>1463</v>
      </c>
    </row>
    <row r="603" spans="1:9" x14ac:dyDescent="0.35">
      <c r="A603">
        <v>20260301</v>
      </c>
      <c r="B603" t="s">
        <v>1265</v>
      </c>
      <c r="C603">
        <v>3400</v>
      </c>
      <c r="D603" t="s">
        <v>485</v>
      </c>
      <c r="E603">
        <v>-93600</v>
      </c>
      <c r="F603" t="s">
        <v>1452</v>
      </c>
      <c r="G603">
        <v>0.82</v>
      </c>
      <c r="H603" t="s">
        <v>1462</v>
      </c>
      <c r="I603" t="s">
        <v>1463</v>
      </c>
    </row>
    <row r="604" spans="1:9" x14ac:dyDescent="0.35">
      <c r="A604">
        <v>20260301</v>
      </c>
      <c r="B604" t="s">
        <v>1173</v>
      </c>
      <c r="C604">
        <v>5000</v>
      </c>
      <c r="D604" t="s">
        <v>1131</v>
      </c>
      <c r="E604">
        <v>478400</v>
      </c>
      <c r="F604" t="s">
        <v>1452</v>
      </c>
      <c r="G604">
        <v>0.82</v>
      </c>
      <c r="H604" t="s">
        <v>1462</v>
      </c>
      <c r="I604" t="s">
        <v>1463</v>
      </c>
    </row>
    <row r="605" spans="1:9" x14ac:dyDescent="0.35">
      <c r="A605">
        <v>20260301</v>
      </c>
      <c r="B605" t="s">
        <v>1173</v>
      </c>
      <c r="C605">
        <v>5400</v>
      </c>
      <c r="D605" t="s">
        <v>1131</v>
      </c>
      <c r="E605">
        <v>67454.399999999994</v>
      </c>
      <c r="F605" t="s">
        <v>1452</v>
      </c>
      <c r="G605">
        <v>0.82</v>
      </c>
      <c r="H605" t="s">
        <v>1462</v>
      </c>
      <c r="I605" t="s">
        <v>1463</v>
      </c>
    </row>
    <row r="606" spans="1:9" x14ac:dyDescent="0.35">
      <c r="A606">
        <v>20260301</v>
      </c>
      <c r="B606" t="s">
        <v>1173</v>
      </c>
      <c r="C606">
        <v>6300</v>
      </c>
      <c r="D606" t="s">
        <v>1131</v>
      </c>
      <c r="E606">
        <v>88400</v>
      </c>
      <c r="F606" t="s">
        <v>1452</v>
      </c>
      <c r="G606">
        <v>0.82</v>
      </c>
      <c r="H606" t="s">
        <v>1462</v>
      </c>
      <c r="I606" t="s">
        <v>1463</v>
      </c>
    </row>
    <row r="607" spans="1:9" x14ac:dyDescent="0.35">
      <c r="A607">
        <v>20260301</v>
      </c>
      <c r="B607" t="s">
        <v>1173</v>
      </c>
      <c r="C607">
        <v>3900</v>
      </c>
      <c r="D607" t="s">
        <v>1131</v>
      </c>
      <c r="E607">
        <v>-676000</v>
      </c>
      <c r="F607" t="s">
        <v>1452</v>
      </c>
      <c r="G607">
        <v>0.82</v>
      </c>
      <c r="H607" t="s">
        <v>1462</v>
      </c>
      <c r="I607" t="s">
        <v>1463</v>
      </c>
    </row>
    <row r="608" spans="1:9" x14ac:dyDescent="0.35">
      <c r="A608">
        <v>20260301</v>
      </c>
      <c r="B608" t="s">
        <v>1255</v>
      </c>
      <c r="C608">
        <v>5100</v>
      </c>
      <c r="D608" t="s">
        <v>485</v>
      </c>
      <c r="E608">
        <v>93600</v>
      </c>
      <c r="F608" t="s">
        <v>1452</v>
      </c>
      <c r="G608">
        <v>0.82</v>
      </c>
      <c r="H608" t="s">
        <v>1462</v>
      </c>
      <c r="I608" t="s">
        <v>1463</v>
      </c>
    </row>
    <row r="609" spans="1:9" x14ac:dyDescent="0.35">
      <c r="A609">
        <v>20260301</v>
      </c>
      <c r="B609" t="s">
        <v>1255</v>
      </c>
      <c r="C609">
        <v>3400</v>
      </c>
      <c r="D609" t="s">
        <v>485</v>
      </c>
      <c r="E609">
        <v>-93600</v>
      </c>
      <c r="F609" t="s">
        <v>1452</v>
      </c>
      <c r="G609">
        <v>0.82</v>
      </c>
      <c r="H609" t="s">
        <v>1462</v>
      </c>
      <c r="I609" t="s">
        <v>1463</v>
      </c>
    </row>
    <row r="610" spans="1:9" x14ac:dyDescent="0.35">
      <c r="A610">
        <v>20260301</v>
      </c>
      <c r="B610" t="s">
        <v>1155</v>
      </c>
      <c r="C610">
        <v>5000</v>
      </c>
      <c r="D610" t="s">
        <v>1131</v>
      </c>
      <c r="E610">
        <v>478400</v>
      </c>
      <c r="F610" t="s">
        <v>1452</v>
      </c>
      <c r="G610">
        <v>0.82</v>
      </c>
      <c r="H610" t="s">
        <v>1462</v>
      </c>
      <c r="I610" t="s">
        <v>1463</v>
      </c>
    </row>
    <row r="611" spans="1:9" x14ac:dyDescent="0.35">
      <c r="A611">
        <v>20260301</v>
      </c>
      <c r="B611" t="s">
        <v>1155</v>
      </c>
      <c r="C611">
        <v>5400</v>
      </c>
      <c r="D611" t="s">
        <v>1131</v>
      </c>
      <c r="E611">
        <v>67454.399999999994</v>
      </c>
      <c r="F611" t="s">
        <v>1452</v>
      </c>
      <c r="G611">
        <v>0.82</v>
      </c>
      <c r="H611" t="s">
        <v>1462</v>
      </c>
      <c r="I611" t="s">
        <v>1463</v>
      </c>
    </row>
    <row r="612" spans="1:9" x14ac:dyDescent="0.35">
      <c r="A612">
        <v>20260301</v>
      </c>
      <c r="B612" t="s">
        <v>1155</v>
      </c>
      <c r="C612">
        <v>6300</v>
      </c>
      <c r="D612" t="s">
        <v>1131</v>
      </c>
      <c r="E612">
        <v>88400</v>
      </c>
      <c r="F612" t="s">
        <v>1452</v>
      </c>
      <c r="G612">
        <v>0.82</v>
      </c>
      <c r="H612" t="s">
        <v>1462</v>
      </c>
      <c r="I612" t="s">
        <v>1463</v>
      </c>
    </row>
    <row r="613" spans="1:9" x14ac:dyDescent="0.35">
      <c r="A613">
        <v>20260301</v>
      </c>
      <c r="B613" t="s">
        <v>1155</v>
      </c>
      <c r="C613">
        <v>3900</v>
      </c>
      <c r="D613" t="s">
        <v>1131</v>
      </c>
      <c r="E613">
        <v>-676000</v>
      </c>
      <c r="F613" t="s">
        <v>1452</v>
      </c>
      <c r="G613">
        <v>0.82</v>
      </c>
      <c r="H613" t="s">
        <v>1462</v>
      </c>
      <c r="I613" t="s">
        <v>1463</v>
      </c>
    </row>
    <row r="614" spans="1:9" x14ac:dyDescent="0.35">
      <c r="A614">
        <v>20260301</v>
      </c>
      <c r="B614" t="s">
        <v>1138</v>
      </c>
      <c r="C614">
        <v>5000</v>
      </c>
      <c r="D614" t="s">
        <v>1131</v>
      </c>
      <c r="E614">
        <v>478400</v>
      </c>
      <c r="F614" t="s">
        <v>1452</v>
      </c>
      <c r="G614">
        <v>0.82</v>
      </c>
      <c r="H614" t="s">
        <v>1462</v>
      </c>
      <c r="I614" t="s">
        <v>1463</v>
      </c>
    </row>
    <row r="615" spans="1:9" x14ac:dyDescent="0.35">
      <c r="A615">
        <v>20260301</v>
      </c>
      <c r="B615" t="s">
        <v>1138</v>
      </c>
      <c r="C615">
        <v>5400</v>
      </c>
      <c r="D615" t="s">
        <v>1131</v>
      </c>
      <c r="E615">
        <v>67454.399999999994</v>
      </c>
      <c r="F615" t="s">
        <v>1452</v>
      </c>
      <c r="G615">
        <v>0.82</v>
      </c>
      <c r="H615" t="s">
        <v>1462</v>
      </c>
      <c r="I615" t="s">
        <v>1463</v>
      </c>
    </row>
    <row r="616" spans="1:9" x14ac:dyDescent="0.35">
      <c r="A616">
        <v>20260301</v>
      </c>
      <c r="B616" t="s">
        <v>1138</v>
      </c>
      <c r="C616">
        <v>6300</v>
      </c>
      <c r="D616" t="s">
        <v>1131</v>
      </c>
      <c r="E616">
        <v>88400</v>
      </c>
      <c r="F616" t="s">
        <v>1452</v>
      </c>
      <c r="G616">
        <v>0.82</v>
      </c>
      <c r="H616" t="s">
        <v>1462</v>
      </c>
      <c r="I616" t="s">
        <v>1463</v>
      </c>
    </row>
    <row r="617" spans="1:9" x14ac:dyDescent="0.35">
      <c r="A617">
        <v>20260301</v>
      </c>
      <c r="B617" t="s">
        <v>1138</v>
      </c>
      <c r="C617">
        <v>3900</v>
      </c>
      <c r="D617" t="s">
        <v>1131</v>
      </c>
      <c r="E617">
        <v>-676000</v>
      </c>
      <c r="F617" t="s">
        <v>1452</v>
      </c>
      <c r="G617">
        <v>0.82</v>
      </c>
      <c r="H617" t="s">
        <v>1462</v>
      </c>
      <c r="I617" t="s">
        <v>1463</v>
      </c>
    </row>
    <row r="618" spans="1:9" x14ac:dyDescent="0.35">
      <c r="A618">
        <v>20260401</v>
      </c>
      <c r="B618" t="s">
        <v>1150</v>
      </c>
      <c r="C618">
        <v>5000</v>
      </c>
      <c r="D618" t="s">
        <v>1131</v>
      </c>
      <c r="E618">
        <v>478400</v>
      </c>
      <c r="F618" t="s">
        <v>1452</v>
      </c>
      <c r="G618">
        <v>0.82</v>
      </c>
      <c r="H618" t="s">
        <v>1462</v>
      </c>
      <c r="I618" t="s">
        <v>1463</v>
      </c>
    </row>
    <row r="619" spans="1:9" x14ac:dyDescent="0.35">
      <c r="A619">
        <v>20260401</v>
      </c>
      <c r="B619" t="s">
        <v>1150</v>
      </c>
      <c r="C619">
        <v>5400</v>
      </c>
      <c r="D619" t="s">
        <v>1131</v>
      </c>
      <c r="E619">
        <v>67454.399999999994</v>
      </c>
      <c r="F619" t="s">
        <v>1452</v>
      </c>
      <c r="G619">
        <v>0.82</v>
      </c>
      <c r="H619" t="s">
        <v>1462</v>
      </c>
      <c r="I619" t="s">
        <v>1463</v>
      </c>
    </row>
    <row r="620" spans="1:9" x14ac:dyDescent="0.35">
      <c r="A620">
        <v>20260401</v>
      </c>
      <c r="B620" t="s">
        <v>1150</v>
      </c>
      <c r="C620">
        <v>6300</v>
      </c>
      <c r="D620" t="s">
        <v>1131</v>
      </c>
      <c r="E620">
        <v>88400</v>
      </c>
      <c r="F620" t="s">
        <v>1452</v>
      </c>
      <c r="G620">
        <v>0.82</v>
      </c>
      <c r="H620" t="s">
        <v>1462</v>
      </c>
      <c r="I620" t="s">
        <v>1463</v>
      </c>
    </row>
    <row r="621" spans="1:9" x14ac:dyDescent="0.35">
      <c r="A621">
        <v>20260401</v>
      </c>
      <c r="B621" t="s">
        <v>1150</v>
      </c>
      <c r="C621">
        <v>3900</v>
      </c>
      <c r="D621" t="s">
        <v>1131</v>
      </c>
      <c r="E621">
        <v>-676000</v>
      </c>
      <c r="F621" t="s">
        <v>1452</v>
      </c>
      <c r="G621">
        <v>0.82</v>
      </c>
      <c r="H621" t="s">
        <v>1462</v>
      </c>
      <c r="I621" t="s">
        <v>1463</v>
      </c>
    </row>
    <row r="622" spans="1:9" x14ac:dyDescent="0.35">
      <c r="A622">
        <v>20260401</v>
      </c>
      <c r="B622" t="s">
        <v>1272</v>
      </c>
      <c r="C622">
        <v>5100</v>
      </c>
      <c r="D622" t="s">
        <v>485</v>
      </c>
      <c r="E622">
        <v>93600</v>
      </c>
      <c r="F622" t="s">
        <v>1452</v>
      </c>
      <c r="G622">
        <v>0.82</v>
      </c>
      <c r="H622" t="s">
        <v>1462</v>
      </c>
      <c r="I622" t="s">
        <v>1463</v>
      </c>
    </row>
    <row r="623" spans="1:9" x14ac:dyDescent="0.35">
      <c r="A623">
        <v>20260401</v>
      </c>
      <c r="B623" t="s">
        <v>1272</v>
      </c>
      <c r="C623">
        <v>3400</v>
      </c>
      <c r="D623" t="s">
        <v>485</v>
      </c>
      <c r="E623">
        <v>-93600</v>
      </c>
      <c r="F623" t="s">
        <v>1452</v>
      </c>
      <c r="G623">
        <v>0.82</v>
      </c>
      <c r="H623" t="s">
        <v>1462</v>
      </c>
      <c r="I623" t="s">
        <v>1463</v>
      </c>
    </row>
    <row r="624" spans="1:9" x14ac:dyDescent="0.35">
      <c r="A624">
        <v>20260401</v>
      </c>
      <c r="B624" t="s">
        <v>1158</v>
      </c>
      <c r="C624">
        <v>5000</v>
      </c>
      <c r="D624" t="s">
        <v>1131</v>
      </c>
      <c r="E624">
        <v>478400</v>
      </c>
      <c r="F624" t="s">
        <v>1452</v>
      </c>
      <c r="G624">
        <v>0.82</v>
      </c>
      <c r="H624" t="s">
        <v>1462</v>
      </c>
      <c r="I624" t="s">
        <v>1463</v>
      </c>
    </row>
    <row r="625" spans="1:9" x14ac:dyDescent="0.35">
      <c r="A625">
        <v>20260401</v>
      </c>
      <c r="B625" t="s">
        <v>1158</v>
      </c>
      <c r="C625">
        <v>5400</v>
      </c>
      <c r="D625" t="s">
        <v>1131</v>
      </c>
      <c r="E625">
        <v>67454.399999999994</v>
      </c>
      <c r="F625" t="s">
        <v>1452</v>
      </c>
      <c r="G625">
        <v>0.82</v>
      </c>
      <c r="H625" t="s">
        <v>1462</v>
      </c>
      <c r="I625" t="s">
        <v>1463</v>
      </c>
    </row>
    <row r="626" spans="1:9" x14ac:dyDescent="0.35">
      <c r="A626">
        <v>20260401</v>
      </c>
      <c r="B626" t="s">
        <v>1158</v>
      </c>
      <c r="C626">
        <v>6300</v>
      </c>
      <c r="D626" t="s">
        <v>1131</v>
      </c>
      <c r="E626">
        <v>88400</v>
      </c>
      <c r="F626" t="s">
        <v>1452</v>
      </c>
      <c r="G626">
        <v>0.82</v>
      </c>
      <c r="H626" t="s">
        <v>1462</v>
      </c>
      <c r="I626" t="s">
        <v>1463</v>
      </c>
    </row>
    <row r="627" spans="1:9" x14ac:dyDescent="0.35">
      <c r="A627">
        <v>20260401</v>
      </c>
      <c r="B627" t="s">
        <v>1158</v>
      </c>
      <c r="C627">
        <v>3900</v>
      </c>
      <c r="D627" t="s">
        <v>1131</v>
      </c>
      <c r="E627">
        <v>-676000</v>
      </c>
      <c r="F627" t="s">
        <v>1452</v>
      </c>
      <c r="G627">
        <v>0.82</v>
      </c>
      <c r="H627" t="s">
        <v>1462</v>
      </c>
      <c r="I627" t="s">
        <v>1463</v>
      </c>
    </row>
    <row r="628" spans="1:9" x14ac:dyDescent="0.35">
      <c r="A628">
        <v>20260401</v>
      </c>
      <c r="B628" t="s">
        <v>1243</v>
      </c>
      <c r="C628">
        <v>5100</v>
      </c>
      <c r="D628" t="s">
        <v>485</v>
      </c>
      <c r="E628">
        <v>93600</v>
      </c>
      <c r="F628" t="s">
        <v>1452</v>
      </c>
      <c r="G628">
        <v>0.82</v>
      </c>
      <c r="H628" t="s">
        <v>1462</v>
      </c>
      <c r="I628" t="s">
        <v>1463</v>
      </c>
    </row>
    <row r="629" spans="1:9" x14ac:dyDescent="0.35">
      <c r="A629">
        <v>20260401</v>
      </c>
      <c r="B629" t="s">
        <v>1243</v>
      </c>
      <c r="C629">
        <v>3400</v>
      </c>
      <c r="D629" t="s">
        <v>485</v>
      </c>
      <c r="E629">
        <v>-93600</v>
      </c>
      <c r="F629" t="s">
        <v>1452</v>
      </c>
      <c r="G629">
        <v>0.82</v>
      </c>
      <c r="H629" t="s">
        <v>1462</v>
      </c>
      <c r="I629" t="s">
        <v>1463</v>
      </c>
    </row>
    <row r="630" spans="1:9" x14ac:dyDescent="0.35">
      <c r="A630">
        <v>20260401</v>
      </c>
      <c r="B630" t="s">
        <v>1205</v>
      </c>
      <c r="C630">
        <v>5000</v>
      </c>
      <c r="D630" t="s">
        <v>1131</v>
      </c>
      <c r="E630">
        <v>478400</v>
      </c>
      <c r="F630" t="s">
        <v>1452</v>
      </c>
      <c r="G630">
        <v>0.82</v>
      </c>
      <c r="H630" t="s">
        <v>1462</v>
      </c>
      <c r="I630" t="s">
        <v>1463</v>
      </c>
    </row>
    <row r="631" spans="1:9" x14ac:dyDescent="0.35">
      <c r="A631">
        <v>20260401</v>
      </c>
      <c r="B631" t="s">
        <v>1205</v>
      </c>
      <c r="C631">
        <v>5400</v>
      </c>
      <c r="D631" t="s">
        <v>1131</v>
      </c>
      <c r="E631">
        <v>67454.399999999994</v>
      </c>
      <c r="F631" t="s">
        <v>1452</v>
      </c>
      <c r="G631">
        <v>0.82</v>
      </c>
      <c r="H631" t="s">
        <v>1462</v>
      </c>
      <c r="I631" t="s">
        <v>1463</v>
      </c>
    </row>
    <row r="632" spans="1:9" x14ac:dyDescent="0.35">
      <c r="A632">
        <v>20260401</v>
      </c>
      <c r="B632" t="s">
        <v>1205</v>
      </c>
      <c r="C632">
        <v>6300</v>
      </c>
      <c r="D632" t="s">
        <v>1131</v>
      </c>
      <c r="E632">
        <v>88400</v>
      </c>
      <c r="F632" t="s">
        <v>1452</v>
      </c>
      <c r="G632">
        <v>0.82</v>
      </c>
      <c r="H632" t="s">
        <v>1462</v>
      </c>
      <c r="I632" t="s">
        <v>1463</v>
      </c>
    </row>
    <row r="633" spans="1:9" x14ac:dyDescent="0.35">
      <c r="A633">
        <v>20260401</v>
      </c>
      <c r="B633" t="s">
        <v>1205</v>
      </c>
      <c r="C633">
        <v>3900</v>
      </c>
      <c r="D633" t="s">
        <v>1131</v>
      </c>
      <c r="E633">
        <v>-676000</v>
      </c>
      <c r="F633" t="s">
        <v>1452</v>
      </c>
      <c r="G633">
        <v>0.82</v>
      </c>
      <c r="H633" t="s">
        <v>1462</v>
      </c>
      <c r="I633" t="s">
        <v>1463</v>
      </c>
    </row>
    <row r="634" spans="1:9" x14ac:dyDescent="0.35">
      <c r="A634">
        <v>20260401</v>
      </c>
      <c r="B634" t="s">
        <v>1257</v>
      </c>
      <c r="C634">
        <v>5100</v>
      </c>
      <c r="D634" t="s">
        <v>485</v>
      </c>
      <c r="E634">
        <v>93600</v>
      </c>
      <c r="F634" t="s">
        <v>1452</v>
      </c>
      <c r="G634">
        <v>0.82</v>
      </c>
      <c r="H634" t="s">
        <v>1462</v>
      </c>
      <c r="I634" t="s">
        <v>1463</v>
      </c>
    </row>
    <row r="635" spans="1:9" x14ac:dyDescent="0.35">
      <c r="A635">
        <v>20260401</v>
      </c>
      <c r="B635" t="s">
        <v>1257</v>
      </c>
      <c r="C635">
        <v>3400</v>
      </c>
      <c r="D635" t="s">
        <v>485</v>
      </c>
      <c r="E635">
        <v>-93600</v>
      </c>
      <c r="F635" t="s">
        <v>1452</v>
      </c>
      <c r="G635">
        <v>0.82</v>
      </c>
      <c r="H635" t="s">
        <v>1462</v>
      </c>
      <c r="I635" t="s">
        <v>1463</v>
      </c>
    </row>
    <row r="636" spans="1:9" x14ac:dyDescent="0.35">
      <c r="A636">
        <v>20260401</v>
      </c>
      <c r="B636" t="s">
        <v>1164</v>
      </c>
      <c r="C636">
        <v>5000</v>
      </c>
      <c r="D636" t="s">
        <v>1131</v>
      </c>
      <c r="E636">
        <v>478400</v>
      </c>
      <c r="F636" t="s">
        <v>1452</v>
      </c>
      <c r="G636">
        <v>0.82</v>
      </c>
      <c r="H636" t="s">
        <v>1462</v>
      </c>
      <c r="I636" t="s">
        <v>1463</v>
      </c>
    </row>
    <row r="637" spans="1:9" x14ac:dyDescent="0.35">
      <c r="A637">
        <v>20260401</v>
      </c>
      <c r="B637" t="s">
        <v>1164</v>
      </c>
      <c r="C637">
        <v>5400</v>
      </c>
      <c r="D637" t="s">
        <v>1131</v>
      </c>
      <c r="E637">
        <v>67454.399999999994</v>
      </c>
      <c r="F637" t="s">
        <v>1452</v>
      </c>
      <c r="G637">
        <v>0.82</v>
      </c>
      <c r="H637" t="s">
        <v>1462</v>
      </c>
      <c r="I637" t="s">
        <v>1463</v>
      </c>
    </row>
    <row r="638" spans="1:9" x14ac:dyDescent="0.35">
      <c r="A638">
        <v>20260401</v>
      </c>
      <c r="B638" t="s">
        <v>1164</v>
      </c>
      <c r="C638">
        <v>6300</v>
      </c>
      <c r="D638" t="s">
        <v>1131</v>
      </c>
      <c r="E638">
        <v>88400</v>
      </c>
      <c r="F638" t="s">
        <v>1452</v>
      </c>
      <c r="G638">
        <v>0.82</v>
      </c>
      <c r="H638" t="s">
        <v>1462</v>
      </c>
      <c r="I638" t="s">
        <v>1463</v>
      </c>
    </row>
    <row r="639" spans="1:9" x14ac:dyDescent="0.35">
      <c r="A639">
        <v>20260401</v>
      </c>
      <c r="B639" t="s">
        <v>1164</v>
      </c>
      <c r="C639">
        <v>3900</v>
      </c>
      <c r="D639" t="s">
        <v>1131</v>
      </c>
      <c r="E639">
        <v>-676000</v>
      </c>
      <c r="F639" t="s">
        <v>1452</v>
      </c>
      <c r="G639">
        <v>0.82</v>
      </c>
      <c r="H639" t="s">
        <v>1462</v>
      </c>
      <c r="I639" t="s">
        <v>1463</v>
      </c>
    </row>
    <row r="640" spans="1:9" x14ac:dyDescent="0.35">
      <c r="A640">
        <v>20260401</v>
      </c>
      <c r="B640" t="s">
        <v>1249</v>
      </c>
      <c r="C640">
        <v>5100</v>
      </c>
      <c r="D640" t="s">
        <v>485</v>
      </c>
      <c r="E640">
        <v>93600</v>
      </c>
      <c r="F640" t="s">
        <v>1452</v>
      </c>
      <c r="G640">
        <v>0.82</v>
      </c>
      <c r="H640" t="s">
        <v>1462</v>
      </c>
      <c r="I640" t="s">
        <v>1463</v>
      </c>
    </row>
    <row r="641" spans="1:9" x14ac:dyDescent="0.35">
      <c r="A641">
        <v>20260401</v>
      </c>
      <c r="B641" t="s">
        <v>1249</v>
      </c>
      <c r="C641">
        <v>3400</v>
      </c>
      <c r="D641" t="s">
        <v>485</v>
      </c>
      <c r="E641">
        <v>-93600</v>
      </c>
      <c r="F641" t="s">
        <v>1452</v>
      </c>
      <c r="G641">
        <v>0.82</v>
      </c>
      <c r="H641" t="s">
        <v>1462</v>
      </c>
      <c r="I641" t="s">
        <v>1463</v>
      </c>
    </row>
    <row r="642" spans="1:9" x14ac:dyDescent="0.35">
      <c r="A642">
        <v>20260401</v>
      </c>
      <c r="B642" t="s">
        <v>1169</v>
      </c>
      <c r="C642">
        <v>5000</v>
      </c>
      <c r="D642" t="s">
        <v>1131</v>
      </c>
      <c r="E642">
        <v>478400</v>
      </c>
      <c r="F642" t="s">
        <v>1452</v>
      </c>
      <c r="G642">
        <v>0.82</v>
      </c>
      <c r="H642" t="s">
        <v>1462</v>
      </c>
      <c r="I642" t="s">
        <v>1463</v>
      </c>
    </row>
    <row r="643" spans="1:9" x14ac:dyDescent="0.35">
      <c r="A643">
        <v>20260401</v>
      </c>
      <c r="B643" t="s">
        <v>1169</v>
      </c>
      <c r="C643">
        <v>5400</v>
      </c>
      <c r="D643" t="s">
        <v>1131</v>
      </c>
      <c r="E643">
        <v>67454.399999999994</v>
      </c>
      <c r="F643" t="s">
        <v>1452</v>
      </c>
      <c r="G643">
        <v>0.82</v>
      </c>
      <c r="H643" t="s">
        <v>1462</v>
      </c>
      <c r="I643" t="s">
        <v>1463</v>
      </c>
    </row>
    <row r="644" spans="1:9" x14ac:dyDescent="0.35">
      <c r="A644">
        <v>20260401</v>
      </c>
      <c r="B644" t="s">
        <v>1169</v>
      </c>
      <c r="C644">
        <v>6300</v>
      </c>
      <c r="D644" t="s">
        <v>1131</v>
      </c>
      <c r="E644">
        <v>88400</v>
      </c>
      <c r="F644" t="s">
        <v>1452</v>
      </c>
      <c r="G644">
        <v>0.82</v>
      </c>
      <c r="H644" t="s">
        <v>1462</v>
      </c>
      <c r="I644" t="s">
        <v>1463</v>
      </c>
    </row>
    <row r="645" spans="1:9" x14ac:dyDescent="0.35">
      <c r="A645">
        <v>20260401</v>
      </c>
      <c r="B645" t="s">
        <v>1169</v>
      </c>
      <c r="C645">
        <v>3900</v>
      </c>
      <c r="D645" t="s">
        <v>1131</v>
      </c>
      <c r="E645">
        <v>-676000</v>
      </c>
      <c r="F645" t="s">
        <v>1452</v>
      </c>
      <c r="G645">
        <v>0.82</v>
      </c>
      <c r="H645" t="s">
        <v>1462</v>
      </c>
      <c r="I645" t="s">
        <v>1463</v>
      </c>
    </row>
    <row r="646" spans="1:9" x14ac:dyDescent="0.35">
      <c r="A646">
        <v>20260401</v>
      </c>
      <c r="B646" t="s">
        <v>1260</v>
      </c>
      <c r="C646">
        <v>5100</v>
      </c>
      <c r="D646" t="s">
        <v>485</v>
      </c>
      <c r="E646">
        <v>93600</v>
      </c>
      <c r="F646" t="s">
        <v>1452</v>
      </c>
      <c r="G646">
        <v>0.82</v>
      </c>
      <c r="H646" t="s">
        <v>1462</v>
      </c>
      <c r="I646" t="s">
        <v>1463</v>
      </c>
    </row>
    <row r="647" spans="1:9" x14ac:dyDescent="0.35">
      <c r="A647">
        <v>20260401</v>
      </c>
      <c r="B647" t="s">
        <v>1260</v>
      </c>
      <c r="C647">
        <v>3400</v>
      </c>
      <c r="D647" t="s">
        <v>485</v>
      </c>
      <c r="E647">
        <v>-93600</v>
      </c>
      <c r="F647" t="s">
        <v>1452</v>
      </c>
      <c r="G647">
        <v>0.82</v>
      </c>
      <c r="H647" t="s">
        <v>1462</v>
      </c>
      <c r="I647" t="s">
        <v>1463</v>
      </c>
    </row>
    <row r="648" spans="1:9" x14ac:dyDescent="0.35">
      <c r="A648">
        <v>20260401</v>
      </c>
      <c r="B648" t="s">
        <v>1175</v>
      </c>
      <c r="C648">
        <v>5000</v>
      </c>
      <c r="D648" t="s">
        <v>1131</v>
      </c>
      <c r="E648">
        <v>478400</v>
      </c>
      <c r="F648" t="s">
        <v>1452</v>
      </c>
      <c r="G648">
        <v>0.82</v>
      </c>
      <c r="H648" t="s">
        <v>1462</v>
      </c>
      <c r="I648" t="s">
        <v>1463</v>
      </c>
    </row>
    <row r="649" spans="1:9" x14ac:dyDescent="0.35">
      <c r="A649">
        <v>20260401</v>
      </c>
      <c r="B649" t="s">
        <v>1175</v>
      </c>
      <c r="C649">
        <v>5400</v>
      </c>
      <c r="D649" t="s">
        <v>1131</v>
      </c>
      <c r="E649">
        <v>67454.399999999994</v>
      </c>
      <c r="F649" t="s">
        <v>1452</v>
      </c>
      <c r="G649">
        <v>0.82</v>
      </c>
      <c r="H649" t="s">
        <v>1462</v>
      </c>
      <c r="I649" t="s">
        <v>1463</v>
      </c>
    </row>
    <row r="650" spans="1:9" x14ac:dyDescent="0.35">
      <c r="A650">
        <v>20260401</v>
      </c>
      <c r="B650" t="s">
        <v>1175</v>
      </c>
      <c r="C650">
        <v>6300</v>
      </c>
      <c r="D650" t="s">
        <v>1131</v>
      </c>
      <c r="E650">
        <v>88400</v>
      </c>
      <c r="F650" t="s">
        <v>1452</v>
      </c>
      <c r="G650">
        <v>0.82</v>
      </c>
      <c r="H650" t="s">
        <v>1462</v>
      </c>
      <c r="I650" t="s">
        <v>1463</v>
      </c>
    </row>
    <row r="651" spans="1:9" x14ac:dyDescent="0.35">
      <c r="A651">
        <v>20260401</v>
      </c>
      <c r="B651" t="s">
        <v>1175</v>
      </c>
      <c r="C651">
        <v>3900</v>
      </c>
      <c r="D651" t="s">
        <v>1131</v>
      </c>
      <c r="E651">
        <v>-676000</v>
      </c>
      <c r="F651" t="s">
        <v>1452</v>
      </c>
      <c r="G651">
        <v>0.82</v>
      </c>
      <c r="H651" t="s">
        <v>1462</v>
      </c>
      <c r="I651" t="s">
        <v>1463</v>
      </c>
    </row>
    <row r="652" spans="1:9" x14ac:dyDescent="0.35">
      <c r="A652">
        <v>20260401</v>
      </c>
      <c r="B652" t="s">
        <v>1247</v>
      </c>
      <c r="C652">
        <v>5100</v>
      </c>
      <c r="D652" t="s">
        <v>485</v>
      </c>
      <c r="E652">
        <v>93600</v>
      </c>
      <c r="F652" t="s">
        <v>1452</v>
      </c>
      <c r="G652">
        <v>0.82</v>
      </c>
      <c r="H652" t="s">
        <v>1462</v>
      </c>
      <c r="I652" t="s">
        <v>1463</v>
      </c>
    </row>
    <row r="653" spans="1:9" x14ac:dyDescent="0.35">
      <c r="A653">
        <v>20260401</v>
      </c>
      <c r="B653" t="s">
        <v>1247</v>
      </c>
      <c r="C653">
        <v>3400</v>
      </c>
      <c r="D653" t="s">
        <v>485</v>
      </c>
      <c r="E653">
        <v>-93600</v>
      </c>
      <c r="F653" t="s">
        <v>1452</v>
      </c>
      <c r="G653">
        <v>0.82</v>
      </c>
      <c r="H653" t="s">
        <v>1462</v>
      </c>
      <c r="I653" t="s">
        <v>1463</v>
      </c>
    </row>
    <row r="654" spans="1:9" x14ac:dyDescent="0.35">
      <c r="A654">
        <v>20260401</v>
      </c>
      <c r="B654" t="s">
        <v>1130</v>
      </c>
      <c r="C654">
        <v>5000</v>
      </c>
      <c r="D654" t="s">
        <v>1131</v>
      </c>
      <c r="E654">
        <v>478400</v>
      </c>
      <c r="F654" t="s">
        <v>1452</v>
      </c>
      <c r="G654">
        <v>0.82</v>
      </c>
      <c r="H654" t="s">
        <v>1462</v>
      </c>
      <c r="I654" t="s">
        <v>1463</v>
      </c>
    </row>
    <row r="655" spans="1:9" x14ac:dyDescent="0.35">
      <c r="A655">
        <v>20260401</v>
      </c>
      <c r="B655" t="s">
        <v>1130</v>
      </c>
      <c r="C655">
        <v>5400</v>
      </c>
      <c r="D655" t="s">
        <v>1131</v>
      </c>
      <c r="E655">
        <v>67454.399999999994</v>
      </c>
      <c r="F655" t="s">
        <v>1452</v>
      </c>
      <c r="G655">
        <v>0.82</v>
      </c>
      <c r="H655" t="s">
        <v>1462</v>
      </c>
      <c r="I655" t="s">
        <v>1463</v>
      </c>
    </row>
    <row r="656" spans="1:9" x14ac:dyDescent="0.35">
      <c r="A656">
        <v>20260401</v>
      </c>
      <c r="B656" t="s">
        <v>1130</v>
      </c>
      <c r="C656">
        <v>6300</v>
      </c>
      <c r="D656" t="s">
        <v>1131</v>
      </c>
      <c r="E656">
        <v>88400</v>
      </c>
      <c r="F656" t="s">
        <v>1452</v>
      </c>
      <c r="G656">
        <v>0.82</v>
      </c>
      <c r="H656" t="s">
        <v>1462</v>
      </c>
      <c r="I656" t="s">
        <v>1463</v>
      </c>
    </row>
    <row r="657" spans="1:9" x14ac:dyDescent="0.35">
      <c r="A657">
        <v>20260401</v>
      </c>
      <c r="B657" t="s">
        <v>1130</v>
      </c>
      <c r="C657">
        <v>3900</v>
      </c>
      <c r="D657" t="s">
        <v>1131</v>
      </c>
      <c r="E657">
        <v>-676000</v>
      </c>
      <c r="F657" t="s">
        <v>1452</v>
      </c>
      <c r="G657">
        <v>0.82</v>
      </c>
      <c r="H657" t="s">
        <v>1462</v>
      </c>
      <c r="I657" t="s">
        <v>1463</v>
      </c>
    </row>
    <row r="658" spans="1:9" x14ac:dyDescent="0.35">
      <c r="A658">
        <v>20260401</v>
      </c>
      <c r="B658" t="s">
        <v>1265</v>
      </c>
      <c r="C658">
        <v>5100</v>
      </c>
      <c r="D658" t="s">
        <v>485</v>
      </c>
      <c r="E658">
        <v>93600</v>
      </c>
      <c r="F658" t="s">
        <v>1452</v>
      </c>
      <c r="G658">
        <v>0.82</v>
      </c>
      <c r="H658" t="s">
        <v>1462</v>
      </c>
      <c r="I658" t="s">
        <v>1463</v>
      </c>
    </row>
    <row r="659" spans="1:9" x14ac:dyDescent="0.35">
      <c r="A659">
        <v>20260401</v>
      </c>
      <c r="B659" t="s">
        <v>1265</v>
      </c>
      <c r="C659">
        <v>3400</v>
      </c>
      <c r="D659" t="s">
        <v>485</v>
      </c>
      <c r="E659">
        <v>-93600</v>
      </c>
      <c r="F659" t="s">
        <v>1452</v>
      </c>
      <c r="G659">
        <v>0.82</v>
      </c>
      <c r="H659" t="s">
        <v>1462</v>
      </c>
      <c r="I659" t="s">
        <v>1463</v>
      </c>
    </row>
    <row r="660" spans="1:9" x14ac:dyDescent="0.35">
      <c r="A660">
        <v>20260401</v>
      </c>
      <c r="B660" t="s">
        <v>1173</v>
      </c>
      <c r="C660">
        <v>5000</v>
      </c>
      <c r="D660" t="s">
        <v>1131</v>
      </c>
      <c r="E660">
        <v>478400</v>
      </c>
      <c r="F660" t="s">
        <v>1452</v>
      </c>
      <c r="G660">
        <v>0.82</v>
      </c>
      <c r="H660" t="s">
        <v>1462</v>
      </c>
      <c r="I660" t="s">
        <v>1463</v>
      </c>
    </row>
    <row r="661" spans="1:9" x14ac:dyDescent="0.35">
      <c r="A661">
        <v>20260401</v>
      </c>
      <c r="B661" t="s">
        <v>1173</v>
      </c>
      <c r="C661">
        <v>5400</v>
      </c>
      <c r="D661" t="s">
        <v>1131</v>
      </c>
      <c r="E661">
        <v>67454.399999999994</v>
      </c>
      <c r="F661" t="s">
        <v>1452</v>
      </c>
      <c r="G661">
        <v>0.82</v>
      </c>
      <c r="H661" t="s">
        <v>1462</v>
      </c>
      <c r="I661" t="s">
        <v>1463</v>
      </c>
    </row>
    <row r="662" spans="1:9" x14ac:dyDescent="0.35">
      <c r="A662">
        <v>20260401</v>
      </c>
      <c r="B662" t="s">
        <v>1173</v>
      </c>
      <c r="C662">
        <v>6300</v>
      </c>
      <c r="D662" t="s">
        <v>1131</v>
      </c>
      <c r="E662">
        <v>88400</v>
      </c>
      <c r="F662" t="s">
        <v>1452</v>
      </c>
      <c r="G662">
        <v>0.82</v>
      </c>
      <c r="H662" t="s">
        <v>1462</v>
      </c>
      <c r="I662" t="s">
        <v>1463</v>
      </c>
    </row>
    <row r="663" spans="1:9" x14ac:dyDescent="0.35">
      <c r="A663">
        <v>20260401</v>
      </c>
      <c r="B663" t="s">
        <v>1173</v>
      </c>
      <c r="C663">
        <v>3900</v>
      </c>
      <c r="D663" t="s">
        <v>1131</v>
      </c>
      <c r="E663">
        <v>-676000</v>
      </c>
      <c r="F663" t="s">
        <v>1452</v>
      </c>
      <c r="G663">
        <v>0.82</v>
      </c>
      <c r="H663" t="s">
        <v>1462</v>
      </c>
      <c r="I663" t="s">
        <v>1463</v>
      </c>
    </row>
    <row r="664" spans="1:9" x14ac:dyDescent="0.35">
      <c r="A664">
        <v>20260401</v>
      </c>
      <c r="B664" t="s">
        <v>1255</v>
      </c>
      <c r="C664">
        <v>5100</v>
      </c>
      <c r="D664" t="s">
        <v>485</v>
      </c>
      <c r="E664">
        <v>93600</v>
      </c>
      <c r="F664" t="s">
        <v>1452</v>
      </c>
      <c r="G664">
        <v>0.82</v>
      </c>
      <c r="H664" t="s">
        <v>1462</v>
      </c>
      <c r="I664" t="s">
        <v>1463</v>
      </c>
    </row>
    <row r="665" spans="1:9" x14ac:dyDescent="0.35">
      <c r="A665">
        <v>20260401</v>
      </c>
      <c r="B665" t="s">
        <v>1255</v>
      </c>
      <c r="C665">
        <v>3400</v>
      </c>
      <c r="D665" t="s">
        <v>485</v>
      </c>
      <c r="E665">
        <v>-93600</v>
      </c>
      <c r="F665" t="s">
        <v>1452</v>
      </c>
      <c r="G665">
        <v>0.82</v>
      </c>
      <c r="H665" t="s">
        <v>1462</v>
      </c>
      <c r="I665" t="s">
        <v>1463</v>
      </c>
    </row>
    <row r="666" spans="1:9" x14ac:dyDescent="0.35">
      <c r="A666">
        <v>20260401</v>
      </c>
      <c r="B666" t="s">
        <v>1155</v>
      </c>
      <c r="C666">
        <v>5000</v>
      </c>
      <c r="D666" t="s">
        <v>1131</v>
      </c>
      <c r="E666">
        <v>478400</v>
      </c>
      <c r="F666" t="s">
        <v>1452</v>
      </c>
      <c r="G666">
        <v>0.82</v>
      </c>
      <c r="H666" t="s">
        <v>1462</v>
      </c>
      <c r="I666" t="s">
        <v>1463</v>
      </c>
    </row>
    <row r="667" spans="1:9" x14ac:dyDescent="0.35">
      <c r="A667">
        <v>20260401</v>
      </c>
      <c r="B667" t="s">
        <v>1155</v>
      </c>
      <c r="C667">
        <v>5400</v>
      </c>
      <c r="D667" t="s">
        <v>1131</v>
      </c>
      <c r="E667">
        <v>67454.399999999994</v>
      </c>
      <c r="F667" t="s">
        <v>1452</v>
      </c>
      <c r="G667">
        <v>0.82</v>
      </c>
      <c r="H667" t="s">
        <v>1462</v>
      </c>
      <c r="I667" t="s">
        <v>1463</v>
      </c>
    </row>
    <row r="668" spans="1:9" x14ac:dyDescent="0.35">
      <c r="A668">
        <v>20260401</v>
      </c>
      <c r="B668" t="s">
        <v>1155</v>
      </c>
      <c r="C668">
        <v>6300</v>
      </c>
      <c r="D668" t="s">
        <v>1131</v>
      </c>
      <c r="E668">
        <v>88400</v>
      </c>
      <c r="F668" t="s">
        <v>1452</v>
      </c>
      <c r="G668">
        <v>0.82</v>
      </c>
      <c r="H668" t="s">
        <v>1462</v>
      </c>
      <c r="I668" t="s">
        <v>1463</v>
      </c>
    </row>
    <row r="669" spans="1:9" x14ac:dyDescent="0.35">
      <c r="A669">
        <v>20260401</v>
      </c>
      <c r="B669" t="s">
        <v>1155</v>
      </c>
      <c r="C669">
        <v>3900</v>
      </c>
      <c r="D669" t="s">
        <v>1131</v>
      </c>
      <c r="E669">
        <v>-676000</v>
      </c>
      <c r="F669" t="s">
        <v>1452</v>
      </c>
      <c r="G669">
        <v>0.82</v>
      </c>
      <c r="H669" t="s">
        <v>1462</v>
      </c>
      <c r="I669" t="s">
        <v>1463</v>
      </c>
    </row>
    <row r="670" spans="1:9" x14ac:dyDescent="0.35">
      <c r="A670">
        <v>20260401</v>
      </c>
      <c r="B670" t="s">
        <v>1138</v>
      </c>
      <c r="C670">
        <v>5000</v>
      </c>
      <c r="D670" t="s">
        <v>1131</v>
      </c>
      <c r="E670">
        <v>478400</v>
      </c>
      <c r="F670" t="s">
        <v>1452</v>
      </c>
      <c r="G670">
        <v>0.82</v>
      </c>
      <c r="H670" t="s">
        <v>1462</v>
      </c>
      <c r="I670" t="s">
        <v>1463</v>
      </c>
    </row>
    <row r="671" spans="1:9" x14ac:dyDescent="0.35">
      <c r="A671">
        <v>20260401</v>
      </c>
      <c r="B671" t="s">
        <v>1138</v>
      </c>
      <c r="C671">
        <v>5400</v>
      </c>
      <c r="D671" t="s">
        <v>1131</v>
      </c>
      <c r="E671">
        <v>67454.399999999994</v>
      </c>
      <c r="F671" t="s">
        <v>1452</v>
      </c>
      <c r="G671">
        <v>0.82</v>
      </c>
      <c r="H671" t="s">
        <v>1462</v>
      </c>
      <c r="I671" t="s">
        <v>1463</v>
      </c>
    </row>
    <row r="672" spans="1:9" x14ac:dyDescent="0.35">
      <c r="A672">
        <v>20260401</v>
      </c>
      <c r="B672" t="s">
        <v>1138</v>
      </c>
      <c r="C672">
        <v>6300</v>
      </c>
      <c r="D672" t="s">
        <v>1131</v>
      </c>
      <c r="E672">
        <v>88400</v>
      </c>
      <c r="F672" t="s">
        <v>1452</v>
      </c>
      <c r="G672">
        <v>0.82</v>
      </c>
      <c r="H672" t="s">
        <v>1462</v>
      </c>
      <c r="I672" t="s">
        <v>1463</v>
      </c>
    </row>
    <row r="673" spans="1:9" x14ac:dyDescent="0.35">
      <c r="A673">
        <v>20260401</v>
      </c>
      <c r="B673" t="s">
        <v>1138</v>
      </c>
      <c r="C673">
        <v>3900</v>
      </c>
      <c r="D673" t="s">
        <v>1131</v>
      </c>
      <c r="E673">
        <v>-676000</v>
      </c>
      <c r="F673" t="s">
        <v>1452</v>
      </c>
      <c r="G673">
        <v>0.82</v>
      </c>
      <c r="H673" t="s">
        <v>1462</v>
      </c>
      <c r="I673" t="s">
        <v>1463</v>
      </c>
    </row>
    <row r="674" spans="1:9" x14ac:dyDescent="0.35">
      <c r="A674">
        <v>20260501</v>
      </c>
      <c r="B674" t="s">
        <v>1150</v>
      </c>
      <c r="C674">
        <v>5000</v>
      </c>
      <c r="D674" t="s">
        <v>1131</v>
      </c>
      <c r="E674">
        <v>478400</v>
      </c>
      <c r="F674" t="s">
        <v>1452</v>
      </c>
      <c r="G674">
        <v>0.82</v>
      </c>
      <c r="H674" t="s">
        <v>1462</v>
      </c>
      <c r="I674" t="s">
        <v>1463</v>
      </c>
    </row>
    <row r="675" spans="1:9" x14ac:dyDescent="0.35">
      <c r="A675">
        <v>20260501</v>
      </c>
      <c r="B675" t="s">
        <v>1150</v>
      </c>
      <c r="C675">
        <v>5400</v>
      </c>
      <c r="D675" t="s">
        <v>1131</v>
      </c>
      <c r="E675">
        <v>67454.399999999994</v>
      </c>
      <c r="F675" t="s">
        <v>1452</v>
      </c>
      <c r="G675">
        <v>0.82</v>
      </c>
      <c r="H675" t="s">
        <v>1462</v>
      </c>
      <c r="I675" t="s">
        <v>1463</v>
      </c>
    </row>
    <row r="676" spans="1:9" x14ac:dyDescent="0.35">
      <c r="A676">
        <v>20260501</v>
      </c>
      <c r="B676" t="s">
        <v>1150</v>
      </c>
      <c r="C676">
        <v>6300</v>
      </c>
      <c r="D676" t="s">
        <v>1131</v>
      </c>
      <c r="E676">
        <v>88400</v>
      </c>
      <c r="F676" t="s">
        <v>1452</v>
      </c>
      <c r="G676">
        <v>0.82</v>
      </c>
      <c r="H676" t="s">
        <v>1462</v>
      </c>
      <c r="I676" t="s">
        <v>1463</v>
      </c>
    </row>
    <row r="677" spans="1:9" x14ac:dyDescent="0.35">
      <c r="A677">
        <v>20260501</v>
      </c>
      <c r="B677" t="s">
        <v>1150</v>
      </c>
      <c r="C677">
        <v>3900</v>
      </c>
      <c r="D677" t="s">
        <v>1131</v>
      </c>
      <c r="E677">
        <v>-676000</v>
      </c>
      <c r="F677" t="s">
        <v>1452</v>
      </c>
      <c r="G677">
        <v>0.82</v>
      </c>
      <c r="H677" t="s">
        <v>1462</v>
      </c>
      <c r="I677" t="s">
        <v>1463</v>
      </c>
    </row>
    <row r="678" spans="1:9" x14ac:dyDescent="0.35">
      <c r="A678">
        <v>20260501</v>
      </c>
      <c r="B678" t="s">
        <v>1272</v>
      </c>
      <c r="C678">
        <v>5100</v>
      </c>
      <c r="D678" t="s">
        <v>485</v>
      </c>
      <c r="E678">
        <v>93600</v>
      </c>
      <c r="F678" t="s">
        <v>1452</v>
      </c>
      <c r="G678">
        <v>0.82</v>
      </c>
      <c r="H678" t="s">
        <v>1462</v>
      </c>
      <c r="I678" t="s">
        <v>1463</v>
      </c>
    </row>
    <row r="679" spans="1:9" x14ac:dyDescent="0.35">
      <c r="A679">
        <v>20260501</v>
      </c>
      <c r="B679" t="s">
        <v>1272</v>
      </c>
      <c r="C679">
        <v>3400</v>
      </c>
      <c r="D679" t="s">
        <v>485</v>
      </c>
      <c r="E679">
        <v>-93600</v>
      </c>
      <c r="F679" t="s">
        <v>1452</v>
      </c>
      <c r="G679">
        <v>0.82</v>
      </c>
      <c r="H679" t="s">
        <v>1462</v>
      </c>
      <c r="I679" t="s">
        <v>1463</v>
      </c>
    </row>
    <row r="680" spans="1:9" x14ac:dyDescent="0.35">
      <c r="A680">
        <v>20260501</v>
      </c>
      <c r="B680" t="s">
        <v>1158</v>
      </c>
      <c r="C680">
        <v>5000</v>
      </c>
      <c r="D680" t="s">
        <v>1131</v>
      </c>
      <c r="E680">
        <v>478400</v>
      </c>
      <c r="F680" t="s">
        <v>1452</v>
      </c>
      <c r="G680">
        <v>0.82</v>
      </c>
      <c r="H680" t="s">
        <v>1462</v>
      </c>
      <c r="I680" t="s">
        <v>1463</v>
      </c>
    </row>
    <row r="681" spans="1:9" x14ac:dyDescent="0.35">
      <c r="A681">
        <v>20260501</v>
      </c>
      <c r="B681" t="s">
        <v>1158</v>
      </c>
      <c r="C681">
        <v>5400</v>
      </c>
      <c r="D681" t="s">
        <v>1131</v>
      </c>
      <c r="E681">
        <v>67454.399999999994</v>
      </c>
      <c r="F681" t="s">
        <v>1452</v>
      </c>
      <c r="G681">
        <v>0.82</v>
      </c>
      <c r="H681" t="s">
        <v>1462</v>
      </c>
      <c r="I681" t="s">
        <v>1463</v>
      </c>
    </row>
    <row r="682" spans="1:9" x14ac:dyDescent="0.35">
      <c r="A682">
        <v>20260501</v>
      </c>
      <c r="B682" t="s">
        <v>1158</v>
      </c>
      <c r="C682">
        <v>6300</v>
      </c>
      <c r="D682" t="s">
        <v>1131</v>
      </c>
      <c r="E682">
        <v>88400</v>
      </c>
      <c r="F682" t="s">
        <v>1452</v>
      </c>
      <c r="G682">
        <v>0.82</v>
      </c>
      <c r="H682" t="s">
        <v>1462</v>
      </c>
      <c r="I682" t="s">
        <v>1463</v>
      </c>
    </row>
    <row r="683" spans="1:9" x14ac:dyDescent="0.35">
      <c r="A683">
        <v>20260501</v>
      </c>
      <c r="B683" t="s">
        <v>1158</v>
      </c>
      <c r="C683">
        <v>3900</v>
      </c>
      <c r="D683" t="s">
        <v>1131</v>
      </c>
      <c r="E683">
        <v>-676000</v>
      </c>
      <c r="F683" t="s">
        <v>1452</v>
      </c>
      <c r="G683">
        <v>0.82</v>
      </c>
      <c r="H683" t="s">
        <v>1462</v>
      </c>
      <c r="I683" t="s">
        <v>1463</v>
      </c>
    </row>
    <row r="684" spans="1:9" x14ac:dyDescent="0.35">
      <c r="A684">
        <v>20260501</v>
      </c>
      <c r="B684" t="s">
        <v>1243</v>
      </c>
      <c r="C684">
        <v>5100</v>
      </c>
      <c r="D684" t="s">
        <v>485</v>
      </c>
      <c r="E684">
        <v>93600</v>
      </c>
      <c r="F684" t="s">
        <v>1452</v>
      </c>
      <c r="G684">
        <v>0.82</v>
      </c>
      <c r="H684" t="s">
        <v>1462</v>
      </c>
      <c r="I684" t="s">
        <v>1463</v>
      </c>
    </row>
    <row r="685" spans="1:9" x14ac:dyDescent="0.35">
      <c r="A685">
        <v>20260501</v>
      </c>
      <c r="B685" t="s">
        <v>1243</v>
      </c>
      <c r="C685">
        <v>3400</v>
      </c>
      <c r="D685" t="s">
        <v>485</v>
      </c>
      <c r="E685">
        <v>-93600</v>
      </c>
      <c r="F685" t="s">
        <v>1452</v>
      </c>
      <c r="G685">
        <v>0.82</v>
      </c>
      <c r="H685" t="s">
        <v>1462</v>
      </c>
      <c r="I685" t="s">
        <v>1463</v>
      </c>
    </row>
    <row r="686" spans="1:9" x14ac:dyDescent="0.35">
      <c r="A686">
        <v>20260501</v>
      </c>
      <c r="B686" t="s">
        <v>1205</v>
      </c>
      <c r="C686">
        <v>5000</v>
      </c>
      <c r="D686" t="s">
        <v>1131</v>
      </c>
      <c r="E686">
        <v>478400</v>
      </c>
      <c r="F686" t="s">
        <v>1452</v>
      </c>
      <c r="G686">
        <v>0.82</v>
      </c>
      <c r="H686" t="s">
        <v>1462</v>
      </c>
      <c r="I686" t="s">
        <v>1463</v>
      </c>
    </row>
    <row r="687" spans="1:9" x14ac:dyDescent="0.35">
      <c r="A687">
        <v>20260501</v>
      </c>
      <c r="B687" t="s">
        <v>1205</v>
      </c>
      <c r="C687">
        <v>5400</v>
      </c>
      <c r="D687" t="s">
        <v>1131</v>
      </c>
      <c r="E687">
        <v>67454.399999999994</v>
      </c>
      <c r="F687" t="s">
        <v>1452</v>
      </c>
      <c r="G687">
        <v>0.82</v>
      </c>
      <c r="H687" t="s">
        <v>1462</v>
      </c>
      <c r="I687" t="s">
        <v>1463</v>
      </c>
    </row>
    <row r="688" spans="1:9" x14ac:dyDescent="0.35">
      <c r="A688">
        <v>20260501</v>
      </c>
      <c r="B688" t="s">
        <v>1205</v>
      </c>
      <c r="C688">
        <v>6300</v>
      </c>
      <c r="D688" t="s">
        <v>1131</v>
      </c>
      <c r="E688">
        <v>88400</v>
      </c>
      <c r="F688" t="s">
        <v>1452</v>
      </c>
      <c r="G688">
        <v>0.82</v>
      </c>
      <c r="H688" t="s">
        <v>1462</v>
      </c>
      <c r="I688" t="s">
        <v>1463</v>
      </c>
    </row>
    <row r="689" spans="1:9" x14ac:dyDescent="0.35">
      <c r="A689">
        <v>20260501</v>
      </c>
      <c r="B689" t="s">
        <v>1205</v>
      </c>
      <c r="C689">
        <v>3900</v>
      </c>
      <c r="D689" t="s">
        <v>1131</v>
      </c>
      <c r="E689">
        <v>-676000</v>
      </c>
      <c r="F689" t="s">
        <v>1452</v>
      </c>
      <c r="G689">
        <v>0.82</v>
      </c>
      <c r="H689" t="s">
        <v>1462</v>
      </c>
      <c r="I689" t="s">
        <v>1463</v>
      </c>
    </row>
    <row r="690" spans="1:9" x14ac:dyDescent="0.35">
      <c r="A690">
        <v>20260501</v>
      </c>
      <c r="B690" t="s">
        <v>1257</v>
      </c>
      <c r="C690">
        <v>5100</v>
      </c>
      <c r="D690" t="s">
        <v>485</v>
      </c>
      <c r="E690">
        <v>93600</v>
      </c>
      <c r="F690" t="s">
        <v>1452</v>
      </c>
      <c r="G690">
        <v>0.82</v>
      </c>
      <c r="H690" t="s">
        <v>1462</v>
      </c>
      <c r="I690" t="s">
        <v>1463</v>
      </c>
    </row>
    <row r="691" spans="1:9" x14ac:dyDescent="0.35">
      <c r="A691">
        <v>20260501</v>
      </c>
      <c r="B691" t="s">
        <v>1257</v>
      </c>
      <c r="C691">
        <v>3400</v>
      </c>
      <c r="D691" t="s">
        <v>485</v>
      </c>
      <c r="E691">
        <v>-93600</v>
      </c>
      <c r="F691" t="s">
        <v>1452</v>
      </c>
      <c r="G691">
        <v>0.82</v>
      </c>
      <c r="H691" t="s">
        <v>1462</v>
      </c>
      <c r="I691" t="s">
        <v>1463</v>
      </c>
    </row>
    <row r="692" spans="1:9" x14ac:dyDescent="0.35">
      <c r="A692">
        <v>20260501</v>
      </c>
      <c r="B692" t="s">
        <v>1164</v>
      </c>
      <c r="C692">
        <v>5000</v>
      </c>
      <c r="D692" t="s">
        <v>1131</v>
      </c>
      <c r="E692">
        <v>478400</v>
      </c>
      <c r="F692" t="s">
        <v>1452</v>
      </c>
      <c r="G692">
        <v>0.82</v>
      </c>
      <c r="H692" t="s">
        <v>1462</v>
      </c>
      <c r="I692" t="s">
        <v>1463</v>
      </c>
    </row>
    <row r="693" spans="1:9" x14ac:dyDescent="0.35">
      <c r="A693">
        <v>20260501</v>
      </c>
      <c r="B693" t="s">
        <v>1164</v>
      </c>
      <c r="C693">
        <v>5400</v>
      </c>
      <c r="D693" t="s">
        <v>1131</v>
      </c>
      <c r="E693">
        <v>67454.399999999994</v>
      </c>
      <c r="F693" t="s">
        <v>1452</v>
      </c>
      <c r="G693">
        <v>0.82</v>
      </c>
      <c r="H693" t="s">
        <v>1462</v>
      </c>
      <c r="I693" t="s">
        <v>1463</v>
      </c>
    </row>
    <row r="694" spans="1:9" x14ac:dyDescent="0.35">
      <c r="A694">
        <v>20260501</v>
      </c>
      <c r="B694" t="s">
        <v>1164</v>
      </c>
      <c r="C694">
        <v>6300</v>
      </c>
      <c r="D694" t="s">
        <v>1131</v>
      </c>
      <c r="E694">
        <v>88400</v>
      </c>
      <c r="F694" t="s">
        <v>1452</v>
      </c>
      <c r="G694">
        <v>0.82</v>
      </c>
      <c r="H694" t="s">
        <v>1462</v>
      </c>
      <c r="I694" t="s">
        <v>1463</v>
      </c>
    </row>
    <row r="695" spans="1:9" x14ac:dyDescent="0.35">
      <c r="A695">
        <v>20260501</v>
      </c>
      <c r="B695" t="s">
        <v>1164</v>
      </c>
      <c r="C695">
        <v>3900</v>
      </c>
      <c r="D695" t="s">
        <v>1131</v>
      </c>
      <c r="E695">
        <v>-676000</v>
      </c>
      <c r="F695" t="s">
        <v>1452</v>
      </c>
      <c r="G695">
        <v>0.82</v>
      </c>
      <c r="H695" t="s">
        <v>1462</v>
      </c>
      <c r="I695" t="s">
        <v>1463</v>
      </c>
    </row>
    <row r="696" spans="1:9" x14ac:dyDescent="0.35">
      <c r="A696">
        <v>20260501</v>
      </c>
      <c r="B696" t="s">
        <v>1249</v>
      </c>
      <c r="C696">
        <v>5100</v>
      </c>
      <c r="D696" t="s">
        <v>485</v>
      </c>
      <c r="E696">
        <v>93600</v>
      </c>
      <c r="F696" t="s">
        <v>1452</v>
      </c>
      <c r="G696">
        <v>0.82</v>
      </c>
      <c r="H696" t="s">
        <v>1462</v>
      </c>
      <c r="I696" t="s">
        <v>1463</v>
      </c>
    </row>
    <row r="697" spans="1:9" x14ac:dyDescent="0.35">
      <c r="A697">
        <v>20260501</v>
      </c>
      <c r="B697" t="s">
        <v>1249</v>
      </c>
      <c r="C697">
        <v>3400</v>
      </c>
      <c r="D697" t="s">
        <v>485</v>
      </c>
      <c r="E697">
        <v>-93600</v>
      </c>
      <c r="F697" t="s">
        <v>1452</v>
      </c>
      <c r="G697">
        <v>0.82</v>
      </c>
      <c r="H697" t="s">
        <v>1462</v>
      </c>
      <c r="I697" t="s">
        <v>1463</v>
      </c>
    </row>
    <row r="698" spans="1:9" x14ac:dyDescent="0.35">
      <c r="A698">
        <v>20260501</v>
      </c>
      <c r="B698" t="s">
        <v>1169</v>
      </c>
      <c r="C698">
        <v>5000</v>
      </c>
      <c r="D698" t="s">
        <v>1131</v>
      </c>
      <c r="E698">
        <v>478400</v>
      </c>
      <c r="F698" t="s">
        <v>1452</v>
      </c>
      <c r="G698">
        <v>0.82</v>
      </c>
      <c r="H698" t="s">
        <v>1462</v>
      </c>
      <c r="I698" t="s">
        <v>1463</v>
      </c>
    </row>
    <row r="699" spans="1:9" x14ac:dyDescent="0.35">
      <c r="A699">
        <v>20260501</v>
      </c>
      <c r="B699" t="s">
        <v>1169</v>
      </c>
      <c r="C699">
        <v>5400</v>
      </c>
      <c r="D699" t="s">
        <v>1131</v>
      </c>
      <c r="E699">
        <v>67454.399999999994</v>
      </c>
      <c r="F699" t="s">
        <v>1452</v>
      </c>
      <c r="G699">
        <v>0.82</v>
      </c>
      <c r="H699" t="s">
        <v>1462</v>
      </c>
      <c r="I699" t="s">
        <v>1463</v>
      </c>
    </row>
    <row r="700" spans="1:9" x14ac:dyDescent="0.35">
      <c r="A700">
        <v>20260501</v>
      </c>
      <c r="B700" t="s">
        <v>1169</v>
      </c>
      <c r="C700">
        <v>6300</v>
      </c>
      <c r="D700" t="s">
        <v>1131</v>
      </c>
      <c r="E700">
        <v>88400</v>
      </c>
      <c r="F700" t="s">
        <v>1452</v>
      </c>
      <c r="G700">
        <v>0.82</v>
      </c>
      <c r="H700" t="s">
        <v>1462</v>
      </c>
      <c r="I700" t="s">
        <v>1463</v>
      </c>
    </row>
    <row r="701" spans="1:9" x14ac:dyDescent="0.35">
      <c r="A701">
        <v>20260501</v>
      </c>
      <c r="B701" t="s">
        <v>1169</v>
      </c>
      <c r="C701">
        <v>3900</v>
      </c>
      <c r="D701" t="s">
        <v>1131</v>
      </c>
      <c r="E701">
        <v>-676000</v>
      </c>
      <c r="F701" t="s">
        <v>1452</v>
      </c>
      <c r="G701">
        <v>0.82</v>
      </c>
      <c r="H701" t="s">
        <v>1462</v>
      </c>
      <c r="I701" t="s">
        <v>1463</v>
      </c>
    </row>
    <row r="702" spans="1:9" x14ac:dyDescent="0.35">
      <c r="A702">
        <v>20260501</v>
      </c>
      <c r="B702" t="s">
        <v>1260</v>
      </c>
      <c r="C702">
        <v>5100</v>
      </c>
      <c r="D702" t="s">
        <v>485</v>
      </c>
      <c r="E702">
        <v>93600</v>
      </c>
      <c r="F702" t="s">
        <v>1452</v>
      </c>
      <c r="G702">
        <v>0.82</v>
      </c>
      <c r="H702" t="s">
        <v>1462</v>
      </c>
      <c r="I702" t="s">
        <v>1463</v>
      </c>
    </row>
    <row r="703" spans="1:9" x14ac:dyDescent="0.35">
      <c r="A703">
        <v>20260501</v>
      </c>
      <c r="B703" t="s">
        <v>1260</v>
      </c>
      <c r="C703">
        <v>3400</v>
      </c>
      <c r="D703" t="s">
        <v>485</v>
      </c>
      <c r="E703">
        <v>-93600</v>
      </c>
      <c r="F703" t="s">
        <v>1452</v>
      </c>
      <c r="G703">
        <v>0.82</v>
      </c>
      <c r="H703" t="s">
        <v>1462</v>
      </c>
      <c r="I703" t="s">
        <v>1463</v>
      </c>
    </row>
    <row r="704" spans="1:9" x14ac:dyDescent="0.35">
      <c r="A704">
        <v>20260501</v>
      </c>
      <c r="B704" t="s">
        <v>1175</v>
      </c>
      <c r="C704">
        <v>5000</v>
      </c>
      <c r="D704" t="s">
        <v>1131</v>
      </c>
      <c r="E704">
        <v>478400</v>
      </c>
      <c r="F704" t="s">
        <v>1452</v>
      </c>
      <c r="G704">
        <v>0.82</v>
      </c>
      <c r="H704" t="s">
        <v>1462</v>
      </c>
      <c r="I704" t="s">
        <v>1463</v>
      </c>
    </row>
    <row r="705" spans="1:9" x14ac:dyDescent="0.35">
      <c r="A705">
        <v>20260501</v>
      </c>
      <c r="B705" t="s">
        <v>1175</v>
      </c>
      <c r="C705">
        <v>5400</v>
      </c>
      <c r="D705" t="s">
        <v>1131</v>
      </c>
      <c r="E705">
        <v>67454.399999999994</v>
      </c>
      <c r="F705" t="s">
        <v>1452</v>
      </c>
      <c r="G705">
        <v>0.82</v>
      </c>
      <c r="H705" t="s">
        <v>1462</v>
      </c>
      <c r="I705" t="s">
        <v>1463</v>
      </c>
    </row>
    <row r="706" spans="1:9" x14ac:dyDescent="0.35">
      <c r="A706">
        <v>20260501</v>
      </c>
      <c r="B706" t="s">
        <v>1175</v>
      </c>
      <c r="C706">
        <v>6300</v>
      </c>
      <c r="D706" t="s">
        <v>1131</v>
      </c>
      <c r="E706">
        <v>88400</v>
      </c>
      <c r="F706" t="s">
        <v>1452</v>
      </c>
      <c r="G706">
        <v>0.82</v>
      </c>
      <c r="H706" t="s">
        <v>1462</v>
      </c>
      <c r="I706" t="s">
        <v>1463</v>
      </c>
    </row>
    <row r="707" spans="1:9" x14ac:dyDescent="0.35">
      <c r="A707">
        <v>20260501</v>
      </c>
      <c r="B707" t="s">
        <v>1175</v>
      </c>
      <c r="C707">
        <v>3900</v>
      </c>
      <c r="D707" t="s">
        <v>1131</v>
      </c>
      <c r="E707">
        <v>-676000</v>
      </c>
      <c r="F707" t="s">
        <v>1452</v>
      </c>
      <c r="G707">
        <v>0.82</v>
      </c>
      <c r="H707" t="s">
        <v>1462</v>
      </c>
      <c r="I707" t="s">
        <v>1463</v>
      </c>
    </row>
    <row r="708" spans="1:9" x14ac:dyDescent="0.35">
      <c r="A708">
        <v>20260501</v>
      </c>
      <c r="B708" t="s">
        <v>1247</v>
      </c>
      <c r="C708">
        <v>5100</v>
      </c>
      <c r="D708" t="s">
        <v>485</v>
      </c>
      <c r="E708">
        <v>93600</v>
      </c>
      <c r="F708" t="s">
        <v>1452</v>
      </c>
      <c r="G708">
        <v>0.82</v>
      </c>
      <c r="H708" t="s">
        <v>1462</v>
      </c>
      <c r="I708" t="s">
        <v>1463</v>
      </c>
    </row>
    <row r="709" spans="1:9" x14ac:dyDescent="0.35">
      <c r="A709">
        <v>20260501</v>
      </c>
      <c r="B709" t="s">
        <v>1247</v>
      </c>
      <c r="C709">
        <v>3400</v>
      </c>
      <c r="D709" t="s">
        <v>485</v>
      </c>
      <c r="E709">
        <v>-93600</v>
      </c>
      <c r="F709" t="s">
        <v>1452</v>
      </c>
      <c r="G709">
        <v>0.82</v>
      </c>
      <c r="H709" t="s">
        <v>1462</v>
      </c>
      <c r="I709" t="s">
        <v>1463</v>
      </c>
    </row>
    <row r="710" spans="1:9" x14ac:dyDescent="0.35">
      <c r="A710">
        <v>20260501</v>
      </c>
      <c r="B710" t="s">
        <v>1130</v>
      </c>
      <c r="C710">
        <v>5000</v>
      </c>
      <c r="D710" t="s">
        <v>1131</v>
      </c>
      <c r="E710">
        <v>478400</v>
      </c>
      <c r="F710" t="s">
        <v>1452</v>
      </c>
      <c r="G710">
        <v>0.82</v>
      </c>
      <c r="H710" t="s">
        <v>1462</v>
      </c>
      <c r="I710" t="s">
        <v>1463</v>
      </c>
    </row>
    <row r="711" spans="1:9" x14ac:dyDescent="0.35">
      <c r="A711">
        <v>20260501</v>
      </c>
      <c r="B711" t="s">
        <v>1130</v>
      </c>
      <c r="C711">
        <v>5400</v>
      </c>
      <c r="D711" t="s">
        <v>1131</v>
      </c>
      <c r="E711">
        <v>67454.399999999994</v>
      </c>
      <c r="F711" t="s">
        <v>1452</v>
      </c>
      <c r="G711">
        <v>0.82</v>
      </c>
      <c r="H711" t="s">
        <v>1462</v>
      </c>
      <c r="I711" t="s">
        <v>1463</v>
      </c>
    </row>
    <row r="712" spans="1:9" x14ac:dyDescent="0.35">
      <c r="A712">
        <v>20260501</v>
      </c>
      <c r="B712" t="s">
        <v>1130</v>
      </c>
      <c r="C712">
        <v>6300</v>
      </c>
      <c r="D712" t="s">
        <v>1131</v>
      </c>
      <c r="E712">
        <v>88400</v>
      </c>
      <c r="F712" t="s">
        <v>1452</v>
      </c>
      <c r="G712">
        <v>0.82</v>
      </c>
      <c r="H712" t="s">
        <v>1462</v>
      </c>
      <c r="I712" t="s">
        <v>1463</v>
      </c>
    </row>
    <row r="713" spans="1:9" x14ac:dyDescent="0.35">
      <c r="A713">
        <v>20260501</v>
      </c>
      <c r="B713" t="s">
        <v>1130</v>
      </c>
      <c r="C713">
        <v>3900</v>
      </c>
      <c r="D713" t="s">
        <v>1131</v>
      </c>
      <c r="E713">
        <v>-676000</v>
      </c>
      <c r="F713" t="s">
        <v>1452</v>
      </c>
      <c r="G713">
        <v>0.82</v>
      </c>
      <c r="H713" t="s">
        <v>1462</v>
      </c>
      <c r="I713" t="s">
        <v>1463</v>
      </c>
    </row>
    <row r="714" spans="1:9" x14ac:dyDescent="0.35">
      <c r="A714">
        <v>20260501</v>
      </c>
      <c r="B714" t="s">
        <v>1265</v>
      </c>
      <c r="C714">
        <v>5100</v>
      </c>
      <c r="D714" t="s">
        <v>485</v>
      </c>
      <c r="E714">
        <v>93600</v>
      </c>
      <c r="F714" t="s">
        <v>1452</v>
      </c>
      <c r="G714">
        <v>0.82</v>
      </c>
      <c r="H714" t="s">
        <v>1462</v>
      </c>
      <c r="I714" t="s">
        <v>1463</v>
      </c>
    </row>
    <row r="715" spans="1:9" x14ac:dyDescent="0.35">
      <c r="A715">
        <v>20260501</v>
      </c>
      <c r="B715" t="s">
        <v>1265</v>
      </c>
      <c r="C715">
        <v>3400</v>
      </c>
      <c r="D715" t="s">
        <v>485</v>
      </c>
      <c r="E715">
        <v>-93600</v>
      </c>
      <c r="F715" t="s">
        <v>1452</v>
      </c>
      <c r="G715">
        <v>0.82</v>
      </c>
      <c r="H715" t="s">
        <v>1462</v>
      </c>
      <c r="I715" t="s">
        <v>1463</v>
      </c>
    </row>
    <row r="716" spans="1:9" x14ac:dyDescent="0.35">
      <c r="A716">
        <v>20260501</v>
      </c>
      <c r="B716" t="s">
        <v>1173</v>
      </c>
      <c r="C716">
        <v>5000</v>
      </c>
      <c r="D716" t="s">
        <v>1131</v>
      </c>
      <c r="E716">
        <v>478400</v>
      </c>
      <c r="F716" t="s">
        <v>1452</v>
      </c>
      <c r="G716">
        <v>0.82</v>
      </c>
      <c r="H716" t="s">
        <v>1462</v>
      </c>
      <c r="I716" t="s">
        <v>1463</v>
      </c>
    </row>
    <row r="717" spans="1:9" x14ac:dyDescent="0.35">
      <c r="A717">
        <v>20260501</v>
      </c>
      <c r="B717" t="s">
        <v>1173</v>
      </c>
      <c r="C717">
        <v>5400</v>
      </c>
      <c r="D717" t="s">
        <v>1131</v>
      </c>
      <c r="E717">
        <v>67454.399999999994</v>
      </c>
      <c r="F717" t="s">
        <v>1452</v>
      </c>
      <c r="G717">
        <v>0.82</v>
      </c>
      <c r="H717" t="s">
        <v>1462</v>
      </c>
      <c r="I717" t="s">
        <v>1463</v>
      </c>
    </row>
    <row r="718" spans="1:9" x14ac:dyDescent="0.35">
      <c r="A718">
        <v>20260501</v>
      </c>
      <c r="B718" t="s">
        <v>1173</v>
      </c>
      <c r="C718">
        <v>6300</v>
      </c>
      <c r="D718" t="s">
        <v>1131</v>
      </c>
      <c r="E718">
        <v>88400</v>
      </c>
      <c r="F718" t="s">
        <v>1452</v>
      </c>
      <c r="G718">
        <v>0.82</v>
      </c>
      <c r="H718" t="s">
        <v>1462</v>
      </c>
      <c r="I718" t="s">
        <v>1463</v>
      </c>
    </row>
    <row r="719" spans="1:9" x14ac:dyDescent="0.35">
      <c r="A719">
        <v>20260501</v>
      </c>
      <c r="B719" t="s">
        <v>1173</v>
      </c>
      <c r="C719">
        <v>3900</v>
      </c>
      <c r="D719" t="s">
        <v>1131</v>
      </c>
      <c r="E719">
        <v>-676000</v>
      </c>
      <c r="F719" t="s">
        <v>1452</v>
      </c>
      <c r="G719">
        <v>0.82</v>
      </c>
      <c r="H719" t="s">
        <v>1462</v>
      </c>
      <c r="I719" t="s">
        <v>1463</v>
      </c>
    </row>
    <row r="720" spans="1:9" x14ac:dyDescent="0.35">
      <c r="A720">
        <v>20260501</v>
      </c>
      <c r="B720" t="s">
        <v>1255</v>
      </c>
      <c r="C720">
        <v>5100</v>
      </c>
      <c r="D720" t="s">
        <v>485</v>
      </c>
      <c r="E720">
        <v>93600</v>
      </c>
      <c r="F720" t="s">
        <v>1452</v>
      </c>
      <c r="G720">
        <v>0.82</v>
      </c>
      <c r="H720" t="s">
        <v>1462</v>
      </c>
      <c r="I720" t="s">
        <v>1463</v>
      </c>
    </row>
    <row r="721" spans="1:9" x14ac:dyDescent="0.35">
      <c r="A721">
        <v>20260501</v>
      </c>
      <c r="B721" t="s">
        <v>1255</v>
      </c>
      <c r="C721">
        <v>3400</v>
      </c>
      <c r="D721" t="s">
        <v>485</v>
      </c>
      <c r="E721">
        <v>-93600</v>
      </c>
      <c r="F721" t="s">
        <v>1452</v>
      </c>
      <c r="G721">
        <v>0.82</v>
      </c>
      <c r="H721" t="s">
        <v>1462</v>
      </c>
      <c r="I721" t="s">
        <v>1463</v>
      </c>
    </row>
    <row r="722" spans="1:9" x14ac:dyDescent="0.35">
      <c r="A722">
        <v>20260501</v>
      </c>
      <c r="B722" t="s">
        <v>1155</v>
      </c>
      <c r="C722">
        <v>5000</v>
      </c>
      <c r="D722" t="s">
        <v>1131</v>
      </c>
      <c r="E722">
        <v>478400</v>
      </c>
      <c r="F722" t="s">
        <v>1452</v>
      </c>
      <c r="G722">
        <v>0.82</v>
      </c>
      <c r="H722" t="s">
        <v>1462</v>
      </c>
      <c r="I722" t="s">
        <v>1463</v>
      </c>
    </row>
    <row r="723" spans="1:9" x14ac:dyDescent="0.35">
      <c r="A723">
        <v>20260501</v>
      </c>
      <c r="B723" t="s">
        <v>1155</v>
      </c>
      <c r="C723">
        <v>5400</v>
      </c>
      <c r="D723" t="s">
        <v>1131</v>
      </c>
      <c r="E723">
        <v>67454.399999999994</v>
      </c>
      <c r="F723" t="s">
        <v>1452</v>
      </c>
      <c r="G723">
        <v>0.82</v>
      </c>
      <c r="H723" t="s">
        <v>1462</v>
      </c>
      <c r="I723" t="s">
        <v>1463</v>
      </c>
    </row>
    <row r="724" spans="1:9" x14ac:dyDescent="0.35">
      <c r="A724">
        <v>20260501</v>
      </c>
      <c r="B724" t="s">
        <v>1155</v>
      </c>
      <c r="C724">
        <v>6300</v>
      </c>
      <c r="D724" t="s">
        <v>1131</v>
      </c>
      <c r="E724">
        <v>88400</v>
      </c>
      <c r="F724" t="s">
        <v>1452</v>
      </c>
      <c r="G724">
        <v>0.82</v>
      </c>
      <c r="H724" t="s">
        <v>1462</v>
      </c>
      <c r="I724" t="s">
        <v>1463</v>
      </c>
    </row>
    <row r="725" spans="1:9" x14ac:dyDescent="0.35">
      <c r="A725">
        <v>20260501</v>
      </c>
      <c r="B725" t="s">
        <v>1155</v>
      </c>
      <c r="C725">
        <v>3900</v>
      </c>
      <c r="D725" t="s">
        <v>1131</v>
      </c>
      <c r="E725">
        <v>-676000</v>
      </c>
      <c r="F725" t="s">
        <v>1452</v>
      </c>
      <c r="G725">
        <v>0.82</v>
      </c>
      <c r="H725" t="s">
        <v>1462</v>
      </c>
      <c r="I725" t="s">
        <v>1463</v>
      </c>
    </row>
    <row r="726" spans="1:9" x14ac:dyDescent="0.35">
      <c r="A726">
        <v>20260501</v>
      </c>
      <c r="B726" t="s">
        <v>1138</v>
      </c>
      <c r="C726">
        <v>5000</v>
      </c>
      <c r="D726" t="s">
        <v>1131</v>
      </c>
      <c r="E726">
        <v>478400</v>
      </c>
      <c r="F726" t="s">
        <v>1452</v>
      </c>
      <c r="G726">
        <v>0.82</v>
      </c>
      <c r="H726" t="s">
        <v>1462</v>
      </c>
      <c r="I726" t="s">
        <v>1463</v>
      </c>
    </row>
    <row r="727" spans="1:9" x14ac:dyDescent="0.35">
      <c r="A727">
        <v>20260501</v>
      </c>
      <c r="B727" t="s">
        <v>1138</v>
      </c>
      <c r="C727">
        <v>5400</v>
      </c>
      <c r="D727" t="s">
        <v>1131</v>
      </c>
      <c r="E727">
        <v>67454.399999999994</v>
      </c>
      <c r="F727" t="s">
        <v>1452</v>
      </c>
      <c r="G727">
        <v>0.82</v>
      </c>
      <c r="H727" t="s">
        <v>1462</v>
      </c>
      <c r="I727" t="s">
        <v>1463</v>
      </c>
    </row>
    <row r="728" spans="1:9" x14ac:dyDescent="0.35">
      <c r="A728">
        <v>20260501</v>
      </c>
      <c r="B728" t="s">
        <v>1138</v>
      </c>
      <c r="C728">
        <v>6300</v>
      </c>
      <c r="D728" t="s">
        <v>1131</v>
      </c>
      <c r="E728">
        <v>88400</v>
      </c>
      <c r="F728" t="s">
        <v>1452</v>
      </c>
      <c r="G728">
        <v>0.82</v>
      </c>
      <c r="H728" t="s">
        <v>1462</v>
      </c>
      <c r="I728" t="s">
        <v>1463</v>
      </c>
    </row>
    <row r="729" spans="1:9" x14ac:dyDescent="0.35">
      <c r="A729">
        <v>20260501</v>
      </c>
      <c r="B729" t="s">
        <v>1138</v>
      </c>
      <c r="C729">
        <v>3900</v>
      </c>
      <c r="D729" t="s">
        <v>1131</v>
      </c>
      <c r="E729">
        <v>-676000</v>
      </c>
      <c r="F729" t="s">
        <v>1452</v>
      </c>
      <c r="G729">
        <v>0.82</v>
      </c>
      <c r="H729" t="s">
        <v>1462</v>
      </c>
      <c r="I729" t="s">
        <v>1463</v>
      </c>
    </row>
    <row r="730" spans="1:9" x14ac:dyDescent="0.35">
      <c r="A730">
        <v>20260601</v>
      </c>
      <c r="B730" t="s">
        <v>1150</v>
      </c>
      <c r="C730">
        <v>5000</v>
      </c>
      <c r="D730" t="s">
        <v>1131</v>
      </c>
      <c r="E730">
        <v>478400</v>
      </c>
      <c r="F730" t="s">
        <v>1452</v>
      </c>
      <c r="G730">
        <v>0.82</v>
      </c>
      <c r="H730" t="s">
        <v>1462</v>
      </c>
      <c r="I730" t="s">
        <v>1463</v>
      </c>
    </row>
    <row r="731" spans="1:9" x14ac:dyDescent="0.35">
      <c r="A731">
        <v>20260601</v>
      </c>
      <c r="B731" t="s">
        <v>1150</v>
      </c>
      <c r="C731">
        <v>5400</v>
      </c>
      <c r="D731" t="s">
        <v>1131</v>
      </c>
      <c r="E731">
        <v>67454.399999999994</v>
      </c>
      <c r="F731" t="s">
        <v>1452</v>
      </c>
      <c r="G731">
        <v>0.82</v>
      </c>
      <c r="H731" t="s">
        <v>1462</v>
      </c>
      <c r="I731" t="s">
        <v>1463</v>
      </c>
    </row>
    <row r="732" spans="1:9" x14ac:dyDescent="0.35">
      <c r="A732">
        <v>20260601</v>
      </c>
      <c r="B732" t="s">
        <v>1150</v>
      </c>
      <c r="C732">
        <v>6300</v>
      </c>
      <c r="D732" t="s">
        <v>1131</v>
      </c>
      <c r="E732">
        <v>88400</v>
      </c>
      <c r="F732" t="s">
        <v>1452</v>
      </c>
      <c r="G732">
        <v>0.82</v>
      </c>
      <c r="H732" t="s">
        <v>1462</v>
      </c>
      <c r="I732" t="s">
        <v>1463</v>
      </c>
    </row>
    <row r="733" spans="1:9" x14ac:dyDescent="0.35">
      <c r="A733">
        <v>20260601</v>
      </c>
      <c r="B733" t="s">
        <v>1150</v>
      </c>
      <c r="C733">
        <v>3900</v>
      </c>
      <c r="D733" t="s">
        <v>1131</v>
      </c>
      <c r="E733">
        <v>-676000</v>
      </c>
      <c r="F733" t="s">
        <v>1452</v>
      </c>
      <c r="G733">
        <v>0.82</v>
      </c>
      <c r="H733" t="s">
        <v>1462</v>
      </c>
      <c r="I733" t="s">
        <v>1463</v>
      </c>
    </row>
    <row r="734" spans="1:9" x14ac:dyDescent="0.35">
      <c r="A734">
        <v>20260601</v>
      </c>
      <c r="B734" t="s">
        <v>1272</v>
      </c>
      <c r="C734">
        <v>5100</v>
      </c>
      <c r="D734" t="s">
        <v>485</v>
      </c>
      <c r="E734">
        <v>93600</v>
      </c>
      <c r="F734" t="s">
        <v>1452</v>
      </c>
      <c r="G734">
        <v>0.82</v>
      </c>
      <c r="H734" t="s">
        <v>1462</v>
      </c>
      <c r="I734" t="s">
        <v>1463</v>
      </c>
    </row>
    <row r="735" spans="1:9" x14ac:dyDescent="0.35">
      <c r="A735">
        <v>20260601</v>
      </c>
      <c r="B735" t="s">
        <v>1272</v>
      </c>
      <c r="C735">
        <v>3400</v>
      </c>
      <c r="D735" t="s">
        <v>485</v>
      </c>
      <c r="E735">
        <v>-93600</v>
      </c>
      <c r="F735" t="s">
        <v>1452</v>
      </c>
      <c r="G735">
        <v>0.82</v>
      </c>
      <c r="H735" t="s">
        <v>1462</v>
      </c>
      <c r="I735" t="s">
        <v>1463</v>
      </c>
    </row>
    <row r="736" spans="1:9" x14ac:dyDescent="0.35">
      <c r="A736">
        <v>20260601</v>
      </c>
      <c r="B736" t="s">
        <v>1158</v>
      </c>
      <c r="C736">
        <v>5000</v>
      </c>
      <c r="D736" t="s">
        <v>1131</v>
      </c>
      <c r="E736">
        <v>478400</v>
      </c>
      <c r="F736" t="s">
        <v>1452</v>
      </c>
      <c r="G736">
        <v>0.82</v>
      </c>
      <c r="H736" t="s">
        <v>1462</v>
      </c>
      <c r="I736" t="s">
        <v>1463</v>
      </c>
    </row>
    <row r="737" spans="1:9" x14ac:dyDescent="0.35">
      <c r="A737">
        <v>20260601</v>
      </c>
      <c r="B737" t="s">
        <v>1158</v>
      </c>
      <c r="C737">
        <v>5400</v>
      </c>
      <c r="D737" t="s">
        <v>1131</v>
      </c>
      <c r="E737">
        <v>67454.399999999994</v>
      </c>
      <c r="F737" t="s">
        <v>1452</v>
      </c>
      <c r="G737">
        <v>0.82</v>
      </c>
      <c r="H737" t="s">
        <v>1462</v>
      </c>
      <c r="I737" t="s">
        <v>1463</v>
      </c>
    </row>
    <row r="738" spans="1:9" x14ac:dyDescent="0.35">
      <c r="A738">
        <v>20260601</v>
      </c>
      <c r="B738" t="s">
        <v>1158</v>
      </c>
      <c r="C738">
        <v>6300</v>
      </c>
      <c r="D738" t="s">
        <v>1131</v>
      </c>
      <c r="E738">
        <v>88400</v>
      </c>
      <c r="F738" t="s">
        <v>1452</v>
      </c>
      <c r="G738">
        <v>0.82</v>
      </c>
      <c r="H738" t="s">
        <v>1462</v>
      </c>
      <c r="I738" t="s">
        <v>1463</v>
      </c>
    </row>
    <row r="739" spans="1:9" x14ac:dyDescent="0.35">
      <c r="A739">
        <v>20260601</v>
      </c>
      <c r="B739" t="s">
        <v>1158</v>
      </c>
      <c r="C739">
        <v>3900</v>
      </c>
      <c r="D739" t="s">
        <v>1131</v>
      </c>
      <c r="E739">
        <v>-676000</v>
      </c>
      <c r="F739" t="s">
        <v>1452</v>
      </c>
      <c r="G739">
        <v>0.82</v>
      </c>
      <c r="H739" t="s">
        <v>1462</v>
      </c>
      <c r="I739" t="s">
        <v>1463</v>
      </c>
    </row>
    <row r="740" spans="1:9" x14ac:dyDescent="0.35">
      <c r="A740">
        <v>20260601</v>
      </c>
      <c r="B740" t="s">
        <v>1243</v>
      </c>
      <c r="C740">
        <v>5100</v>
      </c>
      <c r="D740" t="s">
        <v>485</v>
      </c>
      <c r="E740">
        <v>93600</v>
      </c>
      <c r="F740" t="s">
        <v>1452</v>
      </c>
      <c r="G740">
        <v>0.82</v>
      </c>
      <c r="H740" t="s">
        <v>1462</v>
      </c>
      <c r="I740" t="s">
        <v>1463</v>
      </c>
    </row>
    <row r="741" spans="1:9" x14ac:dyDescent="0.35">
      <c r="A741">
        <v>20260601</v>
      </c>
      <c r="B741" t="s">
        <v>1243</v>
      </c>
      <c r="C741">
        <v>3400</v>
      </c>
      <c r="D741" t="s">
        <v>485</v>
      </c>
      <c r="E741">
        <v>-93600</v>
      </c>
      <c r="F741" t="s">
        <v>1452</v>
      </c>
      <c r="G741">
        <v>0.82</v>
      </c>
      <c r="H741" t="s">
        <v>1462</v>
      </c>
      <c r="I741" t="s">
        <v>1463</v>
      </c>
    </row>
    <row r="742" spans="1:9" x14ac:dyDescent="0.35">
      <c r="A742">
        <v>20260601</v>
      </c>
      <c r="B742" t="s">
        <v>1205</v>
      </c>
      <c r="C742">
        <v>5000</v>
      </c>
      <c r="D742" t="s">
        <v>1131</v>
      </c>
      <c r="E742">
        <v>478400</v>
      </c>
      <c r="F742" t="s">
        <v>1452</v>
      </c>
      <c r="G742">
        <v>0.82</v>
      </c>
      <c r="H742" t="s">
        <v>1462</v>
      </c>
      <c r="I742" t="s">
        <v>1463</v>
      </c>
    </row>
    <row r="743" spans="1:9" x14ac:dyDescent="0.35">
      <c r="A743">
        <v>20260601</v>
      </c>
      <c r="B743" t="s">
        <v>1205</v>
      </c>
      <c r="C743">
        <v>5400</v>
      </c>
      <c r="D743" t="s">
        <v>1131</v>
      </c>
      <c r="E743">
        <v>67454.399999999994</v>
      </c>
      <c r="F743" t="s">
        <v>1452</v>
      </c>
      <c r="G743">
        <v>0.82</v>
      </c>
      <c r="H743" t="s">
        <v>1462</v>
      </c>
      <c r="I743" t="s">
        <v>1463</v>
      </c>
    </row>
    <row r="744" spans="1:9" x14ac:dyDescent="0.35">
      <c r="A744">
        <v>20260601</v>
      </c>
      <c r="B744" t="s">
        <v>1205</v>
      </c>
      <c r="C744">
        <v>6300</v>
      </c>
      <c r="D744" t="s">
        <v>1131</v>
      </c>
      <c r="E744">
        <v>88400</v>
      </c>
      <c r="F744" t="s">
        <v>1452</v>
      </c>
      <c r="G744">
        <v>0.82</v>
      </c>
      <c r="H744" t="s">
        <v>1462</v>
      </c>
      <c r="I744" t="s">
        <v>1463</v>
      </c>
    </row>
    <row r="745" spans="1:9" x14ac:dyDescent="0.35">
      <c r="A745">
        <v>20260601</v>
      </c>
      <c r="B745" t="s">
        <v>1205</v>
      </c>
      <c r="C745">
        <v>3900</v>
      </c>
      <c r="D745" t="s">
        <v>1131</v>
      </c>
      <c r="E745">
        <v>-676000</v>
      </c>
      <c r="F745" t="s">
        <v>1452</v>
      </c>
      <c r="G745">
        <v>0.82</v>
      </c>
      <c r="H745" t="s">
        <v>1462</v>
      </c>
      <c r="I745" t="s">
        <v>1463</v>
      </c>
    </row>
    <row r="746" spans="1:9" x14ac:dyDescent="0.35">
      <c r="A746">
        <v>20260601</v>
      </c>
      <c r="B746" t="s">
        <v>1257</v>
      </c>
      <c r="C746">
        <v>5100</v>
      </c>
      <c r="D746" t="s">
        <v>485</v>
      </c>
      <c r="E746">
        <v>93600</v>
      </c>
      <c r="F746" t="s">
        <v>1452</v>
      </c>
      <c r="G746">
        <v>0.82</v>
      </c>
      <c r="H746" t="s">
        <v>1462</v>
      </c>
      <c r="I746" t="s">
        <v>1463</v>
      </c>
    </row>
    <row r="747" spans="1:9" x14ac:dyDescent="0.35">
      <c r="A747">
        <v>20260601</v>
      </c>
      <c r="B747" t="s">
        <v>1257</v>
      </c>
      <c r="C747">
        <v>3400</v>
      </c>
      <c r="D747" t="s">
        <v>485</v>
      </c>
      <c r="E747">
        <v>-93600</v>
      </c>
      <c r="F747" t="s">
        <v>1452</v>
      </c>
      <c r="G747">
        <v>0.82</v>
      </c>
      <c r="H747" t="s">
        <v>1462</v>
      </c>
      <c r="I747" t="s">
        <v>1463</v>
      </c>
    </row>
    <row r="748" spans="1:9" x14ac:dyDescent="0.35">
      <c r="A748">
        <v>20260601</v>
      </c>
      <c r="B748" t="s">
        <v>1164</v>
      </c>
      <c r="C748">
        <v>5000</v>
      </c>
      <c r="D748" t="s">
        <v>1131</v>
      </c>
      <c r="E748">
        <v>478400</v>
      </c>
      <c r="F748" t="s">
        <v>1452</v>
      </c>
      <c r="G748">
        <v>0.82</v>
      </c>
      <c r="H748" t="s">
        <v>1462</v>
      </c>
      <c r="I748" t="s">
        <v>1463</v>
      </c>
    </row>
    <row r="749" spans="1:9" x14ac:dyDescent="0.35">
      <c r="A749">
        <v>20260601</v>
      </c>
      <c r="B749" t="s">
        <v>1164</v>
      </c>
      <c r="C749">
        <v>5400</v>
      </c>
      <c r="D749" t="s">
        <v>1131</v>
      </c>
      <c r="E749">
        <v>67454.399999999994</v>
      </c>
      <c r="F749" t="s">
        <v>1452</v>
      </c>
      <c r="G749">
        <v>0.82</v>
      </c>
      <c r="H749" t="s">
        <v>1462</v>
      </c>
      <c r="I749" t="s">
        <v>1463</v>
      </c>
    </row>
    <row r="750" spans="1:9" x14ac:dyDescent="0.35">
      <c r="A750">
        <v>20260601</v>
      </c>
      <c r="B750" t="s">
        <v>1164</v>
      </c>
      <c r="C750">
        <v>6300</v>
      </c>
      <c r="D750" t="s">
        <v>1131</v>
      </c>
      <c r="E750">
        <v>88400</v>
      </c>
      <c r="F750" t="s">
        <v>1452</v>
      </c>
      <c r="G750">
        <v>0.82</v>
      </c>
      <c r="H750" t="s">
        <v>1462</v>
      </c>
      <c r="I750" t="s">
        <v>1463</v>
      </c>
    </row>
    <row r="751" spans="1:9" x14ac:dyDescent="0.35">
      <c r="A751">
        <v>20260601</v>
      </c>
      <c r="B751" t="s">
        <v>1164</v>
      </c>
      <c r="C751">
        <v>3900</v>
      </c>
      <c r="D751" t="s">
        <v>1131</v>
      </c>
      <c r="E751">
        <v>-676000</v>
      </c>
      <c r="F751" t="s">
        <v>1452</v>
      </c>
      <c r="G751">
        <v>0.82</v>
      </c>
      <c r="H751" t="s">
        <v>1462</v>
      </c>
      <c r="I751" t="s">
        <v>1463</v>
      </c>
    </row>
    <row r="752" spans="1:9" x14ac:dyDescent="0.35">
      <c r="A752">
        <v>20260601</v>
      </c>
      <c r="B752" t="s">
        <v>1249</v>
      </c>
      <c r="C752">
        <v>5100</v>
      </c>
      <c r="D752" t="s">
        <v>485</v>
      </c>
      <c r="E752">
        <v>93600</v>
      </c>
      <c r="F752" t="s">
        <v>1452</v>
      </c>
      <c r="G752">
        <v>0.82</v>
      </c>
      <c r="H752" t="s">
        <v>1462</v>
      </c>
      <c r="I752" t="s">
        <v>1463</v>
      </c>
    </row>
    <row r="753" spans="1:9" x14ac:dyDescent="0.35">
      <c r="A753">
        <v>20260601</v>
      </c>
      <c r="B753" t="s">
        <v>1249</v>
      </c>
      <c r="C753">
        <v>3400</v>
      </c>
      <c r="D753" t="s">
        <v>485</v>
      </c>
      <c r="E753">
        <v>-93600</v>
      </c>
      <c r="F753" t="s">
        <v>1452</v>
      </c>
      <c r="G753">
        <v>0.82</v>
      </c>
      <c r="H753" t="s">
        <v>1462</v>
      </c>
      <c r="I753" t="s">
        <v>1463</v>
      </c>
    </row>
    <row r="754" spans="1:9" x14ac:dyDescent="0.35">
      <c r="A754">
        <v>20260601</v>
      </c>
      <c r="B754" t="s">
        <v>1169</v>
      </c>
      <c r="C754">
        <v>5000</v>
      </c>
      <c r="D754" t="s">
        <v>1131</v>
      </c>
      <c r="E754">
        <v>478400</v>
      </c>
      <c r="F754" t="s">
        <v>1452</v>
      </c>
      <c r="G754">
        <v>0.82</v>
      </c>
      <c r="H754" t="s">
        <v>1462</v>
      </c>
      <c r="I754" t="s">
        <v>1463</v>
      </c>
    </row>
    <row r="755" spans="1:9" x14ac:dyDescent="0.35">
      <c r="A755">
        <v>20260601</v>
      </c>
      <c r="B755" t="s">
        <v>1169</v>
      </c>
      <c r="C755">
        <v>5400</v>
      </c>
      <c r="D755" t="s">
        <v>1131</v>
      </c>
      <c r="E755">
        <v>67454.399999999994</v>
      </c>
      <c r="F755" t="s">
        <v>1452</v>
      </c>
      <c r="G755">
        <v>0.82</v>
      </c>
      <c r="H755" t="s">
        <v>1462</v>
      </c>
      <c r="I755" t="s">
        <v>1463</v>
      </c>
    </row>
    <row r="756" spans="1:9" x14ac:dyDescent="0.35">
      <c r="A756">
        <v>20260601</v>
      </c>
      <c r="B756" t="s">
        <v>1169</v>
      </c>
      <c r="C756">
        <v>6300</v>
      </c>
      <c r="D756" t="s">
        <v>1131</v>
      </c>
      <c r="E756">
        <v>88400</v>
      </c>
      <c r="F756" t="s">
        <v>1452</v>
      </c>
      <c r="G756">
        <v>0.82</v>
      </c>
      <c r="H756" t="s">
        <v>1462</v>
      </c>
      <c r="I756" t="s">
        <v>1463</v>
      </c>
    </row>
    <row r="757" spans="1:9" x14ac:dyDescent="0.35">
      <c r="A757">
        <v>20260601</v>
      </c>
      <c r="B757" t="s">
        <v>1169</v>
      </c>
      <c r="C757">
        <v>3900</v>
      </c>
      <c r="D757" t="s">
        <v>1131</v>
      </c>
      <c r="E757">
        <v>-676000</v>
      </c>
      <c r="F757" t="s">
        <v>1452</v>
      </c>
      <c r="G757">
        <v>0.82</v>
      </c>
      <c r="H757" t="s">
        <v>1462</v>
      </c>
      <c r="I757" t="s">
        <v>1463</v>
      </c>
    </row>
    <row r="758" spans="1:9" x14ac:dyDescent="0.35">
      <c r="A758">
        <v>20260601</v>
      </c>
      <c r="B758" t="s">
        <v>1260</v>
      </c>
      <c r="C758">
        <v>5100</v>
      </c>
      <c r="D758" t="s">
        <v>485</v>
      </c>
      <c r="E758">
        <v>93600</v>
      </c>
      <c r="F758" t="s">
        <v>1452</v>
      </c>
      <c r="G758">
        <v>0.82</v>
      </c>
      <c r="H758" t="s">
        <v>1462</v>
      </c>
      <c r="I758" t="s">
        <v>1463</v>
      </c>
    </row>
    <row r="759" spans="1:9" x14ac:dyDescent="0.35">
      <c r="A759">
        <v>20260601</v>
      </c>
      <c r="B759" t="s">
        <v>1260</v>
      </c>
      <c r="C759">
        <v>3400</v>
      </c>
      <c r="D759" t="s">
        <v>485</v>
      </c>
      <c r="E759">
        <v>-93600</v>
      </c>
      <c r="F759" t="s">
        <v>1452</v>
      </c>
      <c r="G759">
        <v>0.82</v>
      </c>
      <c r="H759" t="s">
        <v>1462</v>
      </c>
      <c r="I759" t="s">
        <v>1463</v>
      </c>
    </row>
    <row r="760" spans="1:9" x14ac:dyDescent="0.35">
      <c r="A760">
        <v>20260601</v>
      </c>
      <c r="B760" t="s">
        <v>1175</v>
      </c>
      <c r="C760">
        <v>5000</v>
      </c>
      <c r="D760" t="s">
        <v>1131</v>
      </c>
      <c r="E760">
        <v>478400</v>
      </c>
      <c r="F760" t="s">
        <v>1452</v>
      </c>
      <c r="G760">
        <v>0.82</v>
      </c>
      <c r="H760" t="s">
        <v>1462</v>
      </c>
      <c r="I760" t="s">
        <v>1463</v>
      </c>
    </row>
    <row r="761" spans="1:9" x14ac:dyDescent="0.35">
      <c r="A761">
        <v>20260601</v>
      </c>
      <c r="B761" t="s">
        <v>1175</v>
      </c>
      <c r="C761">
        <v>5400</v>
      </c>
      <c r="D761" t="s">
        <v>1131</v>
      </c>
      <c r="E761">
        <v>67454.399999999994</v>
      </c>
      <c r="F761" t="s">
        <v>1452</v>
      </c>
      <c r="G761">
        <v>0.82</v>
      </c>
      <c r="H761" t="s">
        <v>1462</v>
      </c>
      <c r="I761" t="s">
        <v>1463</v>
      </c>
    </row>
    <row r="762" spans="1:9" x14ac:dyDescent="0.35">
      <c r="A762">
        <v>20260601</v>
      </c>
      <c r="B762" t="s">
        <v>1175</v>
      </c>
      <c r="C762">
        <v>6300</v>
      </c>
      <c r="D762" t="s">
        <v>1131</v>
      </c>
      <c r="E762">
        <v>88400</v>
      </c>
      <c r="F762" t="s">
        <v>1452</v>
      </c>
      <c r="G762">
        <v>0.82</v>
      </c>
      <c r="H762" t="s">
        <v>1462</v>
      </c>
      <c r="I762" t="s">
        <v>1463</v>
      </c>
    </row>
    <row r="763" spans="1:9" x14ac:dyDescent="0.35">
      <c r="A763">
        <v>20260601</v>
      </c>
      <c r="B763" t="s">
        <v>1175</v>
      </c>
      <c r="C763">
        <v>3900</v>
      </c>
      <c r="D763" t="s">
        <v>1131</v>
      </c>
      <c r="E763">
        <v>-676000</v>
      </c>
      <c r="F763" t="s">
        <v>1452</v>
      </c>
      <c r="G763">
        <v>0.82</v>
      </c>
      <c r="H763" t="s">
        <v>1462</v>
      </c>
      <c r="I763" t="s">
        <v>1463</v>
      </c>
    </row>
    <row r="764" spans="1:9" x14ac:dyDescent="0.35">
      <c r="A764">
        <v>20260601</v>
      </c>
      <c r="B764" t="s">
        <v>1247</v>
      </c>
      <c r="C764">
        <v>5100</v>
      </c>
      <c r="D764" t="s">
        <v>485</v>
      </c>
      <c r="E764">
        <v>93600</v>
      </c>
      <c r="F764" t="s">
        <v>1452</v>
      </c>
      <c r="G764">
        <v>0.82</v>
      </c>
      <c r="H764" t="s">
        <v>1462</v>
      </c>
      <c r="I764" t="s">
        <v>1463</v>
      </c>
    </row>
    <row r="765" spans="1:9" x14ac:dyDescent="0.35">
      <c r="A765">
        <v>20260601</v>
      </c>
      <c r="B765" t="s">
        <v>1247</v>
      </c>
      <c r="C765">
        <v>3400</v>
      </c>
      <c r="D765" t="s">
        <v>485</v>
      </c>
      <c r="E765">
        <v>-93600</v>
      </c>
      <c r="F765" t="s">
        <v>1452</v>
      </c>
      <c r="G765">
        <v>0.82</v>
      </c>
      <c r="H765" t="s">
        <v>1462</v>
      </c>
      <c r="I765" t="s">
        <v>1463</v>
      </c>
    </row>
    <row r="766" spans="1:9" x14ac:dyDescent="0.35">
      <c r="A766">
        <v>20260601</v>
      </c>
      <c r="B766" t="s">
        <v>1130</v>
      </c>
      <c r="C766">
        <v>5000</v>
      </c>
      <c r="D766" t="s">
        <v>1131</v>
      </c>
      <c r="E766">
        <v>478400</v>
      </c>
      <c r="F766" t="s">
        <v>1452</v>
      </c>
      <c r="G766">
        <v>0.82</v>
      </c>
      <c r="H766" t="s">
        <v>1462</v>
      </c>
      <c r="I766" t="s">
        <v>1463</v>
      </c>
    </row>
    <row r="767" spans="1:9" x14ac:dyDescent="0.35">
      <c r="A767">
        <v>20260601</v>
      </c>
      <c r="B767" t="s">
        <v>1130</v>
      </c>
      <c r="C767">
        <v>5400</v>
      </c>
      <c r="D767" t="s">
        <v>1131</v>
      </c>
      <c r="E767">
        <v>67454.399999999994</v>
      </c>
      <c r="F767" t="s">
        <v>1452</v>
      </c>
      <c r="G767">
        <v>0.82</v>
      </c>
      <c r="H767" t="s">
        <v>1462</v>
      </c>
      <c r="I767" t="s">
        <v>1463</v>
      </c>
    </row>
    <row r="768" spans="1:9" x14ac:dyDescent="0.35">
      <c r="A768">
        <v>20260601</v>
      </c>
      <c r="B768" t="s">
        <v>1130</v>
      </c>
      <c r="C768">
        <v>6300</v>
      </c>
      <c r="D768" t="s">
        <v>1131</v>
      </c>
      <c r="E768">
        <v>88400</v>
      </c>
      <c r="F768" t="s">
        <v>1452</v>
      </c>
      <c r="G768">
        <v>0.82</v>
      </c>
      <c r="H768" t="s">
        <v>1462</v>
      </c>
      <c r="I768" t="s">
        <v>1463</v>
      </c>
    </row>
    <row r="769" spans="1:9" x14ac:dyDescent="0.35">
      <c r="A769">
        <v>20260601</v>
      </c>
      <c r="B769" t="s">
        <v>1130</v>
      </c>
      <c r="C769">
        <v>3900</v>
      </c>
      <c r="D769" t="s">
        <v>1131</v>
      </c>
      <c r="E769">
        <v>-676000</v>
      </c>
      <c r="F769" t="s">
        <v>1452</v>
      </c>
      <c r="G769">
        <v>0.82</v>
      </c>
      <c r="H769" t="s">
        <v>1462</v>
      </c>
      <c r="I769" t="s">
        <v>1463</v>
      </c>
    </row>
    <row r="770" spans="1:9" x14ac:dyDescent="0.35">
      <c r="A770">
        <v>20260601</v>
      </c>
      <c r="B770" t="s">
        <v>1265</v>
      </c>
      <c r="C770">
        <v>5100</v>
      </c>
      <c r="D770" t="s">
        <v>485</v>
      </c>
      <c r="E770">
        <v>93600</v>
      </c>
      <c r="F770" t="s">
        <v>1452</v>
      </c>
      <c r="G770">
        <v>0.82</v>
      </c>
      <c r="H770" t="s">
        <v>1462</v>
      </c>
      <c r="I770" t="s">
        <v>1463</v>
      </c>
    </row>
    <row r="771" spans="1:9" x14ac:dyDescent="0.35">
      <c r="A771">
        <v>20260601</v>
      </c>
      <c r="B771" t="s">
        <v>1265</v>
      </c>
      <c r="C771">
        <v>3400</v>
      </c>
      <c r="D771" t="s">
        <v>485</v>
      </c>
      <c r="E771">
        <v>-93600</v>
      </c>
      <c r="F771" t="s">
        <v>1452</v>
      </c>
      <c r="G771">
        <v>0.82</v>
      </c>
      <c r="H771" t="s">
        <v>1462</v>
      </c>
      <c r="I771" t="s">
        <v>1463</v>
      </c>
    </row>
    <row r="772" spans="1:9" x14ac:dyDescent="0.35">
      <c r="A772">
        <v>20260601</v>
      </c>
      <c r="B772" t="s">
        <v>1173</v>
      </c>
      <c r="C772">
        <v>5000</v>
      </c>
      <c r="D772" t="s">
        <v>1131</v>
      </c>
      <c r="E772">
        <v>478400</v>
      </c>
      <c r="F772" t="s">
        <v>1452</v>
      </c>
      <c r="G772">
        <v>0.82</v>
      </c>
      <c r="H772" t="s">
        <v>1462</v>
      </c>
      <c r="I772" t="s">
        <v>1463</v>
      </c>
    </row>
    <row r="773" spans="1:9" x14ac:dyDescent="0.35">
      <c r="A773">
        <v>20260601</v>
      </c>
      <c r="B773" t="s">
        <v>1173</v>
      </c>
      <c r="C773">
        <v>5400</v>
      </c>
      <c r="D773" t="s">
        <v>1131</v>
      </c>
      <c r="E773">
        <v>67454.399999999994</v>
      </c>
      <c r="F773" t="s">
        <v>1452</v>
      </c>
      <c r="G773">
        <v>0.82</v>
      </c>
      <c r="H773" t="s">
        <v>1462</v>
      </c>
      <c r="I773" t="s">
        <v>1463</v>
      </c>
    </row>
    <row r="774" spans="1:9" x14ac:dyDescent="0.35">
      <c r="A774">
        <v>20260601</v>
      </c>
      <c r="B774" t="s">
        <v>1173</v>
      </c>
      <c r="C774">
        <v>6300</v>
      </c>
      <c r="D774" t="s">
        <v>1131</v>
      </c>
      <c r="E774">
        <v>88400</v>
      </c>
      <c r="F774" t="s">
        <v>1452</v>
      </c>
      <c r="G774">
        <v>0.82</v>
      </c>
      <c r="H774" t="s">
        <v>1462</v>
      </c>
      <c r="I774" t="s">
        <v>1463</v>
      </c>
    </row>
    <row r="775" spans="1:9" x14ac:dyDescent="0.35">
      <c r="A775">
        <v>20260601</v>
      </c>
      <c r="B775" t="s">
        <v>1173</v>
      </c>
      <c r="C775">
        <v>3900</v>
      </c>
      <c r="D775" t="s">
        <v>1131</v>
      </c>
      <c r="E775">
        <v>-676000</v>
      </c>
      <c r="F775" t="s">
        <v>1452</v>
      </c>
      <c r="G775">
        <v>0.82</v>
      </c>
      <c r="H775" t="s">
        <v>1462</v>
      </c>
      <c r="I775" t="s">
        <v>1463</v>
      </c>
    </row>
    <row r="776" spans="1:9" x14ac:dyDescent="0.35">
      <c r="A776">
        <v>20260601</v>
      </c>
      <c r="B776" t="s">
        <v>1255</v>
      </c>
      <c r="C776">
        <v>5100</v>
      </c>
      <c r="D776" t="s">
        <v>485</v>
      </c>
      <c r="E776">
        <v>93600</v>
      </c>
      <c r="F776" t="s">
        <v>1452</v>
      </c>
      <c r="G776">
        <v>0.82</v>
      </c>
      <c r="H776" t="s">
        <v>1462</v>
      </c>
      <c r="I776" t="s">
        <v>1463</v>
      </c>
    </row>
    <row r="777" spans="1:9" x14ac:dyDescent="0.35">
      <c r="A777">
        <v>20260601</v>
      </c>
      <c r="B777" t="s">
        <v>1255</v>
      </c>
      <c r="C777">
        <v>3400</v>
      </c>
      <c r="D777" t="s">
        <v>485</v>
      </c>
      <c r="E777">
        <v>-93600</v>
      </c>
      <c r="F777" t="s">
        <v>1452</v>
      </c>
      <c r="G777">
        <v>0.82</v>
      </c>
      <c r="H777" t="s">
        <v>1462</v>
      </c>
      <c r="I777" t="s">
        <v>1463</v>
      </c>
    </row>
    <row r="778" spans="1:9" x14ac:dyDescent="0.35">
      <c r="A778">
        <v>20260601</v>
      </c>
      <c r="B778" t="s">
        <v>1155</v>
      </c>
      <c r="C778">
        <v>5000</v>
      </c>
      <c r="D778" t="s">
        <v>1131</v>
      </c>
      <c r="E778">
        <v>478400</v>
      </c>
      <c r="F778" t="s">
        <v>1452</v>
      </c>
      <c r="G778">
        <v>0.82</v>
      </c>
      <c r="H778" t="s">
        <v>1462</v>
      </c>
      <c r="I778" t="s">
        <v>1463</v>
      </c>
    </row>
    <row r="779" spans="1:9" x14ac:dyDescent="0.35">
      <c r="A779">
        <v>20260601</v>
      </c>
      <c r="B779" t="s">
        <v>1155</v>
      </c>
      <c r="C779">
        <v>5400</v>
      </c>
      <c r="D779" t="s">
        <v>1131</v>
      </c>
      <c r="E779">
        <v>67454.399999999994</v>
      </c>
      <c r="F779" t="s">
        <v>1452</v>
      </c>
      <c r="G779">
        <v>0.82</v>
      </c>
      <c r="H779" t="s">
        <v>1462</v>
      </c>
      <c r="I779" t="s">
        <v>1463</v>
      </c>
    </row>
    <row r="780" spans="1:9" x14ac:dyDescent="0.35">
      <c r="A780">
        <v>20260601</v>
      </c>
      <c r="B780" t="s">
        <v>1155</v>
      </c>
      <c r="C780">
        <v>6300</v>
      </c>
      <c r="D780" t="s">
        <v>1131</v>
      </c>
      <c r="E780">
        <v>88400</v>
      </c>
      <c r="F780" t="s">
        <v>1452</v>
      </c>
      <c r="G780">
        <v>0.82</v>
      </c>
      <c r="H780" t="s">
        <v>1462</v>
      </c>
      <c r="I780" t="s">
        <v>1463</v>
      </c>
    </row>
    <row r="781" spans="1:9" x14ac:dyDescent="0.35">
      <c r="A781">
        <v>20260601</v>
      </c>
      <c r="B781" t="s">
        <v>1155</v>
      </c>
      <c r="C781">
        <v>3900</v>
      </c>
      <c r="D781" t="s">
        <v>1131</v>
      </c>
      <c r="E781">
        <v>-676000</v>
      </c>
      <c r="F781" t="s">
        <v>1452</v>
      </c>
      <c r="G781">
        <v>0.82</v>
      </c>
      <c r="H781" t="s">
        <v>1462</v>
      </c>
      <c r="I781" t="s">
        <v>1463</v>
      </c>
    </row>
    <row r="782" spans="1:9" x14ac:dyDescent="0.35">
      <c r="A782">
        <v>20260601</v>
      </c>
      <c r="B782" t="s">
        <v>1138</v>
      </c>
      <c r="C782">
        <v>5000</v>
      </c>
      <c r="D782" t="s">
        <v>1131</v>
      </c>
      <c r="E782">
        <v>478400</v>
      </c>
      <c r="F782" t="s">
        <v>1452</v>
      </c>
      <c r="G782">
        <v>0.82</v>
      </c>
      <c r="H782" t="s">
        <v>1462</v>
      </c>
      <c r="I782" t="s">
        <v>1463</v>
      </c>
    </row>
    <row r="783" spans="1:9" x14ac:dyDescent="0.35">
      <c r="A783">
        <v>20260601</v>
      </c>
      <c r="B783" t="s">
        <v>1138</v>
      </c>
      <c r="C783">
        <v>5400</v>
      </c>
      <c r="D783" t="s">
        <v>1131</v>
      </c>
      <c r="E783">
        <v>67454.399999999994</v>
      </c>
      <c r="F783" t="s">
        <v>1452</v>
      </c>
      <c r="G783">
        <v>0.82</v>
      </c>
      <c r="H783" t="s">
        <v>1462</v>
      </c>
      <c r="I783" t="s">
        <v>1463</v>
      </c>
    </row>
    <row r="784" spans="1:9" x14ac:dyDescent="0.35">
      <c r="A784">
        <v>20260601</v>
      </c>
      <c r="B784" t="s">
        <v>1138</v>
      </c>
      <c r="C784">
        <v>6300</v>
      </c>
      <c r="D784" t="s">
        <v>1131</v>
      </c>
      <c r="E784">
        <v>88400</v>
      </c>
      <c r="F784" t="s">
        <v>1452</v>
      </c>
      <c r="G784">
        <v>0.82</v>
      </c>
      <c r="H784" t="s">
        <v>1462</v>
      </c>
      <c r="I784" t="s">
        <v>1463</v>
      </c>
    </row>
    <row r="785" spans="1:9" x14ac:dyDescent="0.35">
      <c r="A785">
        <v>20260601</v>
      </c>
      <c r="B785" t="s">
        <v>1138</v>
      </c>
      <c r="C785">
        <v>3900</v>
      </c>
      <c r="D785" t="s">
        <v>1131</v>
      </c>
      <c r="E785">
        <v>-676000</v>
      </c>
      <c r="F785" t="s">
        <v>1452</v>
      </c>
      <c r="G785">
        <v>0.82</v>
      </c>
      <c r="H785" t="s">
        <v>1462</v>
      </c>
      <c r="I785" t="s">
        <v>1463</v>
      </c>
    </row>
    <row r="786" spans="1:9" x14ac:dyDescent="0.35">
      <c r="A786">
        <v>20260701</v>
      </c>
      <c r="B786" t="s">
        <v>1150</v>
      </c>
      <c r="C786">
        <v>5000</v>
      </c>
      <c r="D786" t="s">
        <v>1131</v>
      </c>
      <c r="E786">
        <v>478400</v>
      </c>
      <c r="F786" t="s">
        <v>1452</v>
      </c>
      <c r="G786">
        <v>0.82</v>
      </c>
      <c r="H786" t="s">
        <v>1462</v>
      </c>
      <c r="I786" t="s">
        <v>1463</v>
      </c>
    </row>
    <row r="787" spans="1:9" x14ac:dyDescent="0.35">
      <c r="A787">
        <v>20260701</v>
      </c>
      <c r="B787" t="s">
        <v>1150</v>
      </c>
      <c r="C787">
        <v>5400</v>
      </c>
      <c r="D787" t="s">
        <v>1131</v>
      </c>
      <c r="E787">
        <v>67454.399999999994</v>
      </c>
      <c r="F787" t="s">
        <v>1452</v>
      </c>
      <c r="G787">
        <v>0.82</v>
      </c>
      <c r="H787" t="s">
        <v>1462</v>
      </c>
      <c r="I787" t="s">
        <v>1463</v>
      </c>
    </row>
    <row r="788" spans="1:9" x14ac:dyDescent="0.35">
      <c r="A788">
        <v>20260701</v>
      </c>
      <c r="B788" t="s">
        <v>1150</v>
      </c>
      <c r="C788">
        <v>6300</v>
      </c>
      <c r="D788" t="s">
        <v>1131</v>
      </c>
      <c r="E788">
        <v>88400</v>
      </c>
      <c r="F788" t="s">
        <v>1452</v>
      </c>
      <c r="G788">
        <v>0.82</v>
      </c>
      <c r="H788" t="s">
        <v>1462</v>
      </c>
      <c r="I788" t="s">
        <v>1463</v>
      </c>
    </row>
    <row r="789" spans="1:9" x14ac:dyDescent="0.35">
      <c r="A789">
        <v>20260701</v>
      </c>
      <c r="B789" t="s">
        <v>1150</v>
      </c>
      <c r="C789">
        <v>3900</v>
      </c>
      <c r="D789" t="s">
        <v>1131</v>
      </c>
      <c r="E789">
        <v>-676000</v>
      </c>
      <c r="F789" t="s">
        <v>1452</v>
      </c>
      <c r="G789">
        <v>0.82</v>
      </c>
      <c r="H789" t="s">
        <v>1462</v>
      </c>
      <c r="I789" t="s">
        <v>1463</v>
      </c>
    </row>
    <row r="790" spans="1:9" x14ac:dyDescent="0.35">
      <c r="A790">
        <v>20260701</v>
      </c>
      <c r="B790" t="s">
        <v>1272</v>
      </c>
      <c r="C790">
        <v>5100</v>
      </c>
      <c r="D790" t="s">
        <v>485</v>
      </c>
      <c r="E790">
        <v>93600</v>
      </c>
      <c r="F790" t="s">
        <v>1452</v>
      </c>
      <c r="G790">
        <v>0.82</v>
      </c>
      <c r="H790" t="s">
        <v>1462</v>
      </c>
      <c r="I790" t="s">
        <v>1463</v>
      </c>
    </row>
    <row r="791" spans="1:9" x14ac:dyDescent="0.35">
      <c r="A791">
        <v>20260701</v>
      </c>
      <c r="B791" t="s">
        <v>1272</v>
      </c>
      <c r="C791">
        <v>3400</v>
      </c>
      <c r="D791" t="s">
        <v>485</v>
      </c>
      <c r="E791">
        <v>-93600</v>
      </c>
      <c r="F791" t="s">
        <v>1452</v>
      </c>
      <c r="G791">
        <v>0.82</v>
      </c>
      <c r="H791" t="s">
        <v>1462</v>
      </c>
      <c r="I791" t="s">
        <v>1463</v>
      </c>
    </row>
    <row r="792" spans="1:9" x14ac:dyDescent="0.35">
      <c r="A792">
        <v>20260701</v>
      </c>
      <c r="B792" t="s">
        <v>1158</v>
      </c>
      <c r="C792">
        <v>5000</v>
      </c>
      <c r="D792" t="s">
        <v>1131</v>
      </c>
      <c r="E792">
        <v>478400</v>
      </c>
      <c r="F792" t="s">
        <v>1452</v>
      </c>
      <c r="G792">
        <v>0.82</v>
      </c>
      <c r="H792" t="s">
        <v>1462</v>
      </c>
      <c r="I792" t="s">
        <v>1463</v>
      </c>
    </row>
    <row r="793" spans="1:9" x14ac:dyDescent="0.35">
      <c r="A793">
        <v>20260701</v>
      </c>
      <c r="B793" t="s">
        <v>1158</v>
      </c>
      <c r="C793">
        <v>5400</v>
      </c>
      <c r="D793" t="s">
        <v>1131</v>
      </c>
      <c r="E793">
        <v>67454.399999999994</v>
      </c>
      <c r="F793" t="s">
        <v>1452</v>
      </c>
      <c r="G793">
        <v>0.82</v>
      </c>
      <c r="H793" t="s">
        <v>1462</v>
      </c>
      <c r="I793" t="s">
        <v>1463</v>
      </c>
    </row>
    <row r="794" spans="1:9" x14ac:dyDescent="0.35">
      <c r="A794">
        <v>20260701</v>
      </c>
      <c r="B794" t="s">
        <v>1158</v>
      </c>
      <c r="C794">
        <v>6300</v>
      </c>
      <c r="D794" t="s">
        <v>1131</v>
      </c>
      <c r="E794">
        <v>88400</v>
      </c>
      <c r="F794" t="s">
        <v>1452</v>
      </c>
      <c r="G794">
        <v>0.82</v>
      </c>
      <c r="H794" t="s">
        <v>1462</v>
      </c>
      <c r="I794" t="s">
        <v>1463</v>
      </c>
    </row>
    <row r="795" spans="1:9" x14ac:dyDescent="0.35">
      <c r="A795">
        <v>20260701</v>
      </c>
      <c r="B795" t="s">
        <v>1158</v>
      </c>
      <c r="C795">
        <v>3900</v>
      </c>
      <c r="D795" t="s">
        <v>1131</v>
      </c>
      <c r="E795">
        <v>-676000</v>
      </c>
      <c r="F795" t="s">
        <v>1452</v>
      </c>
      <c r="G795">
        <v>0.82</v>
      </c>
      <c r="H795" t="s">
        <v>1462</v>
      </c>
      <c r="I795" t="s">
        <v>1463</v>
      </c>
    </row>
    <row r="796" spans="1:9" x14ac:dyDescent="0.35">
      <c r="A796">
        <v>20260701</v>
      </c>
      <c r="B796" t="s">
        <v>1243</v>
      </c>
      <c r="C796">
        <v>5100</v>
      </c>
      <c r="D796" t="s">
        <v>485</v>
      </c>
      <c r="E796">
        <v>93600</v>
      </c>
      <c r="F796" t="s">
        <v>1452</v>
      </c>
      <c r="G796">
        <v>0.82</v>
      </c>
      <c r="H796" t="s">
        <v>1462</v>
      </c>
      <c r="I796" t="s">
        <v>1463</v>
      </c>
    </row>
    <row r="797" spans="1:9" x14ac:dyDescent="0.35">
      <c r="A797">
        <v>20260701</v>
      </c>
      <c r="B797" t="s">
        <v>1243</v>
      </c>
      <c r="C797">
        <v>3400</v>
      </c>
      <c r="D797" t="s">
        <v>485</v>
      </c>
      <c r="E797">
        <v>-93600</v>
      </c>
      <c r="F797" t="s">
        <v>1452</v>
      </c>
      <c r="G797">
        <v>0.82</v>
      </c>
      <c r="H797" t="s">
        <v>1462</v>
      </c>
      <c r="I797" t="s">
        <v>1463</v>
      </c>
    </row>
    <row r="798" spans="1:9" x14ac:dyDescent="0.35">
      <c r="A798">
        <v>20260701</v>
      </c>
      <c r="B798" t="s">
        <v>1205</v>
      </c>
      <c r="C798">
        <v>5000</v>
      </c>
      <c r="D798" t="s">
        <v>1131</v>
      </c>
      <c r="E798">
        <v>478400</v>
      </c>
      <c r="F798" t="s">
        <v>1452</v>
      </c>
      <c r="G798">
        <v>0.82</v>
      </c>
      <c r="H798" t="s">
        <v>1462</v>
      </c>
      <c r="I798" t="s">
        <v>1463</v>
      </c>
    </row>
    <row r="799" spans="1:9" x14ac:dyDescent="0.35">
      <c r="A799">
        <v>20260701</v>
      </c>
      <c r="B799" t="s">
        <v>1205</v>
      </c>
      <c r="C799">
        <v>5400</v>
      </c>
      <c r="D799" t="s">
        <v>1131</v>
      </c>
      <c r="E799">
        <v>67454.399999999994</v>
      </c>
      <c r="F799" t="s">
        <v>1452</v>
      </c>
      <c r="G799">
        <v>0.82</v>
      </c>
      <c r="H799" t="s">
        <v>1462</v>
      </c>
      <c r="I799" t="s">
        <v>1463</v>
      </c>
    </row>
    <row r="800" spans="1:9" x14ac:dyDescent="0.35">
      <c r="A800">
        <v>20260701</v>
      </c>
      <c r="B800" t="s">
        <v>1205</v>
      </c>
      <c r="C800">
        <v>6300</v>
      </c>
      <c r="D800" t="s">
        <v>1131</v>
      </c>
      <c r="E800">
        <v>88400</v>
      </c>
      <c r="F800" t="s">
        <v>1452</v>
      </c>
      <c r="G800">
        <v>0.82</v>
      </c>
      <c r="H800" t="s">
        <v>1462</v>
      </c>
      <c r="I800" t="s">
        <v>1463</v>
      </c>
    </row>
    <row r="801" spans="1:9" x14ac:dyDescent="0.35">
      <c r="A801">
        <v>20260701</v>
      </c>
      <c r="B801" t="s">
        <v>1205</v>
      </c>
      <c r="C801">
        <v>3900</v>
      </c>
      <c r="D801" t="s">
        <v>1131</v>
      </c>
      <c r="E801">
        <v>-676000</v>
      </c>
      <c r="F801" t="s">
        <v>1452</v>
      </c>
      <c r="G801">
        <v>0.82</v>
      </c>
      <c r="H801" t="s">
        <v>1462</v>
      </c>
      <c r="I801" t="s">
        <v>1463</v>
      </c>
    </row>
    <row r="802" spans="1:9" x14ac:dyDescent="0.35">
      <c r="A802">
        <v>20260701</v>
      </c>
      <c r="B802" t="s">
        <v>1257</v>
      </c>
      <c r="C802">
        <v>5100</v>
      </c>
      <c r="D802" t="s">
        <v>485</v>
      </c>
      <c r="E802">
        <v>93600</v>
      </c>
      <c r="F802" t="s">
        <v>1452</v>
      </c>
      <c r="G802">
        <v>0.82</v>
      </c>
      <c r="H802" t="s">
        <v>1462</v>
      </c>
      <c r="I802" t="s">
        <v>1463</v>
      </c>
    </row>
    <row r="803" spans="1:9" x14ac:dyDescent="0.35">
      <c r="A803">
        <v>20260701</v>
      </c>
      <c r="B803" t="s">
        <v>1257</v>
      </c>
      <c r="C803">
        <v>3400</v>
      </c>
      <c r="D803" t="s">
        <v>485</v>
      </c>
      <c r="E803">
        <v>-93600</v>
      </c>
      <c r="F803" t="s">
        <v>1452</v>
      </c>
      <c r="G803">
        <v>0.82</v>
      </c>
      <c r="H803" t="s">
        <v>1462</v>
      </c>
      <c r="I803" t="s">
        <v>1463</v>
      </c>
    </row>
    <row r="804" spans="1:9" x14ac:dyDescent="0.35">
      <c r="A804">
        <v>20260701</v>
      </c>
      <c r="B804" t="s">
        <v>1164</v>
      </c>
      <c r="C804">
        <v>5000</v>
      </c>
      <c r="D804" t="s">
        <v>1131</v>
      </c>
      <c r="E804">
        <v>478400</v>
      </c>
      <c r="F804" t="s">
        <v>1452</v>
      </c>
      <c r="G804">
        <v>0.82</v>
      </c>
      <c r="H804" t="s">
        <v>1462</v>
      </c>
      <c r="I804" t="s">
        <v>1463</v>
      </c>
    </row>
    <row r="805" spans="1:9" x14ac:dyDescent="0.35">
      <c r="A805">
        <v>20260701</v>
      </c>
      <c r="B805" t="s">
        <v>1164</v>
      </c>
      <c r="C805">
        <v>5400</v>
      </c>
      <c r="D805" t="s">
        <v>1131</v>
      </c>
      <c r="E805">
        <v>67454.399999999994</v>
      </c>
      <c r="F805" t="s">
        <v>1452</v>
      </c>
      <c r="G805">
        <v>0.82</v>
      </c>
      <c r="H805" t="s">
        <v>1462</v>
      </c>
      <c r="I805" t="s">
        <v>1463</v>
      </c>
    </row>
    <row r="806" spans="1:9" x14ac:dyDescent="0.35">
      <c r="A806">
        <v>20260701</v>
      </c>
      <c r="B806" t="s">
        <v>1164</v>
      </c>
      <c r="C806">
        <v>6300</v>
      </c>
      <c r="D806" t="s">
        <v>1131</v>
      </c>
      <c r="E806">
        <v>88400</v>
      </c>
      <c r="F806" t="s">
        <v>1452</v>
      </c>
      <c r="G806">
        <v>0.82</v>
      </c>
      <c r="H806" t="s">
        <v>1462</v>
      </c>
      <c r="I806" t="s">
        <v>1463</v>
      </c>
    </row>
    <row r="807" spans="1:9" x14ac:dyDescent="0.35">
      <c r="A807">
        <v>20260701</v>
      </c>
      <c r="B807" t="s">
        <v>1164</v>
      </c>
      <c r="C807">
        <v>3900</v>
      </c>
      <c r="D807" t="s">
        <v>1131</v>
      </c>
      <c r="E807">
        <v>-676000</v>
      </c>
      <c r="F807" t="s">
        <v>1452</v>
      </c>
      <c r="G807">
        <v>0.82</v>
      </c>
      <c r="H807" t="s">
        <v>1462</v>
      </c>
      <c r="I807" t="s">
        <v>1463</v>
      </c>
    </row>
    <row r="808" spans="1:9" x14ac:dyDescent="0.35">
      <c r="A808">
        <v>20260701</v>
      </c>
      <c r="B808" t="s">
        <v>1249</v>
      </c>
      <c r="C808">
        <v>5100</v>
      </c>
      <c r="D808" t="s">
        <v>485</v>
      </c>
      <c r="E808">
        <v>93600</v>
      </c>
      <c r="F808" t="s">
        <v>1452</v>
      </c>
      <c r="G808">
        <v>0.82</v>
      </c>
      <c r="H808" t="s">
        <v>1462</v>
      </c>
      <c r="I808" t="s">
        <v>1463</v>
      </c>
    </row>
    <row r="809" spans="1:9" x14ac:dyDescent="0.35">
      <c r="A809">
        <v>20260701</v>
      </c>
      <c r="B809" t="s">
        <v>1249</v>
      </c>
      <c r="C809">
        <v>3400</v>
      </c>
      <c r="D809" t="s">
        <v>485</v>
      </c>
      <c r="E809">
        <v>-93600</v>
      </c>
      <c r="F809" t="s">
        <v>1452</v>
      </c>
      <c r="G809">
        <v>0.82</v>
      </c>
      <c r="H809" t="s">
        <v>1462</v>
      </c>
      <c r="I809" t="s">
        <v>1463</v>
      </c>
    </row>
    <row r="810" spans="1:9" x14ac:dyDescent="0.35">
      <c r="A810">
        <v>20260701</v>
      </c>
      <c r="B810" t="s">
        <v>1169</v>
      </c>
      <c r="C810">
        <v>5000</v>
      </c>
      <c r="D810" t="s">
        <v>1131</v>
      </c>
      <c r="E810">
        <v>478400</v>
      </c>
      <c r="F810" t="s">
        <v>1452</v>
      </c>
      <c r="G810">
        <v>0.82</v>
      </c>
      <c r="H810" t="s">
        <v>1462</v>
      </c>
      <c r="I810" t="s">
        <v>1463</v>
      </c>
    </row>
    <row r="811" spans="1:9" x14ac:dyDescent="0.35">
      <c r="A811">
        <v>20260701</v>
      </c>
      <c r="B811" t="s">
        <v>1169</v>
      </c>
      <c r="C811">
        <v>5400</v>
      </c>
      <c r="D811" t="s">
        <v>1131</v>
      </c>
      <c r="E811">
        <v>67454.399999999994</v>
      </c>
      <c r="F811" t="s">
        <v>1452</v>
      </c>
      <c r="G811">
        <v>0.82</v>
      </c>
      <c r="H811" t="s">
        <v>1462</v>
      </c>
      <c r="I811" t="s">
        <v>1463</v>
      </c>
    </row>
    <row r="812" spans="1:9" x14ac:dyDescent="0.35">
      <c r="A812">
        <v>20260701</v>
      </c>
      <c r="B812" t="s">
        <v>1169</v>
      </c>
      <c r="C812">
        <v>6300</v>
      </c>
      <c r="D812" t="s">
        <v>1131</v>
      </c>
      <c r="E812">
        <v>88400</v>
      </c>
      <c r="F812" t="s">
        <v>1452</v>
      </c>
      <c r="G812">
        <v>0.82</v>
      </c>
      <c r="H812" t="s">
        <v>1462</v>
      </c>
      <c r="I812" t="s">
        <v>1463</v>
      </c>
    </row>
    <row r="813" spans="1:9" x14ac:dyDescent="0.35">
      <c r="A813">
        <v>20260701</v>
      </c>
      <c r="B813" t="s">
        <v>1169</v>
      </c>
      <c r="C813">
        <v>3900</v>
      </c>
      <c r="D813" t="s">
        <v>1131</v>
      </c>
      <c r="E813">
        <v>-676000</v>
      </c>
      <c r="F813" t="s">
        <v>1452</v>
      </c>
      <c r="G813">
        <v>0.82</v>
      </c>
      <c r="H813" t="s">
        <v>1462</v>
      </c>
      <c r="I813" t="s">
        <v>1463</v>
      </c>
    </row>
    <row r="814" spans="1:9" x14ac:dyDescent="0.35">
      <c r="A814">
        <v>20260701</v>
      </c>
      <c r="B814" t="s">
        <v>1260</v>
      </c>
      <c r="C814">
        <v>5100</v>
      </c>
      <c r="D814" t="s">
        <v>485</v>
      </c>
      <c r="E814">
        <v>93600</v>
      </c>
      <c r="F814" t="s">
        <v>1452</v>
      </c>
      <c r="G814">
        <v>0.82</v>
      </c>
      <c r="H814" t="s">
        <v>1462</v>
      </c>
      <c r="I814" t="s">
        <v>1463</v>
      </c>
    </row>
    <row r="815" spans="1:9" x14ac:dyDescent="0.35">
      <c r="A815">
        <v>20260701</v>
      </c>
      <c r="B815" t="s">
        <v>1260</v>
      </c>
      <c r="C815">
        <v>3400</v>
      </c>
      <c r="D815" t="s">
        <v>485</v>
      </c>
      <c r="E815">
        <v>-93600</v>
      </c>
      <c r="F815" t="s">
        <v>1452</v>
      </c>
      <c r="G815">
        <v>0.82</v>
      </c>
      <c r="H815" t="s">
        <v>1462</v>
      </c>
      <c r="I815" t="s">
        <v>1463</v>
      </c>
    </row>
    <row r="816" spans="1:9" x14ac:dyDescent="0.35">
      <c r="A816">
        <v>20260701</v>
      </c>
      <c r="B816" t="s">
        <v>1175</v>
      </c>
      <c r="C816">
        <v>5000</v>
      </c>
      <c r="D816" t="s">
        <v>1131</v>
      </c>
      <c r="E816">
        <v>478400</v>
      </c>
      <c r="F816" t="s">
        <v>1452</v>
      </c>
      <c r="G816">
        <v>0.82</v>
      </c>
      <c r="H816" t="s">
        <v>1462</v>
      </c>
      <c r="I816" t="s">
        <v>1463</v>
      </c>
    </row>
    <row r="817" spans="1:9" x14ac:dyDescent="0.35">
      <c r="A817">
        <v>20260701</v>
      </c>
      <c r="B817" t="s">
        <v>1175</v>
      </c>
      <c r="C817">
        <v>5400</v>
      </c>
      <c r="D817" t="s">
        <v>1131</v>
      </c>
      <c r="E817">
        <v>67454.399999999994</v>
      </c>
      <c r="F817" t="s">
        <v>1452</v>
      </c>
      <c r="G817">
        <v>0.82</v>
      </c>
      <c r="H817" t="s">
        <v>1462</v>
      </c>
      <c r="I817" t="s">
        <v>1463</v>
      </c>
    </row>
    <row r="818" spans="1:9" x14ac:dyDescent="0.35">
      <c r="A818">
        <v>20260701</v>
      </c>
      <c r="B818" t="s">
        <v>1175</v>
      </c>
      <c r="C818">
        <v>6300</v>
      </c>
      <c r="D818" t="s">
        <v>1131</v>
      </c>
      <c r="E818">
        <v>88400</v>
      </c>
      <c r="F818" t="s">
        <v>1452</v>
      </c>
      <c r="G818">
        <v>0.82</v>
      </c>
      <c r="H818" t="s">
        <v>1462</v>
      </c>
      <c r="I818" t="s">
        <v>1463</v>
      </c>
    </row>
    <row r="819" spans="1:9" x14ac:dyDescent="0.35">
      <c r="A819">
        <v>20260701</v>
      </c>
      <c r="B819" t="s">
        <v>1175</v>
      </c>
      <c r="C819">
        <v>3900</v>
      </c>
      <c r="D819" t="s">
        <v>1131</v>
      </c>
      <c r="E819">
        <v>-676000</v>
      </c>
      <c r="F819" t="s">
        <v>1452</v>
      </c>
      <c r="G819">
        <v>0.82</v>
      </c>
      <c r="H819" t="s">
        <v>1462</v>
      </c>
      <c r="I819" t="s">
        <v>1463</v>
      </c>
    </row>
    <row r="820" spans="1:9" x14ac:dyDescent="0.35">
      <c r="A820">
        <v>20260701</v>
      </c>
      <c r="B820" t="s">
        <v>1247</v>
      </c>
      <c r="C820">
        <v>5100</v>
      </c>
      <c r="D820" t="s">
        <v>485</v>
      </c>
      <c r="E820">
        <v>93600</v>
      </c>
      <c r="F820" t="s">
        <v>1452</v>
      </c>
      <c r="G820">
        <v>0.82</v>
      </c>
      <c r="H820" t="s">
        <v>1462</v>
      </c>
      <c r="I820" t="s">
        <v>1463</v>
      </c>
    </row>
    <row r="821" spans="1:9" x14ac:dyDescent="0.35">
      <c r="A821">
        <v>20260701</v>
      </c>
      <c r="B821" t="s">
        <v>1247</v>
      </c>
      <c r="C821">
        <v>3400</v>
      </c>
      <c r="D821" t="s">
        <v>485</v>
      </c>
      <c r="E821">
        <v>-93600</v>
      </c>
      <c r="F821" t="s">
        <v>1452</v>
      </c>
      <c r="G821">
        <v>0.82</v>
      </c>
      <c r="H821" t="s">
        <v>1462</v>
      </c>
      <c r="I821" t="s">
        <v>1463</v>
      </c>
    </row>
    <row r="822" spans="1:9" x14ac:dyDescent="0.35">
      <c r="A822">
        <v>20260701</v>
      </c>
      <c r="B822" t="s">
        <v>1130</v>
      </c>
      <c r="C822">
        <v>5000</v>
      </c>
      <c r="D822" t="s">
        <v>1131</v>
      </c>
      <c r="E822">
        <v>478400</v>
      </c>
      <c r="F822" t="s">
        <v>1452</v>
      </c>
      <c r="G822">
        <v>0.82</v>
      </c>
      <c r="H822" t="s">
        <v>1462</v>
      </c>
      <c r="I822" t="s">
        <v>1463</v>
      </c>
    </row>
    <row r="823" spans="1:9" x14ac:dyDescent="0.35">
      <c r="A823">
        <v>20260701</v>
      </c>
      <c r="B823" t="s">
        <v>1130</v>
      </c>
      <c r="C823">
        <v>5400</v>
      </c>
      <c r="D823" t="s">
        <v>1131</v>
      </c>
      <c r="E823">
        <v>67454.399999999994</v>
      </c>
      <c r="F823" t="s">
        <v>1452</v>
      </c>
      <c r="G823">
        <v>0.82</v>
      </c>
      <c r="H823" t="s">
        <v>1462</v>
      </c>
      <c r="I823" t="s">
        <v>1463</v>
      </c>
    </row>
    <row r="824" spans="1:9" x14ac:dyDescent="0.35">
      <c r="A824">
        <v>20260701</v>
      </c>
      <c r="B824" t="s">
        <v>1130</v>
      </c>
      <c r="C824">
        <v>6300</v>
      </c>
      <c r="D824" t="s">
        <v>1131</v>
      </c>
      <c r="E824">
        <v>88400</v>
      </c>
      <c r="F824" t="s">
        <v>1452</v>
      </c>
      <c r="G824">
        <v>0.82</v>
      </c>
      <c r="H824" t="s">
        <v>1462</v>
      </c>
      <c r="I824" t="s">
        <v>1463</v>
      </c>
    </row>
    <row r="825" spans="1:9" x14ac:dyDescent="0.35">
      <c r="A825">
        <v>20260701</v>
      </c>
      <c r="B825" t="s">
        <v>1130</v>
      </c>
      <c r="C825">
        <v>3900</v>
      </c>
      <c r="D825" t="s">
        <v>1131</v>
      </c>
      <c r="E825">
        <v>-676000</v>
      </c>
      <c r="F825" t="s">
        <v>1452</v>
      </c>
      <c r="G825">
        <v>0.82</v>
      </c>
      <c r="H825" t="s">
        <v>1462</v>
      </c>
      <c r="I825" t="s">
        <v>1463</v>
      </c>
    </row>
    <row r="826" spans="1:9" x14ac:dyDescent="0.35">
      <c r="A826">
        <v>20260701</v>
      </c>
      <c r="B826" t="s">
        <v>1265</v>
      </c>
      <c r="C826">
        <v>5100</v>
      </c>
      <c r="D826" t="s">
        <v>485</v>
      </c>
      <c r="E826">
        <v>93600</v>
      </c>
      <c r="F826" t="s">
        <v>1452</v>
      </c>
      <c r="G826">
        <v>0.82</v>
      </c>
      <c r="H826" t="s">
        <v>1462</v>
      </c>
      <c r="I826" t="s">
        <v>1463</v>
      </c>
    </row>
    <row r="827" spans="1:9" x14ac:dyDescent="0.35">
      <c r="A827">
        <v>20260701</v>
      </c>
      <c r="B827" t="s">
        <v>1265</v>
      </c>
      <c r="C827">
        <v>3400</v>
      </c>
      <c r="D827" t="s">
        <v>485</v>
      </c>
      <c r="E827">
        <v>-93600</v>
      </c>
      <c r="F827" t="s">
        <v>1452</v>
      </c>
      <c r="G827">
        <v>0.82</v>
      </c>
      <c r="H827" t="s">
        <v>1462</v>
      </c>
      <c r="I827" t="s">
        <v>1463</v>
      </c>
    </row>
    <row r="828" spans="1:9" x14ac:dyDescent="0.35">
      <c r="A828">
        <v>20260701</v>
      </c>
      <c r="B828" t="s">
        <v>1173</v>
      </c>
      <c r="C828">
        <v>5000</v>
      </c>
      <c r="D828" t="s">
        <v>1131</v>
      </c>
      <c r="E828">
        <v>478400</v>
      </c>
      <c r="F828" t="s">
        <v>1452</v>
      </c>
      <c r="G828">
        <v>0.82</v>
      </c>
      <c r="H828" t="s">
        <v>1462</v>
      </c>
      <c r="I828" t="s">
        <v>1463</v>
      </c>
    </row>
    <row r="829" spans="1:9" x14ac:dyDescent="0.35">
      <c r="A829">
        <v>20260701</v>
      </c>
      <c r="B829" t="s">
        <v>1173</v>
      </c>
      <c r="C829">
        <v>5400</v>
      </c>
      <c r="D829" t="s">
        <v>1131</v>
      </c>
      <c r="E829">
        <v>67454.399999999994</v>
      </c>
      <c r="F829" t="s">
        <v>1452</v>
      </c>
      <c r="G829">
        <v>0.82</v>
      </c>
      <c r="H829" t="s">
        <v>1462</v>
      </c>
      <c r="I829" t="s">
        <v>1463</v>
      </c>
    </row>
    <row r="830" spans="1:9" x14ac:dyDescent="0.35">
      <c r="A830">
        <v>20260701</v>
      </c>
      <c r="B830" t="s">
        <v>1173</v>
      </c>
      <c r="C830">
        <v>6300</v>
      </c>
      <c r="D830" t="s">
        <v>1131</v>
      </c>
      <c r="E830">
        <v>88400</v>
      </c>
      <c r="F830" t="s">
        <v>1452</v>
      </c>
      <c r="G830">
        <v>0.82</v>
      </c>
      <c r="H830" t="s">
        <v>1462</v>
      </c>
      <c r="I830" t="s">
        <v>1463</v>
      </c>
    </row>
    <row r="831" spans="1:9" x14ac:dyDescent="0.35">
      <c r="A831">
        <v>20260701</v>
      </c>
      <c r="B831" t="s">
        <v>1173</v>
      </c>
      <c r="C831">
        <v>3900</v>
      </c>
      <c r="D831" t="s">
        <v>1131</v>
      </c>
      <c r="E831">
        <v>-676000</v>
      </c>
      <c r="F831" t="s">
        <v>1452</v>
      </c>
      <c r="G831">
        <v>0.82</v>
      </c>
      <c r="H831" t="s">
        <v>1462</v>
      </c>
      <c r="I831" t="s">
        <v>1463</v>
      </c>
    </row>
    <row r="832" spans="1:9" x14ac:dyDescent="0.35">
      <c r="A832">
        <v>20260701</v>
      </c>
      <c r="B832" t="s">
        <v>1255</v>
      </c>
      <c r="C832">
        <v>5100</v>
      </c>
      <c r="D832" t="s">
        <v>485</v>
      </c>
      <c r="E832">
        <v>93600</v>
      </c>
      <c r="F832" t="s">
        <v>1452</v>
      </c>
      <c r="G832">
        <v>0.82</v>
      </c>
      <c r="H832" t="s">
        <v>1462</v>
      </c>
      <c r="I832" t="s">
        <v>1463</v>
      </c>
    </row>
    <row r="833" spans="1:9" x14ac:dyDescent="0.35">
      <c r="A833">
        <v>20260701</v>
      </c>
      <c r="B833" t="s">
        <v>1255</v>
      </c>
      <c r="C833">
        <v>3400</v>
      </c>
      <c r="D833" t="s">
        <v>485</v>
      </c>
      <c r="E833">
        <v>-93600</v>
      </c>
      <c r="F833" t="s">
        <v>1452</v>
      </c>
      <c r="G833">
        <v>0.82</v>
      </c>
      <c r="H833" t="s">
        <v>1462</v>
      </c>
      <c r="I833" t="s">
        <v>1463</v>
      </c>
    </row>
    <row r="834" spans="1:9" x14ac:dyDescent="0.35">
      <c r="A834">
        <v>20260701</v>
      </c>
      <c r="B834" t="s">
        <v>1155</v>
      </c>
      <c r="C834">
        <v>5000</v>
      </c>
      <c r="D834" t="s">
        <v>1131</v>
      </c>
      <c r="E834">
        <v>478400</v>
      </c>
      <c r="F834" t="s">
        <v>1452</v>
      </c>
      <c r="G834">
        <v>0.82</v>
      </c>
      <c r="H834" t="s">
        <v>1462</v>
      </c>
      <c r="I834" t="s">
        <v>1463</v>
      </c>
    </row>
    <row r="835" spans="1:9" x14ac:dyDescent="0.35">
      <c r="A835">
        <v>20260701</v>
      </c>
      <c r="B835" t="s">
        <v>1155</v>
      </c>
      <c r="C835">
        <v>5400</v>
      </c>
      <c r="D835" t="s">
        <v>1131</v>
      </c>
      <c r="E835">
        <v>67454.399999999994</v>
      </c>
      <c r="F835" t="s">
        <v>1452</v>
      </c>
      <c r="G835">
        <v>0.82</v>
      </c>
      <c r="H835" t="s">
        <v>1462</v>
      </c>
      <c r="I835" t="s">
        <v>1463</v>
      </c>
    </row>
    <row r="836" spans="1:9" x14ac:dyDescent="0.35">
      <c r="A836">
        <v>20260701</v>
      </c>
      <c r="B836" t="s">
        <v>1155</v>
      </c>
      <c r="C836">
        <v>6300</v>
      </c>
      <c r="D836" t="s">
        <v>1131</v>
      </c>
      <c r="E836">
        <v>88400</v>
      </c>
      <c r="F836" t="s">
        <v>1452</v>
      </c>
      <c r="G836">
        <v>0.82</v>
      </c>
      <c r="H836" t="s">
        <v>1462</v>
      </c>
      <c r="I836" t="s">
        <v>1463</v>
      </c>
    </row>
    <row r="837" spans="1:9" x14ac:dyDescent="0.35">
      <c r="A837">
        <v>20260701</v>
      </c>
      <c r="B837" t="s">
        <v>1155</v>
      </c>
      <c r="C837">
        <v>3900</v>
      </c>
      <c r="D837" t="s">
        <v>1131</v>
      </c>
      <c r="E837">
        <v>-676000</v>
      </c>
      <c r="F837" t="s">
        <v>1452</v>
      </c>
      <c r="G837">
        <v>0.82</v>
      </c>
      <c r="H837" t="s">
        <v>1462</v>
      </c>
      <c r="I837" t="s">
        <v>1463</v>
      </c>
    </row>
    <row r="838" spans="1:9" x14ac:dyDescent="0.35">
      <c r="A838">
        <v>20260701</v>
      </c>
      <c r="B838" t="s">
        <v>1138</v>
      </c>
      <c r="C838">
        <v>5000</v>
      </c>
      <c r="D838" t="s">
        <v>1131</v>
      </c>
      <c r="E838">
        <v>478400</v>
      </c>
      <c r="F838" t="s">
        <v>1452</v>
      </c>
      <c r="G838">
        <v>0.82</v>
      </c>
      <c r="H838" t="s">
        <v>1462</v>
      </c>
      <c r="I838" t="s">
        <v>1463</v>
      </c>
    </row>
    <row r="839" spans="1:9" x14ac:dyDescent="0.35">
      <c r="A839">
        <v>20260701</v>
      </c>
      <c r="B839" t="s">
        <v>1138</v>
      </c>
      <c r="C839">
        <v>5400</v>
      </c>
      <c r="D839" t="s">
        <v>1131</v>
      </c>
      <c r="E839">
        <v>67454.399999999994</v>
      </c>
      <c r="F839" t="s">
        <v>1452</v>
      </c>
      <c r="G839">
        <v>0.82</v>
      </c>
      <c r="H839" t="s">
        <v>1462</v>
      </c>
      <c r="I839" t="s">
        <v>1463</v>
      </c>
    </row>
    <row r="840" spans="1:9" x14ac:dyDescent="0.35">
      <c r="A840">
        <v>20260701</v>
      </c>
      <c r="B840" t="s">
        <v>1138</v>
      </c>
      <c r="C840">
        <v>6300</v>
      </c>
      <c r="D840" t="s">
        <v>1131</v>
      </c>
      <c r="E840">
        <v>88400</v>
      </c>
      <c r="F840" t="s">
        <v>1452</v>
      </c>
      <c r="G840">
        <v>0.82</v>
      </c>
      <c r="H840" t="s">
        <v>1462</v>
      </c>
      <c r="I840" t="s">
        <v>1463</v>
      </c>
    </row>
    <row r="841" spans="1:9" x14ac:dyDescent="0.35">
      <c r="A841">
        <v>20260701</v>
      </c>
      <c r="B841" t="s">
        <v>1138</v>
      </c>
      <c r="C841">
        <v>3900</v>
      </c>
      <c r="D841" t="s">
        <v>1131</v>
      </c>
      <c r="E841">
        <v>-676000</v>
      </c>
      <c r="F841" t="s">
        <v>1452</v>
      </c>
      <c r="G841">
        <v>0.82</v>
      </c>
      <c r="H841" t="s">
        <v>1462</v>
      </c>
      <c r="I841" t="s">
        <v>1463</v>
      </c>
    </row>
    <row r="842" spans="1:9" x14ac:dyDescent="0.35">
      <c r="A842">
        <v>20260801</v>
      </c>
      <c r="B842" t="s">
        <v>1150</v>
      </c>
      <c r="C842">
        <v>5000</v>
      </c>
      <c r="D842" t="s">
        <v>1131</v>
      </c>
      <c r="E842">
        <v>478400</v>
      </c>
      <c r="F842" t="s">
        <v>1452</v>
      </c>
      <c r="G842">
        <v>0.82</v>
      </c>
      <c r="H842" t="s">
        <v>1462</v>
      </c>
      <c r="I842" t="s">
        <v>1463</v>
      </c>
    </row>
    <row r="843" spans="1:9" x14ac:dyDescent="0.35">
      <c r="A843">
        <v>20260801</v>
      </c>
      <c r="B843" t="s">
        <v>1150</v>
      </c>
      <c r="C843">
        <v>5400</v>
      </c>
      <c r="D843" t="s">
        <v>1131</v>
      </c>
      <c r="E843">
        <v>67454.399999999994</v>
      </c>
      <c r="F843" t="s">
        <v>1452</v>
      </c>
      <c r="G843">
        <v>0.82</v>
      </c>
      <c r="H843" t="s">
        <v>1462</v>
      </c>
      <c r="I843" t="s">
        <v>1463</v>
      </c>
    </row>
    <row r="844" spans="1:9" x14ac:dyDescent="0.35">
      <c r="A844">
        <v>20260801</v>
      </c>
      <c r="B844" t="s">
        <v>1150</v>
      </c>
      <c r="C844">
        <v>6300</v>
      </c>
      <c r="D844" t="s">
        <v>1131</v>
      </c>
      <c r="E844">
        <v>88400</v>
      </c>
      <c r="F844" t="s">
        <v>1452</v>
      </c>
      <c r="G844">
        <v>0.82</v>
      </c>
      <c r="H844" t="s">
        <v>1462</v>
      </c>
      <c r="I844" t="s">
        <v>1463</v>
      </c>
    </row>
    <row r="845" spans="1:9" x14ac:dyDescent="0.35">
      <c r="A845">
        <v>20260801</v>
      </c>
      <c r="B845" t="s">
        <v>1150</v>
      </c>
      <c r="C845">
        <v>3900</v>
      </c>
      <c r="D845" t="s">
        <v>1131</v>
      </c>
      <c r="E845">
        <v>-676000</v>
      </c>
      <c r="F845" t="s">
        <v>1452</v>
      </c>
      <c r="G845">
        <v>0.82</v>
      </c>
      <c r="H845" t="s">
        <v>1462</v>
      </c>
      <c r="I845" t="s">
        <v>1463</v>
      </c>
    </row>
    <row r="846" spans="1:9" x14ac:dyDescent="0.35">
      <c r="A846">
        <v>20260801</v>
      </c>
      <c r="B846" t="s">
        <v>1272</v>
      </c>
      <c r="C846">
        <v>5100</v>
      </c>
      <c r="D846" t="s">
        <v>485</v>
      </c>
      <c r="E846">
        <v>93600</v>
      </c>
      <c r="F846" t="s">
        <v>1452</v>
      </c>
      <c r="G846">
        <v>0.82</v>
      </c>
      <c r="H846" t="s">
        <v>1462</v>
      </c>
      <c r="I846" t="s">
        <v>1463</v>
      </c>
    </row>
    <row r="847" spans="1:9" x14ac:dyDescent="0.35">
      <c r="A847">
        <v>20260801</v>
      </c>
      <c r="B847" t="s">
        <v>1272</v>
      </c>
      <c r="C847">
        <v>3400</v>
      </c>
      <c r="D847" t="s">
        <v>485</v>
      </c>
      <c r="E847">
        <v>-93600</v>
      </c>
      <c r="F847" t="s">
        <v>1452</v>
      </c>
      <c r="G847">
        <v>0.82</v>
      </c>
      <c r="H847" t="s">
        <v>1462</v>
      </c>
      <c r="I847" t="s">
        <v>1463</v>
      </c>
    </row>
    <row r="848" spans="1:9" x14ac:dyDescent="0.35">
      <c r="A848">
        <v>20260801</v>
      </c>
      <c r="B848" t="s">
        <v>1158</v>
      </c>
      <c r="C848">
        <v>5000</v>
      </c>
      <c r="D848" t="s">
        <v>1131</v>
      </c>
      <c r="E848">
        <v>478400</v>
      </c>
      <c r="F848" t="s">
        <v>1452</v>
      </c>
      <c r="G848">
        <v>0.82</v>
      </c>
      <c r="H848" t="s">
        <v>1462</v>
      </c>
      <c r="I848" t="s">
        <v>1463</v>
      </c>
    </row>
    <row r="849" spans="1:9" x14ac:dyDescent="0.35">
      <c r="A849">
        <v>20260801</v>
      </c>
      <c r="B849" t="s">
        <v>1158</v>
      </c>
      <c r="C849">
        <v>5400</v>
      </c>
      <c r="D849" t="s">
        <v>1131</v>
      </c>
      <c r="E849">
        <v>67454.399999999994</v>
      </c>
      <c r="F849" t="s">
        <v>1452</v>
      </c>
      <c r="G849">
        <v>0.82</v>
      </c>
      <c r="H849" t="s">
        <v>1462</v>
      </c>
      <c r="I849" t="s">
        <v>1463</v>
      </c>
    </row>
    <row r="850" spans="1:9" x14ac:dyDescent="0.35">
      <c r="A850">
        <v>20260801</v>
      </c>
      <c r="B850" t="s">
        <v>1158</v>
      </c>
      <c r="C850">
        <v>6300</v>
      </c>
      <c r="D850" t="s">
        <v>1131</v>
      </c>
      <c r="E850">
        <v>88400</v>
      </c>
      <c r="F850" t="s">
        <v>1452</v>
      </c>
      <c r="G850">
        <v>0.82</v>
      </c>
      <c r="H850" t="s">
        <v>1462</v>
      </c>
      <c r="I850" t="s">
        <v>1463</v>
      </c>
    </row>
    <row r="851" spans="1:9" x14ac:dyDescent="0.35">
      <c r="A851">
        <v>20260801</v>
      </c>
      <c r="B851" t="s">
        <v>1158</v>
      </c>
      <c r="C851">
        <v>3900</v>
      </c>
      <c r="D851" t="s">
        <v>1131</v>
      </c>
      <c r="E851">
        <v>-676000</v>
      </c>
      <c r="F851" t="s">
        <v>1452</v>
      </c>
      <c r="G851">
        <v>0.82</v>
      </c>
      <c r="H851" t="s">
        <v>1462</v>
      </c>
      <c r="I851" t="s">
        <v>1463</v>
      </c>
    </row>
    <row r="852" spans="1:9" x14ac:dyDescent="0.35">
      <c r="A852">
        <v>20260801</v>
      </c>
      <c r="B852" t="s">
        <v>1243</v>
      </c>
      <c r="C852">
        <v>5100</v>
      </c>
      <c r="D852" t="s">
        <v>485</v>
      </c>
      <c r="E852">
        <v>93600</v>
      </c>
      <c r="F852" t="s">
        <v>1452</v>
      </c>
      <c r="G852">
        <v>0.82</v>
      </c>
      <c r="H852" t="s">
        <v>1462</v>
      </c>
      <c r="I852" t="s">
        <v>1463</v>
      </c>
    </row>
    <row r="853" spans="1:9" x14ac:dyDescent="0.35">
      <c r="A853">
        <v>20260801</v>
      </c>
      <c r="B853" t="s">
        <v>1243</v>
      </c>
      <c r="C853">
        <v>3400</v>
      </c>
      <c r="D853" t="s">
        <v>485</v>
      </c>
      <c r="E853">
        <v>-93600</v>
      </c>
      <c r="F853" t="s">
        <v>1452</v>
      </c>
      <c r="G853">
        <v>0.82</v>
      </c>
      <c r="H853" t="s">
        <v>1462</v>
      </c>
      <c r="I853" t="s">
        <v>1463</v>
      </c>
    </row>
    <row r="854" spans="1:9" x14ac:dyDescent="0.35">
      <c r="A854">
        <v>20260801</v>
      </c>
      <c r="B854" t="s">
        <v>1205</v>
      </c>
      <c r="C854">
        <v>5000</v>
      </c>
      <c r="D854" t="s">
        <v>1131</v>
      </c>
      <c r="E854">
        <v>478400</v>
      </c>
      <c r="F854" t="s">
        <v>1452</v>
      </c>
      <c r="G854">
        <v>0.82</v>
      </c>
      <c r="H854" t="s">
        <v>1462</v>
      </c>
      <c r="I854" t="s">
        <v>1463</v>
      </c>
    </row>
    <row r="855" spans="1:9" x14ac:dyDescent="0.35">
      <c r="A855">
        <v>20260801</v>
      </c>
      <c r="B855" t="s">
        <v>1205</v>
      </c>
      <c r="C855">
        <v>5400</v>
      </c>
      <c r="D855" t="s">
        <v>1131</v>
      </c>
      <c r="E855">
        <v>67454.399999999994</v>
      </c>
      <c r="F855" t="s">
        <v>1452</v>
      </c>
      <c r="G855">
        <v>0.82</v>
      </c>
      <c r="H855" t="s">
        <v>1462</v>
      </c>
      <c r="I855" t="s">
        <v>1463</v>
      </c>
    </row>
    <row r="856" spans="1:9" x14ac:dyDescent="0.35">
      <c r="A856">
        <v>20260801</v>
      </c>
      <c r="B856" t="s">
        <v>1205</v>
      </c>
      <c r="C856">
        <v>6300</v>
      </c>
      <c r="D856" t="s">
        <v>1131</v>
      </c>
      <c r="E856">
        <v>88400</v>
      </c>
      <c r="F856" t="s">
        <v>1452</v>
      </c>
      <c r="G856">
        <v>0.82</v>
      </c>
      <c r="H856" t="s">
        <v>1462</v>
      </c>
      <c r="I856" t="s">
        <v>1463</v>
      </c>
    </row>
    <row r="857" spans="1:9" x14ac:dyDescent="0.35">
      <c r="A857">
        <v>20260801</v>
      </c>
      <c r="B857" t="s">
        <v>1205</v>
      </c>
      <c r="C857">
        <v>3900</v>
      </c>
      <c r="D857" t="s">
        <v>1131</v>
      </c>
      <c r="E857">
        <v>-676000</v>
      </c>
      <c r="F857" t="s">
        <v>1452</v>
      </c>
      <c r="G857">
        <v>0.82</v>
      </c>
      <c r="H857" t="s">
        <v>1462</v>
      </c>
      <c r="I857" t="s">
        <v>1463</v>
      </c>
    </row>
    <row r="858" spans="1:9" x14ac:dyDescent="0.35">
      <c r="A858">
        <v>20260801</v>
      </c>
      <c r="B858" t="s">
        <v>1257</v>
      </c>
      <c r="C858">
        <v>5100</v>
      </c>
      <c r="D858" t="s">
        <v>485</v>
      </c>
      <c r="E858">
        <v>93600</v>
      </c>
      <c r="F858" t="s">
        <v>1452</v>
      </c>
      <c r="G858">
        <v>0.82</v>
      </c>
      <c r="H858" t="s">
        <v>1462</v>
      </c>
      <c r="I858" t="s">
        <v>1463</v>
      </c>
    </row>
    <row r="859" spans="1:9" x14ac:dyDescent="0.35">
      <c r="A859">
        <v>20260801</v>
      </c>
      <c r="B859" t="s">
        <v>1257</v>
      </c>
      <c r="C859">
        <v>3400</v>
      </c>
      <c r="D859" t="s">
        <v>485</v>
      </c>
      <c r="E859">
        <v>-93600</v>
      </c>
      <c r="F859" t="s">
        <v>1452</v>
      </c>
      <c r="G859">
        <v>0.82</v>
      </c>
      <c r="H859" t="s">
        <v>1462</v>
      </c>
      <c r="I859" t="s">
        <v>1463</v>
      </c>
    </row>
    <row r="860" spans="1:9" x14ac:dyDescent="0.35">
      <c r="A860">
        <v>20260801</v>
      </c>
      <c r="B860" t="s">
        <v>1164</v>
      </c>
      <c r="C860">
        <v>5000</v>
      </c>
      <c r="D860" t="s">
        <v>1131</v>
      </c>
      <c r="E860">
        <v>478400</v>
      </c>
      <c r="F860" t="s">
        <v>1452</v>
      </c>
      <c r="G860">
        <v>0.82</v>
      </c>
      <c r="H860" t="s">
        <v>1462</v>
      </c>
      <c r="I860" t="s">
        <v>1463</v>
      </c>
    </row>
    <row r="861" spans="1:9" x14ac:dyDescent="0.35">
      <c r="A861">
        <v>20260801</v>
      </c>
      <c r="B861" t="s">
        <v>1164</v>
      </c>
      <c r="C861">
        <v>5400</v>
      </c>
      <c r="D861" t="s">
        <v>1131</v>
      </c>
      <c r="E861">
        <v>67454.399999999994</v>
      </c>
      <c r="F861" t="s">
        <v>1452</v>
      </c>
      <c r="G861">
        <v>0.82</v>
      </c>
      <c r="H861" t="s">
        <v>1462</v>
      </c>
      <c r="I861" t="s">
        <v>1463</v>
      </c>
    </row>
    <row r="862" spans="1:9" x14ac:dyDescent="0.35">
      <c r="A862">
        <v>20260801</v>
      </c>
      <c r="B862" t="s">
        <v>1164</v>
      </c>
      <c r="C862">
        <v>6300</v>
      </c>
      <c r="D862" t="s">
        <v>1131</v>
      </c>
      <c r="E862">
        <v>88400</v>
      </c>
      <c r="F862" t="s">
        <v>1452</v>
      </c>
      <c r="G862">
        <v>0.82</v>
      </c>
      <c r="H862" t="s">
        <v>1462</v>
      </c>
      <c r="I862" t="s">
        <v>1463</v>
      </c>
    </row>
    <row r="863" spans="1:9" x14ac:dyDescent="0.35">
      <c r="A863">
        <v>20260801</v>
      </c>
      <c r="B863" t="s">
        <v>1164</v>
      </c>
      <c r="C863">
        <v>3900</v>
      </c>
      <c r="D863" t="s">
        <v>1131</v>
      </c>
      <c r="E863">
        <v>-676000</v>
      </c>
      <c r="F863" t="s">
        <v>1452</v>
      </c>
      <c r="G863">
        <v>0.82</v>
      </c>
      <c r="H863" t="s">
        <v>1462</v>
      </c>
      <c r="I863" t="s">
        <v>1463</v>
      </c>
    </row>
    <row r="864" spans="1:9" x14ac:dyDescent="0.35">
      <c r="A864">
        <v>20260801</v>
      </c>
      <c r="B864" t="s">
        <v>1249</v>
      </c>
      <c r="C864">
        <v>5100</v>
      </c>
      <c r="D864" t="s">
        <v>485</v>
      </c>
      <c r="E864">
        <v>93600</v>
      </c>
      <c r="F864" t="s">
        <v>1452</v>
      </c>
      <c r="G864">
        <v>0.82</v>
      </c>
      <c r="H864" t="s">
        <v>1462</v>
      </c>
      <c r="I864" t="s">
        <v>1463</v>
      </c>
    </row>
    <row r="865" spans="1:9" x14ac:dyDescent="0.35">
      <c r="A865">
        <v>20260801</v>
      </c>
      <c r="B865" t="s">
        <v>1249</v>
      </c>
      <c r="C865">
        <v>3400</v>
      </c>
      <c r="D865" t="s">
        <v>485</v>
      </c>
      <c r="E865">
        <v>-93600</v>
      </c>
      <c r="F865" t="s">
        <v>1452</v>
      </c>
      <c r="G865">
        <v>0.82</v>
      </c>
      <c r="H865" t="s">
        <v>1462</v>
      </c>
      <c r="I865" t="s">
        <v>1463</v>
      </c>
    </row>
    <row r="866" spans="1:9" x14ac:dyDescent="0.35">
      <c r="A866">
        <v>20260801</v>
      </c>
      <c r="B866" t="s">
        <v>1169</v>
      </c>
      <c r="C866">
        <v>5000</v>
      </c>
      <c r="D866" t="s">
        <v>1131</v>
      </c>
      <c r="E866">
        <v>478400</v>
      </c>
      <c r="F866" t="s">
        <v>1452</v>
      </c>
      <c r="G866">
        <v>0.82</v>
      </c>
      <c r="H866" t="s">
        <v>1462</v>
      </c>
      <c r="I866" t="s">
        <v>1463</v>
      </c>
    </row>
    <row r="867" spans="1:9" x14ac:dyDescent="0.35">
      <c r="A867">
        <v>20260801</v>
      </c>
      <c r="B867" t="s">
        <v>1169</v>
      </c>
      <c r="C867">
        <v>5400</v>
      </c>
      <c r="D867" t="s">
        <v>1131</v>
      </c>
      <c r="E867">
        <v>67454.399999999994</v>
      </c>
      <c r="F867" t="s">
        <v>1452</v>
      </c>
      <c r="G867">
        <v>0.82</v>
      </c>
      <c r="H867" t="s">
        <v>1462</v>
      </c>
      <c r="I867" t="s">
        <v>1463</v>
      </c>
    </row>
    <row r="868" spans="1:9" x14ac:dyDescent="0.35">
      <c r="A868">
        <v>20260801</v>
      </c>
      <c r="B868" t="s">
        <v>1169</v>
      </c>
      <c r="C868">
        <v>6300</v>
      </c>
      <c r="D868" t="s">
        <v>1131</v>
      </c>
      <c r="E868">
        <v>88400</v>
      </c>
      <c r="F868" t="s">
        <v>1452</v>
      </c>
      <c r="G868">
        <v>0.82</v>
      </c>
      <c r="H868" t="s">
        <v>1462</v>
      </c>
      <c r="I868" t="s">
        <v>1463</v>
      </c>
    </row>
    <row r="869" spans="1:9" x14ac:dyDescent="0.35">
      <c r="A869">
        <v>20260801</v>
      </c>
      <c r="B869" t="s">
        <v>1169</v>
      </c>
      <c r="C869">
        <v>3900</v>
      </c>
      <c r="D869" t="s">
        <v>1131</v>
      </c>
      <c r="E869">
        <v>-676000</v>
      </c>
      <c r="F869" t="s">
        <v>1452</v>
      </c>
      <c r="G869">
        <v>0.82</v>
      </c>
      <c r="H869" t="s">
        <v>1462</v>
      </c>
      <c r="I869" t="s">
        <v>1463</v>
      </c>
    </row>
    <row r="870" spans="1:9" x14ac:dyDescent="0.35">
      <c r="A870">
        <v>20260801</v>
      </c>
      <c r="B870" t="s">
        <v>1260</v>
      </c>
      <c r="C870">
        <v>5100</v>
      </c>
      <c r="D870" t="s">
        <v>485</v>
      </c>
      <c r="E870">
        <v>93600</v>
      </c>
      <c r="F870" t="s">
        <v>1452</v>
      </c>
      <c r="G870">
        <v>0.82</v>
      </c>
      <c r="H870" t="s">
        <v>1462</v>
      </c>
      <c r="I870" t="s">
        <v>1463</v>
      </c>
    </row>
    <row r="871" spans="1:9" x14ac:dyDescent="0.35">
      <c r="A871">
        <v>20260801</v>
      </c>
      <c r="B871" t="s">
        <v>1260</v>
      </c>
      <c r="C871">
        <v>3400</v>
      </c>
      <c r="D871" t="s">
        <v>485</v>
      </c>
      <c r="E871">
        <v>-93600</v>
      </c>
      <c r="F871" t="s">
        <v>1452</v>
      </c>
      <c r="G871">
        <v>0.82</v>
      </c>
      <c r="H871" t="s">
        <v>1462</v>
      </c>
      <c r="I871" t="s">
        <v>1463</v>
      </c>
    </row>
    <row r="872" spans="1:9" x14ac:dyDescent="0.35">
      <c r="A872">
        <v>20260801</v>
      </c>
      <c r="B872" t="s">
        <v>1175</v>
      </c>
      <c r="C872">
        <v>5000</v>
      </c>
      <c r="D872" t="s">
        <v>1131</v>
      </c>
      <c r="E872">
        <v>478400</v>
      </c>
      <c r="F872" t="s">
        <v>1452</v>
      </c>
      <c r="G872">
        <v>0.82</v>
      </c>
      <c r="H872" t="s">
        <v>1462</v>
      </c>
      <c r="I872" t="s">
        <v>1463</v>
      </c>
    </row>
    <row r="873" spans="1:9" x14ac:dyDescent="0.35">
      <c r="A873">
        <v>20260801</v>
      </c>
      <c r="B873" t="s">
        <v>1175</v>
      </c>
      <c r="C873">
        <v>5400</v>
      </c>
      <c r="D873" t="s">
        <v>1131</v>
      </c>
      <c r="E873">
        <v>67454.399999999994</v>
      </c>
      <c r="F873" t="s">
        <v>1452</v>
      </c>
      <c r="G873">
        <v>0.82</v>
      </c>
      <c r="H873" t="s">
        <v>1462</v>
      </c>
      <c r="I873" t="s">
        <v>1463</v>
      </c>
    </row>
    <row r="874" spans="1:9" x14ac:dyDescent="0.35">
      <c r="A874">
        <v>20260801</v>
      </c>
      <c r="B874" t="s">
        <v>1175</v>
      </c>
      <c r="C874">
        <v>6300</v>
      </c>
      <c r="D874" t="s">
        <v>1131</v>
      </c>
      <c r="E874">
        <v>88400</v>
      </c>
      <c r="F874" t="s">
        <v>1452</v>
      </c>
      <c r="G874">
        <v>0.82</v>
      </c>
      <c r="H874" t="s">
        <v>1462</v>
      </c>
      <c r="I874" t="s">
        <v>1463</v>
      </c>
    </row>
    <row r="875" spans="1:9" x14ac:dyDescent="0.35">
      <c r="A875">
        <v>20260801</v>
      </c>
      <c r="B875" t="s">
        <v>1175</v>
      </c>
      <c r="C875">
        <v>3900</v>
      </c>
      <c r="D875" t="s">
        <v>1131</v>
      </c>
      <c r="E875">
        <v>-676000</v>
      </c>
      <c r="F875" t="s">
        <v>1452</v>
      </c>
      <c r="G875">
        <v>0.82</v>
      </c>
      <c r="H875" t="s">
        <v>1462</v>
      </c>
      <c r="I875" t="s">
        <v>1463</v>
      </c>
    </row>
    <row r="876" spans="1:9" x14ac:dyDescent="0.35">
      <c r="A876">
        <v>20260801</v>
      </c>
      <c r="B876" t="s">
        <v>1247</v>
      </c>
      <c r="C876">
        <v>5100</v>
      </c>
      <c r="D876" t="s">
        <v>485</v>
      </c>
      <c r="E876">
        <v>93600</v>
      </c>
      <c r="F876" t="s">
        <v>1452</v>
      </c>
      <c r="G876">
        <v>0.82</v>
      </c>
      <c r="H876" t="s">
        <v>1462</v>
      </c>
      <c r="I876" t="s">
        <v>1463</v>
      </c>
    </row>
    <row r="877" spans="1:9" x14ac:dyDescent="0.35">
      <c r="A877">
        <v>20260801</v>
      </c>
      <c r="B877" t="s">
        <v>1247</v>
      </c>
      <c r="C877">
        <v>3400</v>
      </c>
      <c r="D877" t="s">
        <v>485</v>
      </c>
      <c r="E877">
        <v>-93600</v>
      </c>
      <c r="F877" t="s">
        <v>1452</v>
      </c>
      <c r="G877">
        <v>0.82</v>
      </c>
      <c r="H877" t="s">
        <v>1462</v>
      </c>
      <c r="I877" t="s">
        <v>1463</v>
      </c>
    </row>
    <row r="878" spans="1:9" x14ac:dyDescent="0.35">
      <c r="A878">
        <v>20260801</v>
      </c>
      <c r="B878" t="s">
        <v>1130</v>
      </c>
      <c r="C878">
        <v>5000</v>
      </c>
      <c r="D878" t="s">
        <v>1131</v>
      </c>
      <c r="E878">
        <v>478400</v>
      </c>
      <c r="F878" t="s">
        <v>1452</v>
      </c>
      <c r="G878">
        <v>0.82</v>
      </c>
      <c r="H878" t="s">
        <v>1462</v>
      </c>
      <c r="I878" t="s">
        <v>1463</v>
      </c>
    </row>
    <row r="879" spans="1:9" x14ac:dyDescent="0.35">
      <c r="A879">
        <v>20260801</v>
      </c>
      <c r="B879" t="s">
        <v>1130</v>
      </c>
      <c r="C879">
        <v>5400</v>
      </c>
      <c r="D879" t="s">
        <v>1131</v>
      </c>
      <c r="E879">
        <v>67454.399999999994</v>
      </c>
      <c r="F879" t="s">
        <v>1452</v>
      </c>
      <c r="G879">
        <v>0.82</v>
      </c>
      <c r="H879" t="s">
        <v>1462</v>
      </c>
      <c r="I879" t="s">
        <v>1463</v>
      </c>
    </row>
    <row r="880" spans="1:9" x14ac:dyDescent="0.35">
      <c r="A880">
        <v>20260801</v>
      </c>
      <c r="B880" t="s">
        <v>1130</v>
      </c>
      <c r="C880">
        <v>6300</v>
      </c>
      <c r="D880" t="s">
        <v>1131</v>
      </c>
      <c r="E880">
        <v>88400</v>
      </c>
      <c r="F880" t="s">
        <v>1452</v>
      </c>
      <c r="G880">
        <v>0.82</v>
      </c>
      <c r="H880" t="s">
        <v>1462</v>
      </c>
      <c r="I880" t="s">
        <v>1463</v>
      </c>
    </row>
    <row r="881" spans="1:9" x14ac:dyDescent="0.35">
      <c r="A881">
        <v>20260801</v>
      </c>
      <c r="B881" t="s">
        <v>1130</v>
      </c>
      <c r="C881">
        <v>3900</v>
      </c>
      <c r="D881" t="s">
        <v>1131</v>
      </c>
      <c r="E881">
        <v>-676000</v>
      </c>
      <c r="F881" t="s">
        <v>1452</v>
      </c>
      <c r="G881">
        <v>0.82</v>
      </c>
      <c r="H881" t="s">
        <v>1462</v>
      </c>
      <c r="I881" t="s">
        <v>1463</v>
      </c>
    </row>
    <row r="882" spans="1:9" x14ac:dyDescent="0.35">
      <c r="A882">
        <v>20260801</v>
      </c>
      <c r="B882" t="s">
        <v>1265</v>
      </c>
      <c r="C882">
        <v>5100</v>
      </c>
      <c r="D882" t="s">
        <v>485</v>
      </c>
      <c r="E882">
        <v>93600</v>
      </c>
      <c r="F882" t="s">
        <v>1452</v>
      </c>
      <c r="G882">
        <v>0.82</v>
      </c>
      <c r="H882" t="s">
        <v>1462</v>
      </c>
      <c r="I882" t="s">
        <v>1463</v>
      </c>
    </row>
    <row r="883" spans="1:9" x14ac:dyDescent="0.35">
      <c r="A883">
        <v>20260801</v>
      </c>
      <c r="B883" t="s">
        <v>1265</v>
      </c>
      <c r="C883">
        <v>3400</v>
      </c>
      <c r="D883" t="s">
        <v>485</v>
      </c>
      <c r="E883">
        <v>-93600</v>
      </c>
      <c r="F883" t="s">
        <v>1452</v>
      </c>
      <c r="G883">
        <v>0.82</v>
      </c>
      <c r="H883" t="s">
        <v>1462</v>
      </c>
      <c r="I883" t="s">
        <v>1463</v>
      </c>
    </row>
    <row r="884" spans="1:9" x14ac:dyDescent="0.35">
      <c r="A884">
        <v>20260801</v>
      </c>
      <c r="B884" t="s">
        <v>1173</v>
      </c>
      <c r="C884">
        <v>5000</v>
      </c>
      <c r="D884" t="s">
        <v>1131</v>
      </c>
      <c r="E884">
        <v>478400</v>
      </c>
      <c r="F884" t="s">
        <v>1452</v>
      </c>
      <c r="G884">
        <v>0.82</v>
      </c>
      <c r="H884" t="s">
        <v>1462</v>
      </c>
      <c r="I884" t="s">
        <v>1463</v>
      </c>
    </row>
    <row r="885" spans="1:9" x14ac:dyDescent="0.35">
      <c r="A885">
        <v>20260801</v>
      </c>
      <c r="B885" t="s">
        <v>1173</v>
      </c>
      <c r="C885">
        <v>5400</v>
      </c>
      <c r="D885" t="s">
        <v>1131</v>
      </c>
      <c r="E885">
        <v>67454.399999999994</v>
      </c>
      <c r="F885" t="s">
        <v>1452</v>
      </c>
      <c r="G885">
        <v>0.82</v>
      </c>
      <c r="H885" t="s">
        <v>1462</v>
      </c>
      <c r="I885" t="s">
        <v>1463</v>
      </c>
    </row>
    <row r="886" spans="1:9" x14ac:dyDescent="0.35">
      <c r="A886">
        <v>20260801</v>
      </c>
      <c r="B886" t="s">
        <v>1173</v>
      </c>
      <c r="C886">
        <v>6300</v>
      </c>
      <c r="D886" t="s">
        <v>1131</v>
      </c>
      <c r="E886">
        <v>88400</v>
      </c>
      <c r="F886" t="s">
        <v>1452</v>
      </c>
      <c r="G886">
        <v>0.82</v>
      </c>
      <c r="H886" t="s">
        <v>1462</v>
      </c>
      <c r="I886" t="s">
        <v>1463</v>
      </c>
    </row>
    <row r="887" spans="1:9" x14ac:dyDescent="0.35">
      <c r="A887">
        <v>20260801</v>
      </c>
      <c r="B887" t="s">
        <v>1173</v>
      </c>
      <c r="C887">
        <v>3900</v>
      </c>
      <c r="D887" t="s">
        <v>1131</v>
      </c>
      <c r="E887">
        <v>-676000</v>
      </c>
      <c r="F887" t="s">
        <v>1452</v>
      </c>
      <c r="G887">
        <v>0.82</v>
      </c>
      <c r="H887" t="s">
        <v>1462</v>
      </c>
      <c r="I887" t="s">
        <v>1463</v>
      </c>
    </row>
    <row r="888" spans="1:9" x14ac:dyDescent="0.35">
      <c r="A888">
        <v>20260801</v>
      </c>
      <c r="B888" t="s">
        <v>1255</v>
      </c>
      <c r="C888">
        <v>5100</v>
      </c>
      <c r="D888" t="s">
        <v>485</v>
      </c>
      <c r="E888">
        <v>93600</v>
      </c>
      <c r="F888" t="s">
        <v>1452</v>
      </c>
      <c r="G888">
        <v>0.82</v>
      </c>
      <c r="H888" t="s">
        <v>1462</v>
      </c>
      <c r="I888" t="s">
        <v>1463</v>
      </c>
    </row>
    <row r="889" spans="1:9" x14ac:dyDescent="0.35">
      <c r="A889">
        <v>20260801</v>
      </c>
      <c r="B889" t="s">
        <v>1255</v>
      </c>
      <c r="C889">
        <v>3400</v>
      </c>
      <c r="D889" t="s">
        <v>485</v>
      </c>
      <c r="E889">
        <v>-93600</v>
      </c>
      <c r="F889" t="s">
        <v>1452</v>
      </c>
      <c r="G889">
        <v>0.82</v>
      </c>
      <c r="H889" t="s">
        <v>1462</v>
      </c>
      <c r="I889" t="s">
        <v>1463</v>
      </c>
    </row>
    <row r="890" spans="1:9" x14ac:dyDescent="0.35">
      <c r="A890">
        <v>20260801</v>
      </c>
      <c r="B890" t="s">
        <v>1155</v>
      </c>
      <c r="C890">
        <v>5000</v>
      </c>
      <c r="D890" t="s">
        <v>1131</v>
      </c>
      <c r="E890">
        <v>478400</v>
      </c>
      <c r="F890" t="s">
        <v>1452</v>
      </c>
      <c r="G890">
        <v>0.82</v>
      </c>
      <c r="H890" t="s">
        <v>1462</v>
      </c>
      <c r="I890" t="s">
        <v>1463</v>
      </c>
    </row>
    <row r="891" spans="1:9" x14ac:dyDescent="0.35">
      <c r="A891">
        <v>20260801</v>
      </c>
      <c r="B891" t="s">
        <v>1155</v>
      </c>
      <c r="C891">
        <v>5400</v>
      </c>
      <c r="D891" t="s">
        <v>1131</v>
      </c>
      <c r="E891">
        <v>67454.399999999994</v>
      </c>
      <c r="F891" t="s">
        <v>1452</v>
      </c>
      <c r="G891">
        <v>0.82</v>
      </c>
      <c r="H891" t="s">
        <v>1462</v>
      </c>
      <c r="I891" t="s">
        <v>1463</v>
      </c>
    </row>
    <row r="892" spans="1:9" x14ac:dyDescent="0.35">
      <c r="A892">
        <v>20260801</v>
      </c>
      <c r="B892" t="s">
        <v>1155</v>
      </c>
      <c r="C892">
        <v>6300</v>
      </c>
      <c r="D892" t="s">
        <v>1131</v>
      </c>
      <c r="E892">
        <v>88400</v>
      </c>
      <c r="F892" t="s">
        <v>1452</v>
      </c>
      <c r="G892">
        <v>0.82</v>
      </c>
      <c r="H892" t="s">
        <v>1462</v>
      </c>
      <c r="I892" t="s">
        <v>1463</v>
      </c>
    </row>
    <row r="893" spans="1:9" x14ac:dyDescent="0.35">
      <c r="A893">
        <v>20260801</v>
      </c>
      <c r="B893" t="s">
        <v>1155</v>
      </c>
      <c r="C893">
        <v>3900</v>
      </c>
      <c r="D893" t="s">
        <v>1131</v>
      </c>
      <c r="E893">
        <v>-676000</v>
      </c>
      <c r="F893" t="s">
        <v>1452</v>
      </c>
      <c r="G893">
        <v>0.82</v>
      </c>
      <c r="H893" t="s">
        <v>1462</v>
      </c>
      <c r="I893" t="s">
        <v>1463</v>
      </c>
    </row>
    <row r="894" spans="1:9" x14ac:dyDescent="0.35">
      <c r="A894">
        <v>20260801</v>
      </c>
      <c r="B894" t="s">
        <v>1138</v>
      </c>
      <c r="C894">
        <v>5000</v>
      </c>
      <c r="D894" t="s">
        <v>1131</v>
      </c>
      <c r="E894">
        <v>478400</v>
      </c>
      <c r="F894" t="s">
        <v>1452</v>
      </c>
      <c r="G894">
        <v>0.82</v>
      </c>
      <c r="H894" t="s">
        <v>1462</v>
      </c>
      <c r="I894" t="s">
        <v>1463</v>
      </c>
    </row>
    <row r="895" spans="1:9" x14ac:dyDescent="0.35">
      <c r="A895">
        <v>20260801</v>
      </c>
      <c r="B895" t="s">
        <v>1138</v>
      </c>
      <c r="C895">
        <v>5400</v>
      </c>
      <c r="D895" t="s">
        <v>1131</v>
      </c>
      <c r="E895">
        <v>67454.399999999994</v>
      </c>
      <c r="F895" t="s">
        <v>1452</v>
      </c>
      <c r="G895">
        <v>0.82</v>
      </c>
      <c r="H895" t="s">
        <v>1462</v>
      </c>
      <c r="I895" t="s">
        <v>1463</v>
      </c>
    </row>
    <row r="896" spans="1:9" x14ac:dyDescent="0.35">
      <c r="A896">
        <v>20260801</v>
      </c>
      <c r="B896" t="s">
        <v>1138</v>
      </c>
      <c r="C896">
        <v>6300</v>
      </c>
      <c r="D896" t="s">
        <v>1131</v>
      </c>
      <c r="E896">
        <v>88400</v>
      </c>
      <c r="F896" t="s">
        <v>1452</v>
      </c>
      <c r="G896">
        <v>0.82</v>
      </c>
      <c r="H896" t="s">
        <v>1462</v>
      </c>
      <c r="I896" t="s">
        <v>1463</v>
      </c>
    </row>
    <row r="897" spans="1:9" x14ac:dyDescent="0.35">
      <c r="A897">
        <v>20260801</v>
      </c>
      <c r="B897" t="s">
        <v>1138</v>
      </c>
      <c r="C897">
        <v>3900</v>
      </c>
      <c r="D897" t="s">
        <v>1131</v>
      </c>
      <c r="E897">
        <v>-676000</v>
      </c>
      <c r="F897" t="s">
        <v>1452</v>
      </c>
      <c r="G897">
        <v>0.82</v>
      </c>
      <c r="H897" t="s">
        <v>1462</v>
      </c>
      <c r="I897" t="s">
        <v>1463</v>
      </c>
    </row>
    <row r="898" spans="1:9" x14ac:dyDescent="0.35">
      <c r="A898">
        <v>20260101</v>
      </c>
      <c r="B898" t="s">
        <v>1150</v>
      </c>
      <c r="C898">
        <v>5000</v>
      </c>
      <c r="D898" t="s">
        <v>1131</v>
      </c>
      <c r="E898">
        <v>473800</v>
      </c>
      <c r="F898" t="s">
        <v>1453</v>
      </c>
      <c r="G898">
        <v>0.88</v>
      </c>
      <c r="H898" t="s">
        <v>1462</v>
      </c>
      <c r="I898" t="s">
        <v>1463</v>
      </c>
    </row>
    <row r="899" spans="1:9" x14ac:dyDescent="0.35">
      <c r="A899">
        <v>20260101</v>
      </c>
      <c r="B899" t="s">
        <v>1150</v>
      </c>
      <c r="C899">
        <v>5400</v>
      </c>
      <c r="D899" t="s">
        <v>1131</v>
      </c>
      <c r="E899">
        <v>66805.8</v>
      </c>
      <c r="F899" t="s">
        <v>1453</v>
      </c>
      <c r="G899">
        <v>0.88</v>
      </c>
      <c r="H899" t="s">
        <v>1462</v>
      </c>
      <c r="I899" t="s">
        <v>1463</v>
      </c>
    </row>
    <row r="900" spans="1:9" x14ac:dyDescent="0.35">
      <c r="A900">
        <v>20260101</v>
      </c>
      <c r="B900" t="s">
        <v>1150</v>
      </c>
      <c r="C900">
        <v>6300</v>
      </c>
      <c r="D900" t="s">
        <v>1131</v>
      </c>
      <c r="E900">
        <v>87550</v>
      </c>
      <c r="F900" t="s">
        <v>1453</v>
      </c>
      <c r="G900">
        <v>0.88</v>
      </c>
      <c r="H900" t="s">
        <v>1462</v>
      </c>
      <c r="I900" t="s">
        <v>1463</v>
      </c>
    </row>
    <row r="901" spans="1:9" x14ac:dyDescent="0.35">
      <c r="A901">
        <v>20260101</v>
      </c>
      <c r="B901" t="s">
        <v>1150</v>
      </c>
      <c r="C901">
        <v>3900</v>
      </c>
      <c r="D901" t="s">
        <v>1131</v>
      </c>
      <c r="E901">
        <v>-669500</v>
      </c>
      <c r="F901" t="s">
        <v>1453</v>
      </c>
      <c r="G901">
        <v>0.88</v>
      </c>
      <c r="H901" t="s">
        <v>1462</v>
      </c>
      <c r="I901" t="s">
        <v>1463</v>
      </c>
    </row>
    <row r="902" spans="1:9" x14ac:dyDescent="0.35">
      <c r="A902">
        <v>20260101</v>
      </c>
      <c r="B902" t="s">
        <v>1272</v>
      </c>
      <c r="C902">
        <v>5100</v>
      </c>
      <c r="D902" t="s">
        <v>485</v>
      </c>
      <c r="E902">
        <v>92700</v>
      </c>
      <c r="F902" t="s">
        <v>1453</v>
      </c>
      <c r="G902">
        <v>0.88</v>
      </c>
      <c r="H902" t="s">
        <v>1462</v>
      </c>
      <c r="I902" t="s">
        <v>1463</v>
      </c>
    </row>
    <row r="903" spans="1:9" x14ac:dyDescent="0.35">
      <c r="A903">
        <v>20260101</v>
      </c>
      <c r="B903" t="s">
        <v>1272</v>
      </c>
      <c r="C903">
        <v>3400</v>
      </c>
      <c r="D903" t="s">
        <v>485</v>
      </c>
      <c r="E903">
        <v>-92700</v>
      </c>
      <c r="F903" t="s">
        <v>1453</v>
      </c>
      <c r="G903">
        <v>0.88</v>
      </c>
      <c r="H903" t="s">
        <v>1462</v>
      </c>
      <c r="I903" t="s">
        <v>1463</v>
      </c>
    </row>
    <row r="904" spans="1:9" x14ac:dyDescent="0.35">
      <c r="A904">
        <v>20260101</v>
      </c>
      <c r="B904" t="s">
        <v>1158</v>
      </c>
      <c r="C904">
        <v>5000</v>
      </c>
      <c r="D904" t="s">
        <v>1131</v>
      </c>
      <c r="E904">
        <v>473800</v>
      </c>
      <c r="F904" t="s">
        <v>1453</v>
      </c>
      <c r="G904">
        <v>0.88</v>
      </c>
      <c r="H904" t="s">
        <v>1462</v>
      </c>
      <c r="I904" t="s">
        <v>1463</v>
      </c>
    </row>
    <row r="905" spans="1:9" x14ac:dyDescent="0.35">
      <c r="A905">
        <v>20260101</v>
      </c>
      <c r="B905" t="s">
        <v>1158</v>
      </c>
      <c r="C905">
        <v>5400</v>
      </c>
      <c r="D905" t="s">
        <v>1131</v>
      </c>
      <c r="E905">
        <v>66805.8</v>
      </c>
      <c r="F905" t="s">
        <v>1453</v>
      </c>
      <c r="G905">
        <v>0.88</v>
      </c>
      <c r="H905" t="s">
        <v>1462</v>
      </c>
      <c r="I905" t="s">
        <v>1463</v>
      </c>
    </row>
    <row r="906" spans="1:9" x14ac:dyDescent="0.35">
      <c r="A906">
        <v>20260101</v>
      </c>
      <c r="B906" t="s">
        <v>1158</v>
      </c>
      <c r="C906">
        <v>6300</v>
      </c>
      <c r="D906" t="s">
        <v>1131</v>
      </c>
      <c r="E906">
        <v>87550</v>
      </c>
      <c r="F906" t="s">
        <v>1453</v>
      </c>
      <c r="G906">
        <v>0.88</v>
      </c>
      <c r="H906" t="s">
        <v>1462</v>
      </c>
      <c r="I906" t="s">
        <v>1463</v>
      </c>
    </row>
    <row r="907" spans="1:9" x14ac:dyDescent="0.35">
      <c r="A907">
        <v>20260101</v>
      </c>
      <c r="B907" t="s">
        <v>1158</v>
      </c>
      <c r="C907">
        <v>3900</v>
      </c>
      <c r="D907" t="s">
        <v>1131</v>
      </c>
      <c r="E907">
        <v>-669500</v>
      </c>
      <c r="F907" t="s">
        <v>1453</v>
      </c>
      <c r="G907">
        <v>0.88</v>
      </c>
      <c r="H907" t="s">
        <v>1462</v>
      </c>
      <c r="I907" t="s">
        <v>1463</v>
      </c>
    </row>
    <row r="908" spans="1:9" x14ac:dyDescent="0.35">
      <c r="A908">
        <v>20260101</v>
      </c>
      <c r="B908" t="s">
        <v>1243</v>
      </c>
      <c r="C908">
        <v>5100</v>
      </c>
      <c r="D908" t="s">
        <v>485</v>
      </c>
      <c r="E908">
        <v>92700</v>
      </c>
      <c r="F908" t="s">
        <v>1453</v>
      </c>
      <c r="G908">
        <v>0.88</v>
      </c>
      <c r="H908" t="s">
        <v>1462</v>
      </c>
      <c r="I908" t="s">
        <v>1463</v>
      </c>
    </row>
    <row r="909" spans="1:9" x14ac:dyDescent="0.35">
      <c r="A909">
        <v>20260101</v>
      </c>
      <c r="B909" t="s">
        <v>1243</v>
      </c>
      <c r="C909">
        <v>3400</v>
      </c>
      <c r="D909" t="s">
        <v>485</v>
      </c>
      <c r="E909">
        <v>-92700</v>
      </c>
      <c r="F909" t="s">
        <v>1453</v>
      </c>
      <c r="G909">
        <v>0.88</v>
      </c>
      <c r="H909" t="s">
        <v>1462</v>
      </c>
      <c r="I909" t="s">
        <v>1463</v>
      </c>
    </row>
    <row r="910" spans="1:9" x14ac:dyDescent="0.35">
      <c r="A910">
        <v>20260101</v>
      </c>
      <c r="B910" t="s">
        <v>1205</v>
      </c>
      <c r="C910">
        <v>5000</v>
      </c>
      <c r="D910" t="s">
        <v>1131</v>
      </c>
      <c r="E910">
        <v>473800</v>
      </c>
      <c r="F910" t="s">
        <v>1453</v>
      </c>
      <c r="G910">
        <v>0.88</v>
      </c>
      <c r="H910" t="s">
        <v>1462</v>
      </c>
      <c r="I910" t="s">
        <v>1463</v>
      </c>
    </row>
    <row r="911" spans="1:9" x14ac:dyDescent="0.35">
      <c r="A911">
        <v>20260101</v>
      </c>
      <c r="B911" t="s">
        <v>1205</v>
      </c>
      <c r="C911">
        <v>5400</v>
      </c>
      <c r="D911" t="s">
        <v>1131</v>
      </c>
      <c r="E911">
        <v>66805.8</v>
      </c>
      <c r="F911" t="s">
        <v>1453</v>
      </c>
      <c r="G911">
        <v>0.88</v>
      </c>
      <c r="H911" t="s">
        <v>1462</v>
      </c>
      <c r="I911" t="s">
        <v>1463</v>
      </c>
    </row>
    <row r="912" spans="1:9" x14ac:dyDescent="0.35">
      <c r="A912">
        <v>20260101</v>
      </c>
      <c r="B912" t="s">
        <v>1205</v>
      </c>
      <c r="C912">
        <v>6300</v>
      </c>
      <c r="D912" t="s">
        <v>1131</v>
      </c>
      <c r="E912">
        <v>87550</v>
      </c>
      <c r="F912" t="s">
        <v>1453</v>
      </c>
      <c r="G912">
        <v>0.88</v>
      </c>
      <c r="H912" t="s">
        <v>1462</v>
      </c>
      <c r="I912" t="s">
        <v>1463</v>
      </c>
    </row>
    <row r="913" spans="1:9" x14ac:dyDescent="0.35">
      <c r="A913">
        <v>20260101</v>
      </c>
      <c r="B913" t="s">
        <v>1205</v>
      </c>
      <c r="C913">
        <v>3900</v>
      </c>
      <c r="D913" t="s">
        <v>1131</v>
      </c>
      <c r="E913">
        <v>-669500</v>
      </c>
      <c r="F913" t="s">
        <v>1453</v>
      </c>
      <c r="G913">
        <v>0.88</v>
      </c>
      <c r="H913" t="s">
        <v>1462</v>
      </c>
      <c r="I913" t="s">
        <v>1463</v>
      </c>
    </row>
    <row r="914" spans="1:9" x14ac:dyDescent="0.35">
      <c r="A914">
        <v>20260101</v>
      </c>
      <c r="B914" t="s">
        <v>1257</v>
      </c>
      <c r="C914">
        <v>5100</v>
      </c>
      <c r="D914" t="s">
        <v>485</v>
      </c>
      <c r="E914">
        <v>92700</v>
      </c>
      <c r="F914" t="s">
        <v>1453</v>
      </c>
      <c r="G914">
        <v>0.88</v>
      </c>
      <c r="H914" t="s">
        <v>1462</v>
      </c>
      <c r="I914" t="s">
        <v>1463</v>
      </c>
    </row>
    <row r="915" spans="1:9" x14ac:dyDescent="0.35">
      <c r="A915">
        <v>20260101</v>
      </c>
      <c r="B915" t="s">
        <v>1257</v>
      </c>
      <c r="C915">
        <v>3400</v>
      </c>
      <c r="D915" t="s">
        <v>485</v>
      </c>
      <c r="E915">
        <v>-92700</v>
      </c>
      <c r="F915" t="s">
        <v>1453</v>
      </c>
      <c r="G915">
        <v>0.88</v>
      </c>
      <c r="H915" t="s">
        <v>1462</v>
      </c>
      <c r="I915" t="s">
        <v>1463</v>
      </c>
    </row>
    <row r="916" spans="1:9" x14ac:dyDescent="0.35">
      <c r="A916">
        <v>20260101</v>
      </c>
      <c r="B916" t="s">
        <v>1164</v>
      </c>
      <c r="C916">
        <v>5000</v>
      </c>
      <c r="D916" t="s">
        <v>1131</v>
      </c>
      <c r="E916">
        <v>473800</v>
      </c>
      <c r="F916" t="s">
        <v>1453</v>
      </c>
      <c r="G916">
        <v>0.88</v>
      </c>
      <c r="H916" t="s">
        <v>1462</v>
      </c>
      <c r="I916" t="s">
        <v>1463</v>
      </c>
    </row>
    <row r="917" spans="1:9" x14ac:dyDescent="0.35">
      <c r="A917">
        <v>20260101</v>
      </c>
      <c r="B917" t="s">
        <v>1164</v>
      </c>
      <c r="C917">
        <v>5400</v>
      </c>
      <c r="D917" t="s">
        <v>1131</v>
      </c>
      <c r="E917">
        <v>66805.8</v>
      </c>
      <c r="F917" t="s">
        <v>1453</v>
      </c>
      <c r="G917">
        <v>0.88</v>
      </c>
      <c r="H917" t="s">
        <v>1462</v>
      </c>
      <c r="I917" t="s">
        <v>1463</v>
      </c>
    </row>
    <row r="918" spans="1:9" x14ac:dyDescent="0.35">
      <c r="A918">
        <v>20260101</v>
      </c>
      <c r="B918" t="s">
        <v>1164</v>
      </c>
      <c r="C918">
        <v>6300</v>
      </c>
      <c r="D918" t="s">
        <v>1131</v>
      </c>
      <c r="E918">
        <v>87550</v>
      </c>
      <c r="F918" t="s">
        <v>1453</v>
      </c>
      <c r="G918">
        <v>0.88</v>
      </c>
      <c r="H918" t="s">
        <v>1462</v>
      </c>
      <c r="I918" t="s">
        <v>1463</v>
      </c>
    </row>
    <row r="919" spans="1:9" x14ac:dyDescent="0.35">
      <c r="A919">
        <v>20260101</v>
      </c>
      <c r="B919" t="s">
        <v>1164</v>
      </c>
      <c r="C919">
        <v>3900</v>
      </c>
      <c r="D919" t="s">
        <v>1131</v>
      </c>
      <c r="E919">
        <v>-669500</v>
      </c>
      <c r="F919" t="s">
        <v>1453</v>
      </c>
      <c r="G919">
        <v>0.88</v>
      </c>
      <c r="H919" t="s">
        <v>1462</v>
      </c>
      <c r="I919" t="s">
        <v>1463</v>
      </c>
    </row>
    <row r="920" spans="1:9" x14ac:dyDescent="0.35">
      <c r="A920">
        <v>20260101</v>
      </c>
      <c r="B920" t="s">
        <v>1249</v>
      </c>
      <c r="C920">
        <v>5100</v>
      </c>
      <c r="D920" t="s">
        <v>485</v>
      </c>
      <c r="E920">
        <v>92700</v>
      </c>
      <c r="F920" t="s">
        <v>1453</v>
      </c>
      <c r="G920">
        <v>0.88</v>
      </c>
      <c r="H920" t="s">
        <v>1462</v>
      </c>
      <c r="I920" t="s">
        <v>1463</v>
      </c>
    </row>
    <row r="921" spans="1:9" x14ac:dyDescent="0.35">
      <c r="A921">
        <v>20260101</v>
      </c>
      <c r="B921" t="s">
        <v>1249</v>
      </c>
      <c r="C921">
        <v>3400</v>
      </c>
      <c r="D921" t="s">
        <v>485</v>
      </c>
      <c r="E921">
        <v>-92700</v>
      </c>
      <c r="F921" t="s">
        <v>1453</v>
      </c>
      <c r="G921">
        <v>0.88</v>
      </c>
      <c r="H921" t="s">
        <v>1462</v>
      </c>
      <c r="I921" t="s">
        <v>1463</v>
      </c>
    </row>
    <row r="922" spans="1:9" x14ac:dyDescent="0.35">
      <c r="A922">
        <v>20260101</v>
      </c>
      <c r="B922" t="s">
        <v>1169</v>
      </c>
      <c r="C922">
        <v>5000</v>
      </c>
      <c r="D922" t="s">
        <v>1131</v>
      </c>
      <c r="E922">
        <v>473800</v>
      </c>
      <c r="F922" t="s">
        <v>1453</v>
      </c>
      <c r="G922">
        <v>0.88</v>
      </c>
      <c r="H922" t="s">
        <v>1462</v>
      </c>
      <c r="I922" t="s">
        <v>1463</v>
      </c>
    </row>
    <row r="923" spans="1:9" x14ac:dyDescent="0.35">
      <c r="A923">
        <v>20260101</v>
      </c>
      <c r="B923" t="s">
        <v>1169</v>
      </c>
      <c r="C923">
        <v>5400</v>
      </c>
      <c r="D923" t="s">
        <v>1131</v>
      </c>
      <c r="E923">
        <v>66805.8</v>
      </c>
      <c r="F923" t="s">
        <v>1453</v>
      </c>
      <c r="G923">
        <v>0.88</v>
      </c>
      <c r="H923" t="s">
        <v>1462</v>
      </c>
      <c r="I923" t="s">
        <v>1463</v>
      </c>
    </row>
    <row r="924" spans="1:9" x14ac:dyDescent="0.35">
      <c r="A924">
        <v>20260101</v>
      </c>
      <c r="B924" t="s">
        <v>1169</v>
      </c>
      <c r="C924">
        <v>6300</v>
      </c>
      <c r="D924" t="s">
        <v>1131</v>
      </c>
      <c r="E924">
        <v>87550</v>
      </c>
      <c r="F924" t="s">
        <v>1453</v>
      </c>
      <c r="G924">
        <v>0.88</v>
      </c>
      <c r="H924" t="s">
        <v>1462</v>
      </c>
      <c r="I924" t="s">
        <v>1463</v>
      </c>
    </row>
    <row r="925" spans="1:9" x14ac:dyDescent="0.35">
      <c r="A925">
        <v>20260101</v>
      </c>
      <c r="B925" t="s">
        <v>1169</v>
      </c>
      <c r="C925">
        <v>3900</v>
      </c>
      <c r="D925" t="s">
        <v>1131</v>
      </c>
      <c r="E925">
        <v>-669500</v>
      </c>
      <c r="F925" t="s">
        <v>1453</v>
      </c>
      <c r="G925">
        <v>0.88</v>
      </c>
      <c r="H925" t="s">
        <v>1462</v>
      </c>
      <c r="I925" t="s">
        <v>1463</v>
      </c>
    </row>
    <row r="926" spans="1:9" x14ac:dyDescent="0.35">
      <c r="A926">
        <v>20260101</v>
      </c>
      <c r="B926" t="s">
        <v>1260</v>
      </c>
      <c r="C926">
        <v>5100</v>
      </c>
      <c r="D926" t="s">
        <v>485</v>
      </c>
      <c r="E926">
        <v>92700</v>
      </c>
      <c r="F926" t="s">
        <v>1453</v>
      </c>
      <c r="G926">
        <v>0.88</v>
      </c>
      <c r="H926" t="s">
        <v>1462</v>
      </c>
      <c r="I926" t="s">
        <v>1463</v>
      </c>
    </row>
    <row r="927" spans="1:9" x14ac:dyDescent="0.35">
      <c r="A927">
        <v>20260101</v>
      </c>
      <c r="B927" t="s">
        <v>1260</v>
      </c>
      <c r="C927">
        <v>3400</v>
      </c>
      <c r="D927" t="s">
        <v>485</v>
      </c>
      <c r="E927">
        <v>-92700</v>
      </c>
      <c r="F927" t="s">
        <v>1453</v>
      </c>
      <c r="G927">
        <v>0.88</v>
      </c>
      <c r="H927" t="s">
        <v>1462</v>
      </c>
      <c r="I927" t="s">
        <v>1463</v>
      </c>
    </row>
    <row r="928" spans="1:9" x14ac:dyDescent="0.35">
      <c r="A928">
        <v>20260101</v>
      </c>
      <c r="B928" t="s">
        <v>1175</v>
      </c>
      <c r="C928">
        <v>5000</v>
      </c>
      <c r="D928" t="s">
        <v>1131</v>
      </c>
      <c r="E928">
        <v>473800</v>
      </c>
      <c r="F928" t="s">
        <v>1453</v>
      </c>
      <c r="G928">
        <v>0.88</v>
      </c>
      <c r="H928" t="s">
        <v>1462</v>
      </c>
      <c r="I928" t="s">
        <v>1463</v>
      </c>
    </row>
    <row r="929" spans="1:9" x14ac:dyDescent="0.35">
      <c r="A929">
        <v>20260101</v>
      </c>
      <c r="B929" t="s">
        <v>1175</v>
      </c>
      <c r="C929">
        <v>5400</v>
      </c>
      <c r="D929" t="s">
        <v>1131</v>
      </c>
      <c r="E929">
        <v>66805.8</v>
      </c>
      <c r="F929" t="s">
        <v>1453</v>
      </c>
      <c r="G929">
        <v>0.88</v>
      </c>
      <c r="H929" t="s">
        <v>1462</v>
      </c>
      <c r="I929" t="s">
        <v>1463</v>
      </c>
    </row>
    <row r="930" spans="1:9" x14ac:dyDescent="0.35">
      <c r="A930">
        <v>20260101</v>
      </c>
      <c r="B930" t="s">
        <v>1175</v>
      </c>
      <c r="C930">
        <v>6300</v>
      </c>
      <c r="D930" t="s">
        <v>1131</v>
      </c>
      <c r="E930">
        <v>87550</v>
      </c>
      <c r="F930" t="s">
        <v>1453</v>
      </c>
      <c r="G930">
        <v>0.88</v>
      </c>
      <c r="H930" t="s">
        <v>1462</v>
      </c>
      <c r="I930" t="s">
        <v>1463</v>
      </c>
    </row>
    <row r="931" spans="1:9" x14ac:dyDescent="0.35">
      <c r="A931">
        <v>20260101</v>
      </c>
      <c r="B931" t="s">
        <v>1175</v>
      </c>
      <c r="C931">
        <v>3900</v>
      </c>
      <c r="D931" t="s">
        <v>1131</v>
      </c>
      <c r="E931">
        <v>-669500</v>
      </c>
      <c r="F931" t="s">
        <v>1453</v>
      </c>
      <c r="G931">
        <v>0.88</v>
      </c>
      <c r="H931" t="s">
        <v>1462</v>
      </c>
      <c r="I931" t="s">
        <v>1463</v>
      </c>
    </row>
    <row r="932" spans="1:9" x14ac:dyDescent="0.35">
      <c r="A932">
        <v>20260101</v>
      </c>
      <c r="B932" t="s">
        <v>1247</v>
      </c>
      <c r="C932">
        <v>5100</v>
      </c>
      <c r="D932" t="s">
        <v>485</v>
      </c>
      <c r="E932">
        <v>92700</v>
      </c>
      <c r="F932" t="s">
        <v>1453</v>
      </c>
      <c r="G932">
        <v>0.88</v>
      </c>
      <c r="H932" t="s">
        <v>1462</v>
      </c>
      <c r="I932" t="s">
        <v>1463</v>
      </c>
    </row>
    <row r="933" spans="1:9" x14ac:dyDescent="0.35">
      <c r="A933">
        <v>20260101</v>
      </c>
      <c r="B933" t="s">
        <v>1247</v>
      </c>
      <c r="C933">
        <v>3400</v>
      </c>
      <c r="D933" t="s">
        <v>485</v>
      </c>
      <c r="E933">
        <v>-92700</v>
      </c>
      <c r="F933" t="s">
        <v>1453</v>
      </c>
      <c r="G933">
        <v>0.88</v>
      </c>
      <c r="H933" t="s">
        <v>1462</v>
      </c>
      <c r="I933" t="s">
        <v>1463</v>
      </c>
    </row>
    <row r="934" spans="1:9" x14ac:dyDescent="0.35">
      <c r="A934">
        <v>20260101</v>
      </c>
      <c r="B934" t="s">
        <v>1130</v>
      </c>
      <c r="C934">
        <v>5000</v>
      </c>
      <c r="D934" t="s">
        <v>1131</v>
      </c>
      <c r="E934">
        <v>473800</v>
      </c>
      <c r="F934" t="s">
        <v>1453</v>
      </c>
      <c r="G934">
        <v>0.88</v>
      </c>
      <c r="H934" t="s">
        <v>1462</v>
      </c>
      <c r="I934" t="s">
        <v>1463</v>
      </c>
    </row>
    <row r="935" spans="1:9" x14ac:dyDescent="0.35">
      <c r="A935">
        <v>20260101</v>
      </c>
      <c r="B935" t="s">
        <v>1130</v>
      </c>
      <c r="C935">
        <v>5400</v>
      </c>
      <c r="D935" t="s">
        <v>1131</v>
      </c>
      <c r="E935">
        <v>66805.8</v>
      </c>
      <c r="F935" t="s">
        <v>1453</v>
      </c>
      <c r="G935">
        <v>0.88</v>
      </c>
      <c r="H935" t="s">
        <v>1462</v>
      </c>
      <c r="I935" t="s">
        <v>1463</v>
      </c>
    </row>
    <row r="936" spans="1:9" x14ac:dyDescent="0.35">
      <c r="A936">
        <v>20260101</v>
      </c>
      <c r="B936" t="s">
        <v>1130</v>
      </c>
      <c r="C936">
        <v>6300</v>
      </c>
      <c r="D936" t="s">
        <v>1131</v>
      </c>
      <c r="E936">
        <v>87550</v>
      </c>
      <c r="F936" t="s">
        <v>1453</v>
      </c>
      <c r="G936">
        <v>0.88</v>
      </c>
      <c r="H936" t="s">
        <v>1462</v>
      </c>
      <c r="I936" t="s">
        <v>1463</v>
      </c>
    </row>
    <row r="937" spans="1:9" x14ac:dyDescent="0.35">
      <c r="A937">
        <v>20260101</v>
      </c>
      <c r="B937" t="s">
        <v>1130</v>
      </c>
      <c r="C937">
        <v>3900</v>
      </c>
      <c r="D937" t="s">
        <v>1131</v>
      </c>
      <c r="E937">
        <v>-669500</v>
      </c>
      <c r="F937" t="s">
        <v>1453</v>
      </c>
      <c r="G937">
        <v>0.88</v>
      </c>
      <c r="H937" t="s">
        <v>1462</v>
      </c>
      <c r="I937" t="s">
        <v>1463</v>
      </c>
    </row>
    <row r="938" spans="1:9" x14ac:dyDescent="0.35">
      <c r="A938">
        <v>20260101</v>
      </c>
      <c r="B938" t="s">
        <v>1265</v>
      </c>
      <c r="C938">
        <v>5100</v>
      </c>
      <c r="D938" t="s">
        <v>485</v>
      </c>
      <c r="E938">
        <v>92700</v>
      </c>
      <c r="F938" t="s">
        <v>1453</v>
      </c>
      <c r="G938">
        <v>0.88</v>
      </c>
      <c r="H938" t="s">
        <v>1462</v>
      </c>
      <c r="I938" t="s">
        <v>1463</v>
      </c>
    </row>
    <row r="939" spans="1:9" x14ac:dyDescent="0.35">
      <c r="A939">
        <v>20260101</v>
      </c>
      <c r="B939" t="s">
        <v>1265</v>
      </c>
      <c r="C939">
        <v>3400</v>
      </c>
      <c r="D939" t="s">
        <v>485</v>
      </c>
      <c r="E939">
        <v>-92700</v>
      </c>
      <c r="F939" t="s">
        <v>1453</v>
      </c>
      <c r="G939">
        <v>0.88</v>
      </c>
      <c r="H939" t="s">
        <v>1462</v>
      </c>
      <c r="I939" t="s">
        <v>1463</v>
      </c>
    </row>
    <row r="940" spans="1:9" x14ac:dyDescent="0.35">
      <c r="A940">
        <v>20260101</v>
      </c>
      <c r="B940" t="s">
        <v>1173</v>
      </c>
      <c r="C940">
        <v>5000</v>
      </c>
      <c r="D940" t="s">
        <v>1131</v>
      </c>
      <c r="E940">
        <v>473800</v>
      </c>
      <c r="F940" t="s">
        <v>1453</v>
      </c>
      <c r="G940">
        <v>0.88</v>
      </c>
      <c r="H940" t="s">
        <v>1462</v>
      </c>
      <c r="I940" t="s">
        <v>1463</v>
      </c>
    </row>
    <row r="941" spans="1:9" x14ac:dyDescent="0.35">
      <c r="A941">
        <v>20260101</v>
      </c>
      <c r="B941" t="s">
        <v>1173</v>
      </c>
      <c r="C941">
        <v>5400</v>
      </c>
      <c r="D941" t="s">
        <v>1131</v>
      </c>
      <c r="E941">
        <v>66805.8</v>
      </c>
      <c r="F941" t="s">
        <v>1453</v>
      </c>
      <c r="G941">
        <v>0.88</v>
      </c>
      <c r="H941" t="s">
        <v>1462</v>
      </c>
      <c r="I941" t="s">
        <v>1463</v>
      </c>
    </row>
    <row r="942" spans="1:9" x14ac:dyDescent="0.35">
      <c r="A942">
        <v>20260101</v>
      </c>
      <c r="B942" t="s">
        <v>1173</v>
      </c>
      <c r="C942">
        <v>6300</v>
      </c>
      <c r="D942" t="s">
        <v>1131</v>
      </c>
      <c r="E942">
        <v>87550</v>
      </c>
      <c r="F942" t="s">
        <v>1453</v>
      </c>
      <c r="G942">
        <v>0.88</v>
      </c>
      <c r="H942" t="s">
        <v>1462</v>
      </c>
      <c r="I942" t="s">
        <v>1463</v>
      </c>
    </row>
    <row r="943" spans="1:9" x14ac:dyDescent="0.35">
      <c r="A943">
        <v>20260101</v>
      </c>
      <c r="B943" t="s">
        <v>1173</v>
      </c>
      <c r="C943">
        <v>3900</v>
      </c>
      <c r="D943" t="s">
        <v>1131</v>
      </c>
      <c r="E943">
        <v>-669500</v>
      </c>
      <c r="F943" t="s">
        <v>1453</v>
      </c>
      <c r="G943">
        <v>0.88</v>
      </c>
      <c r="H943" t="s">
        <v>1462</v>
      </c>
      <c r="I943" t="s">
        <v>1463</v>
      </c>
    </row>
    <row r="944" spans="1:9" x14ac:dyDescent="0.35">
      <c r="A944">
        <v>20260101</v>
      </c>
      <c r="B944" t="s">
        <v>1255</v>
      </c>
      <c r="C944">
        <v>5100</v>
      </c>
      <c r="D944" t="s">
        <v>485</v>
      </c>
      <c r="E944">
        <v>92700</v>
      </c>
      <c r="F944" t="s">
        <v>1453</v>
      </c>
      <c r="G944">
        <v>0.88</v>
      </c>
      <c r="H944" t="s">
        <v>1462</v>
      </c>
      <c r="I944" t="s">
        <v>1463</v>
      </c>
    </row>
    <row r="945" spans="1:9" x14ac:dyDescent="0.35">
      <c r="A945">
        <v>20260101</v>
      </c>
      <c r="B945" t="s">
        <v>1255</v>
      </c>
      <c r="C945">
        <v>3400</v>
      </c>
      <c r="D945" t="s">
        <v>485</v>
      </c>
      <c r="E945">
        <v>-92700</v>
      </c>
      <c r="F945" t="s">
        <v>1453</v>
      </c>
      <c r="G945">
        <v>0.88</v>
      </c>
      <c r="H945" t="s">
        <v>1462</v>
      </c>
      <c r="I945" t="s">
        <v>1463</v>
      </c>
    </row>
    <row r="946" spans="1:9" x14ac:dyDescent="0.35">
      <c r="A946">
        <v>20260101</v>
      </c>
      <c r="B946" t="s">
        <v>1155</v>
      </c>
      <c r="C946">
        <v>5000</v>
      </c>
      <c r="D946" t="s">
        <v>1131</v>
      </c>
      <c r="E946">
        <v>473800</v>
      </c>
      <c r="F946" t="s">
        <v>1453</v>
      </c>
      <c r="G946">
        <v>0.88</v>
      </c>
      <c r="H946" t="s">
        <v>1462</v>
      </c>
      <c r="I946" t="s">
        <v>1463</v>
      </c>
    </row>
    <row r="947" spans="1:9" x14ac:dyDescent="0.35">
      <c r="A947">
        <v>20260101</v>
      </c>
      <c r="B947" t="s">
        <v>1155</v>
      </c>
      <c r="C947">
        <v>5400</v>
      </c>
      <c r="D947" t="s">
        <v>1131</v>
      </c>
      <c r="E947">
        <v>66805.8</v>
      </c>
      <c r="F947" t="s">
        <v>1453</v>
      </c>
      <c r="G947">
        <v>0.88</v>
      </c>
      <c r="H947" t="s">
        <v>1462</v>
      </c>
      <c r="I947" t="s">
        <v>1463</v>
      </c>
    </row>
    <row r="948" spans="1:9" x14ac:dyDescent="0.35">
      <c r="A948">
        <v>20260101</v>
      </c>
      <c r="B948" t="s">
        <v>1155</v>
      </c>
      <c r="C948">
        <v>6300</v>
      </c>
      <c r="D948" t="s">
        <v>1131</v>
      </c>
      <c r="E948">
        <v>87550</v>
      </c>
      <c r="F948" t="s">
        <v>1453</v>
      </c>
      <c r="G948">
        <v>0.88</v>
      </c>
      <c r="H948" t="s">
        <v>1462</v>
      </c>
      <c r="I948" t="s">
        <v>1463</v>
      </c>
    </row>
    <row r="949" spans="1:9" x14ac:dyDescent="0.35">
      <c r="A949">
        <v>20260101</v>
      </c>
      <c r="B949" t="s">
        <v>1155</v>
      </c>
      <c r="C949">
        <v>3900</v>
      </c>
      <c r="D949" t="s">
        <v>1131</v>
      </c>
      <c r="E949">
        <v>-669500</v>
      </c>
      <c r="F949" t="s">
        <v>1453</v>
      </c>
      <c r="G949">
        <v>0.88</v>
      </c>
      <c r="H949" t="s">
        <v>1462</v>
      </c>
      <c r="I949" t="s">
        <v>1463</v>
      </c>
    </row>
    <row r="950" spans="1:9" x14ac:dyDescent="0.35">
      <c r="A950">
        <v>20260101</v>
      </c>
      <c r="B950" t="s">
        <v>1138</v>
      </c>
      <c r="C950">
        <v>5000</v>
      </c>
      <c r="D950" t="s">
        <v>1131</v>
      </c>
      <c r="E950">
        <v>473800</v>
      </c>
      <c r="F950" t="s">
        <v>1453</v>
      </c>
      <c r="G950">
        <v>0.88</v>
      </c>
      <c r="H950" t="s">
        <v>1462</v>
      </c>
      <c r="I950" t="s">
        <v>1463</v>
      </c>
    </row>
    <row r="951" spans="1:9" x14ac:dyDescent="0.35">
      <c r="A951">
        <v>20260101</v>
      </c>
      <c r="B951" t="s">
        <v>1138</v>
      </c>
      <c r="C951">
        <v>5400</v>
      </c>
      <c r="D951" t="s">
        <v>1131</v>
      </c>
      <c r="E951">
        <v>66805.8</v>
      </c>
      <c r="F951" t="s">
        <v>1453</v>
      </c>
      <c r="G951">
        <v>0.88</v>
      </c>
      <c r="H951" t="s">
        <v>1462</v>
      </c>
      <c r="I951" t="s">
        <v>1463</v>
      </c>
    </row>
    <row r="952" spans="1:9" x14ac:dyDescent="0.35">
      <c r="A952">
        <v>20260101</v>
      </c>
      <c r="B952" t="s">
        <v>1138</v>
      </c>
      <c r="C952">
        <v>6300</v>
      </c>
      <c r="D952" t="s">
        <v>1131</v>
      </c>
      <c r="E952">
        <v>87550</v>
      </c>
      <c r="F952" t="s">
        <v>1453</v>
      </c>
      <c r="G952">
        <v>0.88</v>
      </c>
      <c r="H952" t="s">
        <v>1462</v>
      </c>
      <c r="I952" t="s">
        <v>1463</v>
      </c>
    </row>
    <row r="953" spans="1:9" x14ac:dyDescent="0.35">
      <c r="A953">
        <v>20260101</v>
      </c>
      <c r="B953" t="s">
        <v>1138</v>
      </c>
      <c r="C953">
        <v>3900</v>
      </c>
      <c r="D953" t="s">
        <v>1131</v>
      </c>
      <c r="E953">
        <v>-669500</v>
      </c>
      <c r="F953" t="s">
        <v>1453</v>
      </c>
      <c r="G953">
        <v>0.88</v>
      </c>
      <c r="H953" t="s">
        <v>1462</v>
      </c>
      <c r="I953" t="s">
        <v>1463</v>
      </c>
    </row>
    <row r="954" spans="1:9" x14ac:dyDescent="0.35">
      <c r="A954">
        <v>20260201</v>
      </c>
      <c r="B954" t="s">
        <v>1150</v>
      </c>
      <c r="C954">
        <v>5000</v>
      </c>
      <c r="D954" t="s">
        <v>1131</v>
      </c>
      <c r="E954">
        <v>473800</v>
      </c>
      <c r="F954" t="s">
        <v>1453</v>
      </c>
      <c r="G954">
        <v>0.88</v>
      </c>
      <c r="H954" t="s">
        <v>1462</v>
      </c>
      <c r="I954" t="s">
        <v>1463</v>
      </c>
    </row>
    <row r="955" spans="1:9" x14ac:dyDescent="0.35">
      <c r="A955">
        <v>20260201</v>
      </c>
      <c r="B955" t="s">
        <v>1150</v>
      </c>
      <c r="C955">
        <v>5400</v>
      </c>
      <c r="D955" t="s">
        <v>1131</v>
      </c>
      <c r="E955">
        <v>66805.8</v>
      </c>
      <c r="F955" t="s">
        <v>1453</v>
      </c>
      <c r="G955">
        <v>0.88</v>
      </c>
      <c r="H955" t="s">
        <v>1462</v>
      </c>
      <c r="I955" t="s">
        <v>1463</v>
      </c>
    </row>
    <row r="956" spans="1:9" x14ac:dyDescent="0.35">
      <c r="A956">
        <v>20260201</v>
      </c>
      <c r="B956" t="s">
        <v>1150</v>
      </c>
      <c r="C956">
        <v>6300</v>
      </c>
      <c r="D956" t="s">
        <v>1131</v>
      </c>
      <c r="E956">
        <v>87550</v>
      </c>
      <c r="F956" t="s">
        <v>1453</v>
      </c>
      <c r="G956">
        <v>0.88</v>
      </c>
      <c r="H956" t="s">
        <v>1462</v>
      </c>
      <c r="I956" t="s">
        <v>1463</v>
      </c>
    </row>
    <row r="957" spans="1:9" x14ac:dyDescent="0.35">
      <c r="A957">
        <v>20260201</v>
      </c>
      <c r="B957" t="s">
        <v>1150</v>
      </c>
      <c r="C957">
        <v>3900</v>
      </c>
      <c r="D957" t="s">
        <v>1131</v>
      </c>
      <c r="E957">
        <v>-669500</v>
      </c>
      <c r="F957" t="s">
        <v>1453</v>
      </c>
      <c r="G957">
        <v>0.88</v>
      </c>
      <c r="H957" t="s">
        <v>1462</v>
      </c>
      <c r="I957" t="s">
        <v>1463</v>
      </c>
    </row>
    <row r="958" spans="1:9" x14ac:dyDescent="0.35">
      <c r="A958">
        <v>20260201</v>
      </c>
      <c r="B958" t="s">
        <v>1272</v>
      </c>
      <c r="C958">
        <v>5100</v>
      </c>
      <c r="D958" t="s">
        <v>485</v>
      </c>
      <c r="E958">
        <v>92700</v>
      </c>
      <c r="F958" t="s">
        <v>1453</v>
      </c>
      <c r="G958">
        <v>0.88</v>
      </c>
      <c r="H958" t="s">
        <v>1462</v>
      </c>
      <c r="I958" t="s">
        <v>1463</v>
      </c>
    </row>
    <row r="959" spans="1:9" x14ac:dyDescent="0.35">
      <c r="A959">
        <v>20260201</v>
      </c>
      <c r="B959" t="s">
        <v>1272</v>
      </c>
      <c r="C959">
        <v>3400</v>
      </c>
      <c r="D959" t="s">
        <v>485</v>
      </c>
      <c r="E959">
        <v>-92700</v>
      </c>
      <c r="F959" t="s">
        <v>1453</v>
      </c>
      <c r="G959">
        <v>0.88</v>
      </c>
      <c r="H959" t="s">
        <v>1462</v>
      </c>
      <c r="I959" t="s">
        <v>1463</v>
      </c>
    </row>
    <row r="960" spans="1:9" x14ac:dyDescent="0.35">
      <c r="A960">
        <v>20260201</v>
      </c>
      <c r="B960" t="s">
        <v>1158</v>
      </c>
      <c r="C960">
        <v>5000</v>
      </c>
      <c r="D960" t="s">
        <v>1131</v>
      </c>
      <c r="E960">
        <v>473800</v>
      </c>
      <c r="F960" t="s">
        <v>1453</v>
      </c>
      <c r="G960">
        <v>0.88</v>
      </c>
      <c r="H960" t="s">
        <v>1462</v>
      </c>
      <c r="I960" t="s">
        <v>1463</v>
      </c>
    </row>
    <row r="961" spans="1:9" x14ac:dyDescent="0.35">
      <c r="A961">
        <v>20260201</v>
      </c>
      <c r="B961" t="s">
        <v>1158</v>
      </c>
      <c r="C961">
        <v>5400</v>
      </c>
      <c r="D961" t="s">
        <v>1131</v>
      </c>
      <c r="E961">
        <v>66805.8</v>
      </c>
      <c r="F961" t="s">
        <v>1453</v>
      </c>
      <c r="G961">
        <v>0.88</v>
      </c>
      <c r="H961" t="s">
        <v>1462</v>
      </c>
      <c r="I961" t="s">
        <v>1463</v>
      </c>
    </row>
    <row r="962" spans="1:9" x14ac:dyDescent="0.35">
      <c r="A962">
        <v>20260201</v>
      </c>
      <c r="B962" t="s">
        <v>1158</v>
      </c>
      <c r="C962">
        <v>6300</v>
      </c>
      <c r="D962" t="s">
        <v>1131</v>
      </c>
      <c r="E962">
        <v>87550</v>
      </c>
      <c r="F962" t="s">
        <v>1453</v>
      </c>
      <c r="G962">
        <v>0.88</v>
      </c>
      <c r="H962" t="s">
        <v>1462</v>
      </c>
      <c r="I962" t="s">
        <v>1463</v>
      </c>
    </row>
    <row r="963" spans="1:9" x14ac:dyDescent="0.35">
      <c r="A963">
        <v>20260201</v>
      </c>
      <c r="B963" t="s">
        <v>1158</v>
      </c>
      <c r="C963">
        <v>3900</v>
      </c>
      <c r="D963" t="s">
        <v>1131</v>
      </c>
      <c r="E963">
        <v>-669500</v>
      </c>
      <c r="F963" t="s">
        <v>1453</v>
      </c>
      <c r="G963">
        <v>0.88</v>
      </c>
      <c r="H963" t="s">
        <v>1462</v>
      </c>
      <c r="I963" t="s">
        <v>1463</v>
      </c>
    </row>
    <row r="964" spans="1:9" x14ac:dyDescent="0.35">
      <c r="A964">
        <v>20260201</v>
      </c>
      <c r="B964" t="s">
        <v>1243</v>
      </c>
      <c r="C964">
        <v>5100</v>
      </c>
      <c r="D964" t="s">
        <v>485</v>
      </c>
      <c r="E964">
        <v>92700</v>
      </c>
      <c r="F964" t="s">
        <v>1453</v>
      </c>
      <c r="G964">
        <v>0.88</v>
      </c>
      <c r="H964" t="s">
        <v>1462</v>
      </c>
      <c r="I964" t="s">
        <v>1463</v>
      </c>
    </row>
    <row r="965" spans="1:9" x14ac:dyDescent="0.35">
      <c r="A965">
        <v>20260201</v>
      </c>
      <c r="B965" t="s">
        <v>1243</v>
      </c>
      <c r="C965">
        <v>3400</v>
      </c>
      <c r="D965" t="s">
        <v>485</v>
      </c>
      <c r="E965">
        <v>-92700</v>
      </c>
      <c r="F965" t="s">
        <v>1453</v>
      </c>
      <c r="G965">
        <v>0.88</v>
      </c>
      <c r="H965" t="s">
        <v>1462</v>
      </c>
      <c r="I965" t="s">
        <v>1463</v>
      </c>
    </row>
    <row r="966" spans="1:9" x14ac:dyDescent="0.35">
      <c r="A966">
        <v>20260201</v>
      </c>
      <c r="B966" t="s">
        <v>1205</v>
      </c>
      <c r="C966">
        <v>5000</v>
      </c>
      <c r="D966" t="s">
        <v>1131</v>
      </c>
      <c r="E966">
        <v>473800</v>
      </c>
      <c r="F966" t="s">
        <v>1453</v>
      </c>
      <c r="G966">
        <v>0.88</v>
      </c>
      <c r="H966" t="s">
        <v>1462</v>
      </c>
      <c r="I966" t="s">
        <v>1463</v>
      </c>
    </row>
    <row r="967" spans="1:9" x14ac:dyDescent="0.35">
      <c r="A967">
        <v>20260201</v>
      </c>
      <c r="B967" t="s">
        <v>1205</v>
      </c>
      <c r="C967">
        <v>5400</v>
      </c>
      <c r="D967" t="s">
        <v>1131</v>
      </c>
      <c r="E967">
        <v>66805.8</v>
      </c>
      <c r="F967" t="s">
        <v>1453</v>
      </c>
      <c r="G967">
        <v>0.88</v>
      </c>
      <c r="H967" t="s">
        <v>1462</v>
      </c>
      <c r="I967" t="s">
        <v>1463</v>
      </c>
    </row>
    <row r="968" spans="1:9" x14ac:dyDescent="0.35">
      <c r="A968">
        <v>20260201</v>
      </c>
      <c r="B968" t="s">
        <v>1205</v>
      </c>
      <c r="C968">
        <v>6300</v>
      </c>
      <c r="D968" t="s">
        <v>1131</v>
      </c>
      <c r="E968">
        <v>87550</v>
      </c>
      <c r="F968" t="s">
        <v>1453</v>
      </c>
      <c r="G968">
        <v>0.88</v>
      </c>
      <c r="H968" t="s">
        <v>1462</v>
      </c>
      <c r="I968" t="s">
        <v>1463</v>
      </c>
    </row>
    <row r="969" spans="1:9" x14ac:dyDescent="0.35">
      <c r="A969">
        <v>20260201</v>
      </c>
      <c r="B969" t="s">
        <v>1205</v>
      </c>
      <c r="C969">
        <v>3900</v>
      </c>
      <c r="D969" t="s">
        <v>1131</v>
      </c>
      <c r="E969">
        <v>-669500</v>
      </c>
      <c r="F969" t="s">
        <v>1453</v>
      </c>
      <c r="G969">
        <v>0.88</v>
      </c>
      <c r="H969" t="s">
        <v>1462</v>
      </c>
      <c r="I969" t="s">
        <v>1463</v>
      </c>
    </row>
    <row r="970" spans="1:9" x14ac:dyDescent="0.35">
      <c r="A970">
        <v>20260201</v>
      </c>
      <c r="B970" t="s">
        <v>1257</v>
      </c>
      <c r="C970">
        <v>5100</v>
      </c>
      <c r="D970" t="s">
        <v>485</v>
      </c>
      <c r="E970">
        <v>92700</v>
      </c>
      <c r="F970" t="s">
        <v>1453</v>
      </c>
      <c r="G970">
        <v>0.88</v>
      </c>
      <c r="H970" t="s">
        <v>1462</v>
      </c>
      <c r="I970" t="s">
        <v>1463</v>
      </c>
    </row>
    <row r="971" spans="1:9" x14ac:dyDescent="0.35">
      <c r="A971">
        <v>20260201</v>
      </c>
      <c r="B971" t="s">
        <v>1257</v>
      </c>
      <c r="C971">
        <v>3400</v>
      </c>
      <c r="D971" t="s">
        <v>485</v>
      </c>
      <c r="E971">
        <v>-92700</v>
      </c>
      <c r="F971" t="s">
        <v>1453</v>
      </c>
      <c r="G971">
        <v>0.88</v>
      </c>
      <c r="H971" t="s">
        <v>1462</v>
      </c>
      <c r="I971" t="s">
        <v>1463</v>
      </c>
    </row>
    <row r="972" spans="1:9" x14ac:dyDescent="0.35">
      <c r="A972">
        <v>20260201</v>
      </c>
      <c r="B972" t="s">
        <v>1164</v>
      </c>
      <c r="C972">
        <v>5000</v>
      </c>
      <c r="D972" t="s">
        <v>1131</v>
      </c>
      <c r="E972">
        <v>473800</v>
      </c>
      <c r="F972" t="s">
        <v>1453</v>
      </c>
      <c r="G972">
        <v>0.88</v>
      </c>
      <c r="H972" t="s">
        <v>1462</v>
      </c>
      <c r="I972" t="s">
        <v>1463</v>
      </c>
    </row>
    <row r="973" spans="1:9" x14ac:dyDescent="0.35">
      <c r="A973">
        <v>20260201</v>
      </c>
      <c r="B973" t="s">
        <v>1164</v>
      </c>
      <c r="C973">
        <v>5400</v>
      </c>
      <c r="D973" t="s">
        <v>1131</v>
      </c>
      <c r="E973">
        <v>66805.8</v>
      </c>
      <c r="F973" t="s">
        <v>1453</v>
      </c>
      <c r="G973">
        <v>0.88</v>
      </c>
      <c r="H973" t="s">
        <v>1462</v>
      </c>
      <c r="I973" t="s">
        <v>1463</v>
      </c>
    </row>
    <row r="974" spans="1:9" x14ac:dyDescent="0.35">
      <c r="A974">
        <v>20260201</v>
      </c>
      <c r="B974" t="s">
        <v>1164</v>
      </c>
      <c r="C974">
        <v>6300</v>
      </c>
      <c r="D974" t="s">
        <v>1131</v>
      </c>
      <c r="E974">
        <v>87550</v>
      </c>
      <c r="F974" t="s">
        <v>1453</v>
      </c>
      <c r="G974">
        <v>0.88</v>
      </c>
      <c r="H974" t="s">
        <v>1462</v>
      </c>
      <c r="I974" t="s">
        <v>1463</v>
      </c>
    </row>
    <row r="975" spans="1:9" x14ac:dyDescent="0.35">
      <c r="A975">
        <v>20260201</v>
      </c>
      <c r="B975" t="s">
        <v>1164</v>
      </c>
      <c r="C975">
        <v>3900</v>
      </c>
      <c r="D975" t="s">
        <v>1131</v>
      </c>
      <c r="E975">
        <v>-669500</v>
      </c>
      <c r="F975" t="s">
        <v>1453</v>
      </c>
      <c r="G975">
        <v>0.88</v>
      </c>
      <c r="H975" t="s">
        <v>1462</v>
      </c>
      <c r="I975" t="s">
        <v>1463</v>
      </c>
    </row>
    <row r="976" spans="1:9" x14ac:dyDescent="0.35">
      <c r="A976">
        <v>20260201</v>
      </c>
      <c r="B976" t="s">
        <v>1249</v>
      </c>
      <c r="C976">
        <v>5100</v>
      </c>
      <c r="D976" t="s">
        <v>485</v>
      </c>
      <c r="E976">
        <v>92700</v>
      </c>
      <c r="F976" t="s">
        <v>1453</v>
      </c>
      <c r="G976">
        <v>0.88</v>
      </c>
      <c r="H976" t="s">
        <v>1462</v>
      </c>
      <c r="I976" t="s">
        <v>1463</v>
      </c>
    </row>
    <row r="977" spans="1:9" x14ac:dyDescent="0.35">
      <c r="A977">
        <v>20260201</v>
      </c>
      <c r="B977" t="s">
        <v>1249</v>
      </c>
      <c r="C977">
        <v>3400</v>
      </c>
      <c r="D977" t="s">
        <v>485</v>
      </c>
      <c r="E977">
        <v>-92700</v>
      </c>
      <c r="F977" t="s">
        <v>1453</v>
      </c>
      <c r="G977">
        <v>0.88</v>
      </c>
      <c r="H977" t="s">
        <v>1462</v>
      </c>
      <c r="I977" t="s">
        <v>1463</v>
      </c>
    </row>
    <row r="978" spans="1:9" x14ac:dyDescent="0.35">
      <c r="A978">
        <v>20260201</v>
      </c>
      <c r="B978" t="s">
        <v>1169</v>
      </c>
      <c r="C978">
        <v>5000</v>
      </c>
      <c r="D978" t="s">
        <v>1131</v>
      </c>
      <c r="E978">
        <v>473800</v>
      </c>
      <c r="F978" t="s">
        <v>1453</v>
      </c>
      <c r="G978">
        <v>0.88</v>
      </c>
      <c r="H978" t="s">
        <v>1462</v>
      </c>
      <c r="I978" t="s">
        <v>1463</v>
      </c>
    </row>
    <row r="979" spans="1:9" x14ac:dyDescent="0.35">
      <c r="A979">
        <v>20260201</v>
      </c>
      <c r="B979" t="s">
        <v>1169</v>
      </c>
      <c r="C979">
        <v>5400</v>
      </c>
      <c r="D979" t="s">
        <v>1131</v>
      </c>
      <c r="E979">
        <v>66805.8</v>
      </c>
      <c r="F979" t="s">
        <v>1453</v>
      </c>
      <c r="G979">
        <v>0.88</v>
      </c>
      <c r="H979" t="s">
        <v>1462</v>
      </c>
      <c r="I979" t="s">
        <v>1463</v>
      </c>
    </row>
    <row r="980" spans="1:9" x14ac:dyDescent="0.35">
      <c r="A980">
        <v>20260201</v>
      </c>
      <c r="B980" t="s">
        <v>1169</v>
      </c>
      <c r="C980">
        <v>6300</v>
      </c>
      <c r="D980" t="s">
        <v>1131</v>
      </c>
      <c r="E980">
        <v>87550</v>
      </c>
      <c r="F980" t="s">
        <v>1453</v>
      </c>
      <c r="G980">
        <v>0.88</v>
      </c>
      <c r="H980" t="s">
        <v>1462</v>
      </c>
      <c r="I980" t="s">
        <v>1463</v>
      </c>
    </row>
    <row r="981" spans="1:9" x14ac:dyDescent="0.35">
      <c r="A981">
        <v>20260201</v>
      </c>
      <c r="B981" t="s">
        <v>1169</v>
      </c>
      <c r="C981">
        <v>3900</v>
      </c>
      <c r="D981" t="s">
        <v>1131</v>
      </c>
      <c r="E981">
        <v>-669500</v>
      </c>
      <c r="F981" t="s">
        <v>1453</v>
      </c>
      <c r="G981">
        <v>0.88</v>
      </c>
      <c r="H981" t="s">
        <v>1462</v>
      </c>
      <c r="I981" t="s">
        <v>1463</v>
      </c>
    </row>
    <row r="982" spans="1:9" x14ac:dyDescent="0.35">
      <c r="A982">
        <v>20260201</v>
      </c>
      <c r="B982" t="s">
        <v>1260</v>
      </c>
      <c r="C982">
        <v>5100</v>
      </c>
      <c r="D982" t="s">
        <v>485</v>
      </c>
      <c r="E982">
        <v>92700</v>
      </c>
      <c r="F982" t="s">
        <v>1453</v>
      </c>
      <c r="G982">
        <v>0.88</v>
      </c>
      <c r="H982" t="s">
        <v>1462</v>
      </c>
      <c r="I982" t="s">
        <v>1463</v>
      </c>
    </row>
    <row r="983" spans="1:9" x14ac:dyDescent="0.35">
      <c r="A983">
        <v>20260201</v>
      </c>
      <c r="B983" t="s">
        <v>1260</v>
      </c>
      <c r="C983">
        <v>3400</v>
      </c>
      <c r="D983" t="s">
        <v>485</v>
      </c>
      <c r="E983">
        <v>-92700</v>
      </c>
      <c r="F983" t="s">
        <v>1453</v>
      </c>
      <c r="G983">
        <v>0.88</v>
      </c>
      <c r="H983" t="s">
        <v>1462</v>
      </c>
      <c r="I983" t="s">
        <v>1463</v>
      </c>
    </row>
    <row r="984" spans="1:9" x14ac:dyDescent="0.35">
      <c r="A984">
        <v>20260201</v>
      </c>
      <c r="B984" t="s">
        <v>1175</v>
      </c>
      <c r="C984">
        <v>5000</v>
      </c>
      <c r="D984" t="s">
        <v>1131</v>
      </c>
      <c r="E984">
        <v>473800</v>
      </c>
      <c r="F984" t="s">
        <v>1453</v>
      </c>
      <c r="G984">
        <v>0.88</v>
      </c>
      <c r="H984" t="s">
        <v>1462</v>
      </c>
      <c r="I984" t="s">
        <v>1463</v>
      </c>
    </row>
    <row r="985" spans="1:9" x14ac:dyDescent="0.35">
      <c r="A985">
        <v>20260201</v>
      </c>
      <c r="B985" t="s">
        <v>1175</v>
      </c>
      <c r="C985">
        <v>5400</v>
      </c>
      <c r="D985" t="s">
        <v>1131</v>
      </c>
      <c r="E985">
        <v>66805.8</v>
      </c>
      <c r="F985" t="s">
        <v>1453</v>
      </c>
      <c r="G985">
        <v>0.88</v>
      </c>
      <c r="H985" t="s">
        <v>1462</v>
      </c>
      <c r="I985" t="s">
        <v>1463</v>
      </c>
    </row>
    <row r="986" spans="1:9" x14ac:dyDescent="0.35">
      <c r="A986">
        <v>20260201</v>
      </c>
      <c r="B986" t="s">
        <v>1175</v>
      </c>
      <c r="C986">
        <v>6300</v>
      </c>
      <c r="D986" t="s">
        <v>1131</v>
      </c>
      <c r="E986">
        <v>87550</v>
      </c>
      <c r="F986" t="s">
        <v>1453</v>
      </c>
      <c r="G986">
        <v>0.88</v>
      </c>
      <c r="H986" t="s">
        <v>1462</v>
      </c>
      <c r="I986" t="s">
        <v>1463</v>
      </c>
    </row>
    <row r="987" spans="1:9" x14ac:dyDescent="0.35">
      <c r="A987">
        <v>20260201</v>
      </c>
      <c r="B987" t="s">
        <v>1175</v>
      </c>
      <c r="C987">
        <v>3900</v>
      </c>
      <c r="D987" t="s">
        <v>1131</v>
      </c>
      <c r="E987">
        <v>-669500</v>
      </c>
      <c r="F987" t="s">
        <v>1453</v>
      </c>
      <c r="G987">
        <v>0.88</v>
      </c>
      <c r="H987" t="s">
        <v>1462</v>
      </c>
      <c r="I987" t="s">
        <v>1463</v>
      </c>
    </row>
    <row r="988" spans="1:9" x14ac:dyDescent="0.35">
      <c r="A988">
        <v>20260201</v>
      </c>
      <c r="B988" t="s">
        <v>1247</v>
      </c>
      <c r="C988">
        <v>5100</v>
      </c>
      <c r="D988" t="s">
        <v>485</v>
      </c>
      <c r="E988">
        <v>92700</v>
      </c>
      <c r="F988" t="s">
        <v>1453</v>
      </c>
      <c r="G988">
        <v>0.88</v>
      </c>
      <c r="H988" t="s">
        <v>1462</v>
      </c>
      <c r="I988" t="s">
        <v>1463</v>
      </c>
    </row>
    <row r="989" spans="1:9" x14ac:dyDescent="0.35">
      <c r="A989">
        <v>20260201</v>
      </c>
      <c r="B989" t="s">
        <v>1247</v>
      </c>
      <c r="C989">
        <v>3400</v>
      </c>
      <c r="D989" t="s">
        <v>485</v>
      </c>
      <c r="E989">
        <v>-92700</v>
      </c>
      <c r="F989" t="s">
        <v>1453</v>
      </c>
      <c r="G989">
        <v>0.88</v>
      </c>
      <c r="H989" t="s">
        <v>1462</v>
      </c>
      <c r="I989" t="s">
        <v>1463</v>
      </c>
    </row>
    <row r="990" spans="1:9" x14ac:dyDescent="0.35">
      <c r="A990">
        <v>20260201</v>
      </c>
      <c r="B990" t="s">
        <v>1130</v>
      </c>
      <c r="C990">
        <v>5000</v>
      </c>
      <c r="D990" t="s">
        <v>1131</v>
      </c>
      <c r="E990">
        <v>473800</v>
      </c>
      <c r="F990" t="s">
        <v>1453</v>
      </c>
      <c r="G990">
        <v>0.88</v>
      </c>
      <c r="H990" t="s">
        <v>1462</v>
      </c>
      <c r="I990" t="s">
        <v>1463</v>
      </c>
    </row>
    <row r="991" spans="1:9" x14ac:dyDescent="0.35">
      <c r="A991">
        <v>20260201</v>
      </c>
      <c r="B991" t="s">
        <v>1130</v>
      </c>
      <c r="C991">
        <v>5400</v>
      </c>
      <c r="D991" t="s">
        <v>1131</v>
      </c>
      <c r="E991">
        <v>66805.8</v>
      </c>
      <c r="F991" t="s">
        <v>1453</v>
      </c>
      <c r="G991">
        <v>0.88</v>
      </c>
      <c r="H991" t="s">
        <v>1462</v>
      </c>
      <c r="I991" t="s">
        <v>1463</v>
      </c>
    </row>
    <row r="992" spans="1:9" x14ac:dyDescent="0.35">
      <c r="A992">
        <v>20260201</v>
      </c>
      <c r="B992" t="s">
        <v>1130</v>
      </c>
      <c r="C992">
        <v>6300</v>
      </c>
      <c r="D992" t="s">
        <v>1131</v>
      </c>
      <c r="E992">
        <v>87550</v>
      </c>
      <c r="F992" t="s">
        <v>1453</v>
      </c>
      <c r="G992">
        <v>0.88</v>
      </c>
      <c r="H992" t="s">
        <v>1462</v>
      </c>
      <c r="I992" t="s">
        <v>1463</v>
      </c>
    </row>
    <row r="993" spans="1:9" x14ac:dyDescent="0.35">
      <c r="A993">
        <v>20260201</v>
      </c>
      <c r="B993" t="s">
        <v>1130</v>
      </c>
      <c r="C993">
        <v>3900</v>
      </c>
      <c r="D993" t="s">
        <v>1131</v>
      </c>
      <c r="E993">
        <v>-669500</v>
      </c>
      <c r="F993" t="s">
        <v>1453</v>
      </c>
      <c r="G993">
        <v>0.88</v>
      </c>
      <c r="H993" t="s">
        <v>1462</v>
      </c>
      <c r="I993" t="s">
        <v>1463</v>
      </c>
    </row>
    <row r="994" spans="1:9" x14ac:dyDescent="0.35">
      <c r="A994">
        <v>20260201</v>
      </c>
      <c r="B994" t="s">
        <v>1265</v>
      </c>
      <c r="C994">
        <v>5100</v>
      </c>
      <c r="D994" t="s">
        <v>485</v>
      </c>
      <c r="E994">
        <v>92700</v>
      </c>
      <c r="F994" t="s">
        <v>1453</v>
      </c>
      <c r="G994">
        <v>0.88</v>
      </c>
      <c r="H994" t="s">
        <v>1462</v>
      </c>
      <c r="I994" t="s">
        <v>1463</v>
      </c>
    </row>
    <row r="995" spans="1:9" x14ac:dyDescent="0.35">
      <c r="A995">
        <v>20260201</v>
      </c>
      <c r="B995" t="s">
        <v>1265</v>
      </c>
      <c r="C995">
        <v>3400</v>
      </c>
      <c r="D995" t="s">
        <v>485</v>
      </c>
      <c r="E995">
        <v>-92700</v>
      </c>
      <c r="F995" t="s">
        <v>1453</v>
      </c>
      <c r="G995">
        <v>0.88</v>
      </c>
      <c r="H995" t="s">
        <v>1462</v>
      </c>
      <c r="I995" t="s">
        <v>1463</v>
      </c>
    </row>
    <row r="996" spans="1:9" x14ac:dyDescent="0.35">
      <c r="A996">
        <v>20260201</v>
      </c>
      <c r="B996" t="s">
        <v>1173</v>
      </c>
      <c r="C996">
        <v>5000</v>
      </c>
      <c r="D996" t="s">
        <v>1131</v>
      </c>
      <c r="E996">
        <v>473800</v>
      </c>
      <c r="F996" t="s">
        <v>1453</v>
      </c>
      <c r="G996">
        <v>0.88</v>
      </c>
      <c r="H996" t="s">
        <v>1462</v>
      </c>
      <c r="I996" t="s">
        <v>1463</v>
      </c>
    </row>
    <row r="997" spans="1:9" x14ac:dyDescent="0.35">
      <c r="A997">
        <v>20260201</v>
      </c>
      <c r="B997" t="s">
        <v>1173</v>
      </c>
      <c r="C997">
        <v>5400</v>
      </c>
      <c r="D997" t="s">
        <v>1131</v>
      </c>
      <c r="E997">
        <v>66805.8</v>
      </c>
      <c r="F997" t="s">
        <v>1453</v>
      </c>
      <c r="G997">
        <v>0.88</v>
      </c>
      <c r="H997" t="s">
        <v>1462</v>
      </c>
      <c r="I997" t="s">
        <v>1463</v>
      </c>
    </row>
    <row r="998" spans="1:9" x14ac:dyDescent="0.35">
      <c r="A998">
        <v>20260201</v>
      </c>
      <c r="B998" t="s">
        <v>1173</v>
      </c>
      <c r="C998">
        <v>6300</v>
      </c>
      <c r="D998" t="s">
        <v>1131</v>
      </c>
      <c r="E998">
        <v>87550</v>
      </c>
      <c r="F998" t="s">
        <v>1453</v>
      </c>
      <c r="G998">
        <v>0.88</v>
      </c>
      <c r="H998" t="s">
        <v>1462</v>
      </c>
      <c r="I998" t="s">
        <v>1463</v>
      </c>
    </row>
    <row r="999" spans="1:9" x14ac:dyDescent="0.35">
      <c r="A999">
        <v>20260201</v>
      </c>
      <c r="B999" t="s">
        <v>1173</v>
      </c>
      <c r="C999">
        <v>3900</v>
      </c>
      <c r="D999" t="s">
        <v>1131</v>
      </c>
      <c r="E999">
        <v>-669500</v>
      </c>
      <c r="F999" t="s">
        <v>1453</v>
      </c>
      <c r="G999">
        <v>0.88</v>
      </c>
      <c r="H999" t="s">
        <v>1462</v>
      </c>
      <c r="I999" t="s">
        <v>1463</v>
      </c>
    </row>
    <row r="1000" spans="1:9" x14ac:dyDescent="0.35">
      <c r="A1000">
        <v>20260201</v>
      </c>
      <c r="B1000" t="s">
        <v>1255</v>
      </c>
      <c r="C1000">
        <v>5100</v>
      </c>
      <c r="D1000" t="s">
        <v>485</v>
      </c>
      <c r="E1000">
        <v>92700</v>
      </c>
      <c r="F1000" t="s">
        <v>1453</v>
      </c>
      <c r="G1000">
        <v>0.88</v>
      </c>
      <c r="H1000" t="s">
        <v>1462</v>
      </c>
      <c r="I1000" t="s">
        <v>1463</v>
      </c>
    </row>
    <row r="1001" spans="1:9" x14ac:dyDescent="0.35">
      <c r="A1001">
        <v>20260201</v>
      </c>
      <c r="B1001" t="s">
        <v>1255</v>
      </c>
      <c r="C1001">
        <v>3400</v>
      </c>
      <c r="D1001" t="s">
        <v>485</v>
      </c>
      <c r="E1001">
        <v>-92700</v>
      </c>
      <c r="F1001" t="s">
        <v>1453</v>
      </c>
      <c r="G1001">
        <v>0.88</v>
      </c>
      <c r="H1001" t="s">
        <v>1462</v>
      </c>
      <c r="I1001" t="s">
        <v>1463</v>
      </c>
    </row>
    <row r="1002" spans="1:9" x14ac:dyDescent="0.35">
      <c r="A1002">
        <v>20260201</v>
      </c>
      <c r="B1002" t="s">
        <v>1155</v>
      </c>
      <c r="C1002">
        <v>5000</v>
      </c>
      <c r="D1002" t="s">
        <v>1131</v>
      </c>
      <c r="E1002">
        <v>473800</v>
      </c>
      <c r="F1002" t="s">
        <v>1453</v>
      </c>
      <c r="G1002">
        <v>0.88</v>
      </c>
      <c r="H1002" t="s">
        <v>1462</v>
      </c>
      <c r="I1002" t="s">
        <v>1463</v>
      </c>
    </row>
    <row r="1003" spans="1:9" x14ac:dyDescent="0.35">
      <c r="A1003">
        <v>20260201</v>
      </c>
      <c r="B1003" t="s">
        <v>1155</v>
      </c>
      <c r="C1003">
        <v>5400</v>
      </c>
      <c r="D1003" t="s">
        <v>1131</v>
      </c>
      <c r="E1003">
        <v>66805.8</v>
      </c>
      <c r="F1003" t="s">
        <v>1453</v>
      </c>
      <c r="G1003">
        <v>0.88</v>
      </c>
      <c r="H1003" t="s">
        <v>1462</v>
      </c>
      <c r="I1003" t="s">
        <v>1463</v>
      </c>
    </row>
    <row r="1004" spans="1:9" x14ac:dyDescent="0.35">
      <c r="A1004">
        <v>20260201</v>
      </c>
      <c r="B1004" t="s">
        <v>1155</v>
      </c>
      <c r="C1004">
        <v>6300</v>
      </c>
      <c r="D1004" t="s">
        <v>1131</v>
      </c>
      <c r="E1004">
        <v>87550</v>
      </c>
      <c r="F1004" t="s">
        <v>1453</v>
      </c>
      <c r="G1004">
        <v>0.88</v>
      </c>
      <c r="H1004" t="s">
        <v>1462</v>
      </c>
      <c r="I1004" t="s">
        <v>1463</v>
      </c>
    </row>
    <row r="1005" spans="1:9" x14ac:dyDescent="0.35">
      <c r="A1005">
        <v>20260201</v>
      </c>
      <c r="B1005" t="s">
        <v>1155</v>
      </c>
      <c r="C1005">
        <v>3900</v>
      </c>
      <c r="D1005" t="s">
        <v>1131</v>
      </c>
      <c r="E1005">
        <v>-669500</v>
      </c>
      <c r="F1005" t="s">
        <v>1453</v>
      </c>
      <c r="G1005">
        <v>0.88</v>
      </c>
      <c r="H1005" t="s">
        <v>1462</v>
      </c>
      <c r="I1005" t="s">
        <v>1463</v>
      </c>
    </row>
    <row r="1006" spans="1:9" x14ac:dyDescent="0.35">
      <c r="A1006">
        <v>20260201</v>
      </c>
      <c r="B1006" t="s">
        <v>1138</v>
      </c>
      <c r="C1006">
        <v>5000</v>
      </c>
      <c r="D1006" t="s">
        <v>1131</v>
      </c>
      <c r="E1006">
        <v>473800</v>
      </c>
      <c r="F1006" t="s">
        <v>1453</v>
      </c>
      <c r="G1006">
        <v>0.88</v>
      </c>
      <c r="H1006" t="s">
        <v>1462</v>
      </c>
      <c r="I1006" t="s">
        <v>1463</v>
      </c>
    </row>
    <row r="1007" spans="1:9" x14ac:dyDescent="0.35">
      <c r="A1007">
        <v>20260201</v>
      </c>
      <c r="B1007" t="s">
        <v>1138</v>
      </c>
      <c r="C1007">
        <v>5400</v>
      </c>
      <c r="D1007" t="s">
        <v>1131</v>
      </c>
      <c r="E1007">
        <v>66805.8</v>
      </c>
      <c r="F1007" t="s">
        <v>1453</v>
      </c>
      <c r="G1007">
        <v>0.88</v>
      </c>
      <c r="H1007" t="s">
        <v>1462</v>
      </c>
      <c r="I1007" t="s">
        <v>1463</v>
      </c>
    </row>
    <row r="1008" spans="1:9" x14ac:dyDescent="0.35">
      <c r="A1008">
        <v>20260201</v>
      </c>
      <c r="B1008" t="s">
        <v>1138</v>
      </c>
      <c r="C1008">
        <v>6300</v>
      </c>
      <c r="D1008" t="s">
        <v>1131</v>
      </c>
      <c r="E1008">
        <v>87550</v>
      </c>
      <c r="F1008" t="s">
        <v>1453</v>
      </c>
      <c r="G1008">
        <v>0.88</v>
      </c>
      <c r="H1008" t="s">
        <v>1462</v>
      </c>
      <c r="I1008" t="s">
        <v>1463</v>
      </c>
    </row>
    <row r="1009" spans="1:9" x14ac:dyDescent="0.35">
      <c r="A1009">
        <v>20260201</v>
      </c>
      <c r="B1009" t="s">
        <v>1138</v>
      </c>
      <c r="C1009">
        <v>3900</v>
      </c>
      <c r="D1009" t="s">
        <v>1131</v>
      </c>
      <c r="E1009">
        <v>-669500</v>
      </c>
      <c r="F1009" t="s">
        <v>1453</v>
      </c>
      <c r="G1009">
        <v>0.88</v>
      </c>
      <c r="H1009" t="s">
        <v>1462</v>
      </c>
      <c r="I1009" t="s">
        <v>1463</v>
      </c>
    </row>
    <row r="1010" spans="1:9" x14ac:dyDescent="0.35">
      <c r="A1010">
        <v>20260301</v>
      </c>
      <c r="B1010" t="s">
        <v>1150</v>
      </c>
      <c r="C1010">
        <v>5000</v>
      </c>
      <c r="D1010" t="s">
        <v>1131</v>
      </c>
      <c r="E1010">
        <v>473800</v>
      </c>
      <c r="F1010" t="s">
        <v>1453</v>
      </c>
      <c r="G1010">
        <v>0.88</v>
      </c>
      <c r="H1010" t="s">
        <v>1462</v>
      </c>
      <c r="I1010" t="s">
        <v>1463</v>
      </c>
    </row>
    <row r="1011" spans="1:9" x14ac:dyDescent="0.35">
      <c r="A1011">
        <v>20260301</v>
      </c>
      <c r="B1011" t="s">
        <v>1150</v>
      </c>
      <c r="C1011">
        <v>5400</v>
      </c>
      <c r="D1011" t="s">
        <v>1131</v>
      </c>
      <c r="E1011">
        <v>66805.8</v>
      </c>
      <c r="F1011" t="s">
        <v>1453</v>
      </c>
      <c r="G1011">
        <v>0.88</v>
      </c>
      <c r="H1011" t="s">
        <v>1462</v>
      </c>
      <c r="I1011" t="s">
        <v>1463</v>
      </c>
    </row>
    <row r="1012" spans="1:9" x14ac:dyDescent="0.35">
      <c r="A1012">
        <v>20260301</v>
      </c>
      <c r="B1012" t="s">
        <v>1150</v>
      </c>
      <c r="C1012">
        <v>6300</v>
      </c>
      <c r="D1012" t="s">
        <v>1131</v>
      </c>
      <c r="E1012">
        <v>87550</v>
      </c>
      <c r="F1012" t="s">
        <v>1453</v>
      </c>
      <c r="G1012">
        <v>0.88</v>
      </c>
      <c r="H1012" t="s">
        <v>1462</v>
      </c>
      <c r="I1012" t="s">
        <v>1463</v>
      </c>
    </row>
    <row r="1013" spans="1:9" x14ac:dyDescent="0.35">
      <c r="A1013">
        <v>20260301</v>
      </c>
      <c r="B1013" t="s">
        <v>1150</v>
      </c>
      <c r="C1013">
        <v>3900</v>
      </c>
      <c r="D1013" t="s">
        <v>1131</v>
      </c>
      <c r="E1013">
        <v>-669500</v>
      </c>
      <c r="F1013" t="s">
        <v>1453</v>
      </c>
      <c r="G1013">
        <v>0.88</v>
      </c>
      <c r="H1013" t="s">
        <v>1462</v>
      </c>
      <c r="I1013" t="s">
        <v>1463</v>
      </c>
    </row>
    <row r="1014" spans="1:9" x14ac:dyDescent="0.35">
      <c r="A1014">
        <v>20260301</v>
      </c>
      <c r="B1014" t="s">
        <v>1272</v>
      </c>
      <c r="C1014">
        <v>5100</v>
      </c>
      <c r="D1014" t="s">
        <v>485</v>
      </c>
      <c r="E1014">
        <v>92700</v>
      </c>
      <c r="F1014" t="s">
        <v>1453</v>
      </c>
      <c r="G1014">
        <v>0.88</v>
      </c>
      <c r="H1014" t="s">
        <v>1462</v>
      </c>
      <c r="I1014" t="s">
        <v>1463</v>
      </c>
    </row>
    <row r="1015" spans="1:9" x14ac:dyDescent="0.35">
      <c r="A1015">
        <v>20260301</v>
      </c>
      <c r="B1015" t="s">
        <v>1272</v>
      </c>
      <c r="C1015">
        <v>3400</v>
      </c>
      <c r="D1015" t="s">
        <v>485</v>
      </c>
      <c r="E1015">
        <v>-92700</v>
      </c>
      <c r="F1015" t="s">
        <v>1453</v>
      </c>
      <c r="G1015">
        <v>0.88</v>
      </c>
      <c r="H1015" t="s">
        <v>1462</v>
      </c>
      <c r="I1015" t="s">
        <v>1463</v>
      </c>
    </row>
    <row r="1016" spans="1:9" x14ac:dyDescent="0.35">
      <c r="A1016">
        <v>20260301</v>
      </c>
      <c r="B1016" t="s">
        <v>1158</v>
      </c>
      <c r="C1016">
        <v>5000</v>
      </c>
      <c r="D1016" t="s">
        <v>1131</v>
      </c>
      <c r="E1016">
        <v>473800</v>
      </c>
      <c r="F1016" t="s">
        <v>1453</v>
      </c>
      <c r="G1016">
        <v>0.88</v>
      </c>
      <c r="H1016" t="s">
        <v>1462</v>
      </c>
      <c r="I1016" t="s">
        <v>1463</v>
      </c>
    </row>
    <row r="1017" spans="1:9" x14ac:dyDescent="0.35">
      <c r="A1017">
        <v>20260301</v>
      </c>
      <c r="B1017" t="s">
        <v>1158</v>
      </c>
      <c r="C1017">
        <v>5400</v>
      </c>
      <c r="D1017" t="s">
        <v>1131</v>
      </c>
      <c r="E1017">
        <v>66805.8</v>
      </c>
      <c r="F1017" t="s">
        <v>1453</v>
      </c>
      <c r="G1017">
        <v>0.88</v>
      </c>
      <c r="H1017" t="s">
        <v>1462</v>
      </c>
      <c r="I1017" t="s">
        <v>1463</v>
      </c>
    </row>
    <row r="1018" spans="1:9" x14ac:dyDescent="0.35">
      <c r="A1018">
        <v>20260301</v>
      </c>
      <c r="B1018" t="s">
        <v>1158</v>
      </c>
      <c r="C1018">
        <v>6300</v>
      </c>
      <c r="D1018" t="s">
        <v>1131</v>
      </c>
      <c r="E1018">
        <v>87550</v>
      </c>
      <c r="F1018" t="s">
        <v>1453</v>
      </c>
      <c r="G1018">
        <v>0.88</v>
      </c>
      <c r="H1018" t="s">
        <v>1462</v>
      </c>
      <c r="I1018" t="s">
        <v>1463</v>
      </c>
    </row>
    <row r="1019" spans="1:9" x14ac:dyDescent="0.35">
      <c r="A1019">
        <v>20260301</v>
      </c>
      <c r="B1019" t="s">
        <v>1158</v>
      </c>
      <c r="C1019">
        <v>3900</v>
      </c>
      <c r="D1019" t="s">
        <v>1131</v>
      </c>
      <c r="E1019">
        <v>-669500</v>
      </c>
      <c r="F1019" t="s">
        <v>1453</v>
      </c>
      <c r="G1019">
        <v>0.88</v>
      </c>
      <c r="H1019" t="s">
        <v>1462</v>
      </c>
      <c r="I1019" t="s">
        <v>1463</v>
      </c>
    </row>
    <row r="1020" spans="1:9" x14ac:dyDescent="0.35">
      <c r="A1020">
        <v>20260301</v>
      </c>
      <c r="B1020" t="s">
        <v>1243</v>
      </c>
      <c r="C1020">
        <v>5100</v>
      </c>
      <c r="D1020" t="s">
        <v>485</v>
      </c>
      <c r="E1020">
        <v>92700</v>
      </c>
      <c r="F1020" t="s">
        <v>1453</v>
      </c>
      <c r="G1020">
        <v>0.88</v>
      </c>
      <c r="H1020" t="s">
        <v>1462</v>
      </c>
      <c r="I1020" t="s">
        <v>1463</v>
      </c>
    </row>
    <row r="1021" spans="1:9" x14ac:dyDescent="0.35">
      <c r="A1021">
        <v>20260301</v>
      </c>
      <c r="B1021" t="s">
        <v>1243</v>
      </c>
      <c r="C1021">
        <v>3400</v>
      </c>
      <c r="D1021" t="s">
        <v>485</v>
      </c>
      <c r="E1021">
        <v>-92700</v>
      </c>
      <c r="F1021" t="s">
        <v>1453</v>
      </c>
      <c r="G1021">
        <v>0.88</v>
      </c>
      <c r="H1021" t="s">
        <v>1462</v>
      </c>
      <c r="I1021" t="s">
        <v>1463</v>
      </c>
    </row>
    <row r="1022" spans="1:9" x14ac:dyDescent="0.35">
      <c r="A1022">
        <v>20260301</v>
      </c>
      <c r="B1022" t="s">
        <v>1205</v>
      </c>
      <c r="C1022">
        <v>5000</v>
      </c>
      <c r="D1022" t="s">
        <v>1131</v>
      </c>
      <c r="E1022">
        <v>473800</v>
      </c>
      <c r="F1022" t="s">
        <v>1453</v>
      </c>
      <c r="G1022">
        <v>0.88</v>
      </c>
      <c r="H1022" t="s">
        <v>1462</v>
      </c>
      <c r="I1022" t="s">
        <v>1463</v>
      </c>
    </row>
    <row r="1023" spans="1:9" x14ac:dyDescent="0.35">
      <c r="A1023">
        <v>20260301</v>
      </c>
      <c r="B1023" t="s">
        <v>1205</v>
      </c>
      <c r="C1023">
        <v>5400</v>
      </c>
      <c r="D1023" t="s">
        <v>1131</v>
      </c>
      <c r="E1023">
        <v>66805.8</v>
      </c>
      <c r="F1023" t="s">
        <v>1453</v>
      </c>
      <c r="G1023">
        <v>0.88</v>
      </c>
      <c r="H1023" t="s">
        <v>1462</v>
      </c>
      <c r="I1023" t="s">
        <v>1463</v>
      </c>
    </row>
    <row r="1024" spans="1:9" x14ac:dyDescent="0.35">
      <c r="A1024">
        <v>20260301</v>
      </c>
      <c r="B1024" t="s">
        <v>1205</v>
      </c>
      <c r="C1024">
        <v>6300</v>
      </c>
      <c r="D1024" t="s">
        <v>1131</v>
      </c>
      <c r="E1024">
        <v>87550</v>
      </c>
      <c r="F1024" t="s">
        <v>1453</v>
      </c>
      <c r="G1024">
        <v>0.88</v>
      </c>
      <c r="H1024" t="s">
        <v>1462</v>
      </c>
      <c r="I1024" t="s">
        <v>1463</v>
      </c>
    </row>
    <row r="1025" spans="1:9" x14ac:dyDescent="0.35">
      <c r="A1025">
        <v>20260301</v>
      </c>
      <c r="B1025" t="s">
        <v>1205</v>
      </c>
      <c r="C1025">
        <v>3900</v>
      </c>
      <c r="D1025" t="s">
        <v>1131</v>
      </c>
      <c r="E1025">
        <v>-669500</v>
      </c>
      <c r="F1025" t="s">
        <v>1453</v>
      </c>
      <c r="G1025">
        <v>0.88</v>
      </c>
      <c r="H1025" t="s">
        <v>1462</v>
      </c>
      <c r="I1025" t="s">
        <v>1463</v>
      </c>
    </row>
    <row r="1026" spans="1:9" x14ac:dyDescent="0.35">
      <c r="A1026">
        <v>20260301</v>
      </c>
      <c r="B1026" t="s">
        <v>1257</v>
      </c>
      <c r="C1026">
        <v>5100</v>
      </c>
      <c r="D1026" t="s">
        <v>485</v>
      </c>
      <c r="E1026">
        <v>92700</v>
      </c>
      <c r="F1026" t="s">
        <v>1453</v>
      </c>
      <c r="G1026">
        <v>0.88</v>
      </c>
      <c r="H1026" t="s">
        <v>1462</v>
      </c>
      <c r="I1026" t="s">
        <v>1463</v>
      </c>
    </row>
    <row r="1027" spans="1:9" x14ac:dyDescent="0.35">
      <c r="A1027">
        <v>20260301</v>
      </c>
      <c r="B1027" t="s">
        <v>1257</v>
      </c>
      <c r="C1027">
        <v>3400</v>
      </c>
      <c r="D1027" t="s">
        <v>485</v>
      </c>
      <c r="E1027">
        <v>-92700</v>
      </c>
      <c r="F1027" t="s">
        <v>1453</v>
      </c>
      <c r="G1027">
        <v>0.88</v>
      </c>
      <c r="H1027" t="s">
        <v>1462</v>
      </c>
      <c r="I1027" t="s">
        <v>1463</v>
      </c>
    </row>
    <row r="1028" spans="1:9" x14ac:dyDescent="0.35">
      <c r="A1028">
        <v>20260301</v>
      </c>
      <c r="B1028" t="s">
        <v>1164</v>
      </c>
      <c r="C1028">
        <v>5000</v>
      </c>
      <c r="D1028" t="s">
        <v>1131</v>
      </c>
      <c r="E1028">
        <v>473800</v>
      </c>
      <c r="F1028" t="s">
        <v>1453</v>
      </c>
      <c r="G1028">
        <v>0.88</v>
      </c>
      <c r="H1028" t="s">
        <v>1462</v>
      </c>
      <c r="I1028" t="s">
        <v>1463</v>
      </c>
    </row>
    <row r="1029" spans="1:9" x14ac:dyDescent="0.35">
      <c r="A1029">
        <v>20260301</v>
      </c>
      <c r="B1029" t="s">
        <v>1164</v>
      </c>
      <c r="C1029">
        <v>5400</v>
      </c>
      <c r="D1029" t="s">
        <v>1131</v>
      </c>
      <c r="E1029">
        <v>66805.8</v>
      </c>
      <c r="F1029" t="s">
        <v>1453</v>
      </c>
      <c r="G1029">
        <v>0.88</v>
      </c>
      <c r="H1029" t="s">
        <v>1462</v>
      </c>
      <c r="I1029" t="s">
        <v>1463</v>
      </c>
    </row>
    <row r="1030" spans="1:9" x14ac:dyDescent="0.35">
      <c r="A1030">
        <v>20260301</v>
      </c>
      <c r="B1030" t="s">
        <v>1164</v>
      </c>
      <c r="C1030">
        <v>6300</v>
      </c>
      <c r="D1030" t="s">
        <v>1131</v>
      </c>
      <c r="E1030">
        <v>87550</v>
      </c>
      <c r="F1030" t="s">
        <v>1453</v>
      </c>
      <c r="G1030">
        <v>0.88</v>
      </c>
      <c r="H1030" t="s">
        <v>1462</v>
      </c>
      <c r="I1030" t="s">
        <v>1463</v>
      </c>
    </row>
    <row r="1031" spans="1:9" x14ac:dyDescent="0.35">
      <c r="A1031">
        <v>20260301</v>
      </c>
      <c r="B1031" t="s">
        <v>1164</v>
      </c>
      <c r="C1031">
        <v>3900</v>
      </c>
      <c r="D1031" t="s">
        <v>1131</v>
      </c>
      <c r="E1031">
        <v>-669500</v>
      </c>
      <c r="F1031" t="s">
        <v>1453</v>
      </c>
      <c r="G1031">
        <v>0.88</v>
      </c>
      <c r="H1031" t="s">
        <v>1462</v>
      </c>
      <c r="I1031" t="s">
        <v>1463</v>
      </c>
    </row>
    <row r="1032" spans="1:9" x14ac:dyDescent="0.35">
      <c r="A1032">
        <v>20260301</v>
      </c>
      <c r="B1032" t="s">
        <v>1249</v>
      </c>
      <c r="C1032">
        <v>5100</v>
      </c>
      <c r="D1032" t="s">
        <v>485</v>
      </c>
      <c r="E1032">
        <v>92700</v>
      </c>
      <c r="F1032" t="s">
        <v>1453</v>
      </c>
      <c r="G1032">
        <v>0.88</v>
      </c>
      <c r="H1032" t="s">
        <v>1462</v>
      </c>
      <c r="I1032" t="s">
        <v>1463</v>
      </c>
    </row>
    <row r="1033" spans="1:9" x14ac:dyDescent="0.35">
      <c r="A1033">
        <v>20260301</v>
      </c>
      <c r="B1033" t="s">
        <v>1249</v>
      </c>
      <c r="C1033">
        <v>3400</v>
      </c>
      <c r="D1033" t="s">
        <v>485</v>
      </c>
      <c r="E1033">
        <v>-92700</v>
      </c>
      <c r="F1033" t="s">
        <v>1453</v>
      </c>
      <c r="G1033">
        <v>0.88</v>
      </c>
      <c r="H1033" t="s">
        <v>1462</v>
      </c>
      <c r="I1033" t="s">
        <v>1463</v>
      </c>
    </row>
    <row r="1034" spans="1:9" x14ac:dyDescent="0.35">
      <c r="A1034">
        <v>20260301</v>
      </c>
      <c r="B1034" t="s">
        <v>1169</v>
      </c>
      <c r="C1034">
        <v>5000</v>
      </c>
      <c r="D1034" t="s">
        <v>1131</v>
      </c>
      <c r="E1034">
        <v>473800</v>
      </c>
      <c r="F1034" t="s">
        <v>1453</v>
      </c>
      <c r="G1034">
        <v>0.88</v>
      </c>
      <c r="H1034" t="s">
        <v>1462</v>
      </c>
      <c r="I1034" t="s">
        <v>1463</v>
      </c>
    </row>
    <row r="1035" spans="1:9" x14ac:dyDescent="0.35">
      <c r="A1035">
        <v>20260301</v>
      </c>
      <c r="B1035" t="s">
        <v>1169</v>
      </c>
      <c r="C1035">
        <v>5400</v>
      </c>
      <c r="D1035" t="s">
        <v>1131</v>
      </c>
      <c r="E1035">
        <v>66805.8</v>
      </c>
      <c r="F1035" t="s">
        <v>1453</v>
      </c>
      <c r="G1035">
        <v>0.88</v>
      </c>
      <c r="H1035" t="s">
        <v>1462</v>
      </c>
      <c r="I1035" t="s">
        <v>1463</v>
      </c>
    </row>
    <row r="1036" spans="1:9" x14ac:dyDescent="0.35">
      <c r="A1036">
        <v>20260301</v>
      </c>
      <c r="B1036" t="s">
        <v>1169</v>
      </c>
      <c r="C1036">
        <v>6300</v>
      </c>
      <c r="D1036" t="s">
        <v>1131</v>
      </c>
      <c r="E1036">
        <v>87550</v>
      </c>
      <c r="F1036" t="s">
        <v>1453</v>
      </c>
      <c r="G1036">
        <v>0.88</v>
      </c>
      <c r="H1036" t="s">
        <v>1462</v>
      </c>
      <c r="I1036" t="s">
        <v>1463</v>
      </c>
    </row>
    <row r="1037" spans="1:9" x14ac:dyDescent="0.35">
      <c r="A1037">
        <v>20260301</v>
      </c>
      <c r="B1037" t="s">
        <v>1169</v>
      </c>
      <c r="C1037">
        <v>3900</v>
      </c>
      <c r="D1037" t="s">
        <v>1131</v>
      </c>
      <c r="E1037">
        <v>-669500</v>
      </c>
      <c r="F1037" t="s">
        <v>1453</v>
      </c>
      <c r="G1037">
        <v>0.88</v>
      </c>
      <c r="H1037" t="s">
        <v>1462</v>
      </c>
      <c r="I1037" t="s">
        <v>1463</v>
      </c>
    </row>
    <row r="1038" spans="1:9" x14ac:dyDescent="0.35">
      <c r="A1038">
        <v>20260301</v>
      </c>
      <c r="B1038" t="s">
        <v>1260</v>
      </c>
      <c r="C1038">
        <v>5100</v>
      </c>
      <c r="D1038" t="s">
        <v>485</v>
      </c>
      <c r="E1038">
        <v>92700</v>
      </c>
      <c r="F1038" t="s">
        <v>1453</v>
      </c>
      <c r="G1038">
        <v>0.88</v>
      </c>
      <c r="H1038" t="s">
        <v>1462</v>
      </c>
      <c r="I1038" t="s">
        <v>1463</v>
      </c>
    </row>
    <row r="1039" spans="1:9" x14ac:dyDescent="0.35">
      <c r="A1039">
        <v>20260301</v>
      </c>
      <c r="B1039" t="s">
        <v>1260</v>
      </c>
      <c r="C1039">
        <v>3400</v>
      </c>
      <c r="D1039" t="s">
        <v>485</v>
      </c>
      <c r="E1039">
        <v>-92700</v>
      </c>
      <c r="F1039" t="s">
        <v>1453</v>
      </c>
      <c r="G1039">
        <v>0.88</v>
      </c>
      <c r="H1039" t="s">
        <v>1462</v>
      </c>
      <c r="I1039" t="s">
        <v>1463</v>
      </c>
    </row>
    <row r="1040" spans="1:9" x14ac:dyDescent="0.35">
      <c r="A1040">
        <v>20260301</v>
      </c>
      <c r="B1040" t="s">
        <v>1175</v>
      </c>
      <c r="C1040">
        <v>5000</v>
      </c>
      <c r="D1040" t="s">
        <v>1131</v>
      </c>
      <c r="E1040">
        <v>473800</v>
      </c>
      <c r="F1040" t="s">
        <v>1453</v>
      </c>
      <c r="G1040">
        <v>0.88</v>
      </c>
      <c r="H1040" t="s">
        <v>1462</v>
      </c>
      <c r="I1040" t="s">
        <v>1463</v>
      </c>
    </row>
    <row r="1041" spans="1:9" x14ac:dyDescent="0.35">
      <c r="A1041">
        <v>20260301</v>
      </c>
      <c r="B1041" t="s">
        <v>1175</v>
      </c>
      <c r="C1041">
        <v>5400</v>
      </c>
      <c r="D1041" t="s">
        <v>1131</v>
      </c>
      <c r="E1041">
        <v>66805.8</v>
      </c>
      <c r="F1041" t="s">
        <v>1453</v>
      </c>
      <c r="G1041">
        <v>0.88</v>
      </c>
      <c r="H1041" t="s">
        <v>1462</v>
      </c>
      <c r="I1041" t="s">
        <v>1463</v>
      </c>
    </row>
    <row r="1042" spans="1:9" x14ac:dyDescent="0.35">
      <c r="A1042">
        <v>20260301</v>
      </c>
      <c r="B1042" t="s">
        <v>1175</v>
      </c>
      <c r="C1042">
        <v>6300</v>
      </c>
      <c r="D1042" t="s">
        <v>1131</v>
      </c>
      <c r="E1042">
        <v>87550</v>
      </c>
      <c r="F1042" t="s">
        <v>1453</v>
      </c>
      <c r="G1042">
        <v>0.88</v>
      </c>
      <c r="H1042" t="s">
        <v>1462</v>
      </c>
      <c r="I1042" t="s">
        <v>1463</v>
      </c>
    </row>
    <row r="1043" spans="1:9" x14ac:dyDescent="0.35">
      <c r="A1043">
        <v>20260301</v>
      </c>
      <c r="B1043" t="s">
        <v>1175</v>
      </c>
      <c r="C1043">
        <v>3900</v>
      </c>
      <c r="D1043" t="s">
        <v>1131</v>
      </c>
      <c r="E1043">
        <v>-669500</v>
      </c>
      <c r="F1043" t="s">
        <v>1453</v>
      </c>
      <c r="G1043">
        <v>0.88</v>
      </c>
      <c r="H1043" t="s">
        <v>1462</v>
      </c>
      <c r="I1043" t="s">
        <v>1463</v>
      </c>
    </row>
    <row r="1044" spans="1:9" x14ac:dyDescent="0.35">
      <c r="A1044">
        <v>20260301</v>
      </c>
      <c r="B1044" t="s">
        <v>1247</v>
      </c>
      <c r="C1044">
        <v>5100</v>
      </c>
      <c r="D1044" t="s">
        <v>485</v>
      </c>
      <c r="E1044">
        <v>92700</v>
      </c>
      <c r="F1044" t="s">
        <v>1453</v>
      </c>
      <c r="G1044">
        <v>0.88</v>
      </c>
      <c r="H1044" t="s">
        <v>1462</v>
      </c>
      <c r="I1044" t="s">
        <v>1463</v>
      </c>
    </row>
    <row r="1045" spans="1:9" x14ac:dyDescent="0.35">
      <c r="A1045">
        <v>20260301</v>
      </c>
      <c r="B1045" t="s">
        <v>1247</v>
      </c>
      <c r="C1045">
        <v>3400</v>
      </c>
      <c r="D1045" t="s">
        <v>485</v>
      </c>
      <c r="E1045">
        <v>-92700</v>
      </c>
      <c r="F1045" t="s">
        <v>1453</v>
      </c>
      <c r="G1045">
        <v>0.88</v>
      </c>
      <c r="H1045" t="s">
        <v>1462</v>
      </c>
      <c r="I1045" t="s">
        <v>1463</v>
      </c>
    </row>
    <row r="1046" spans="1:9" x14ac:dyDescent="0.35">
      <c r="A1046">
        <v>20260301</v>
      </c>
      <c r="B1046" t="s">
        <v>1130</v>
      </c>
      <c r="C1046">
        <v>5000</v>
      </c>
      <c r="D1046" t="s">
        <v>1131</v>
      </c>
      <c r="E1046">
        <v>473800</v>
      </c>
      <c r="F1046" t="s">
        <v>1453</v>
      </c>
      <c r="G1046">
        <v>0.88</v>
      </c>
      <c r="H1046" t="s">
        <v>1462</v>
      </c>
      <c r="I1046" t="s">
        <v>1463</v>
      </c>
    </row>
    <row r="1047" spans="1:9" x14ac:dyDescent="0.35">
      <c r="A1047">
        <v>20260301</v>
      </c>
      <c r="B1047" t="s">
        <v>1130</v>
      </c>
      <c r="C1047">
        <v>5400</v>
      </c>
      <c r="D1047" t="s">
        <v>1131</v>
      </c>
      <c r="E1047">
        <v>66805.8</v>
      </c>
      <c r="F1047" t="s">
        <v>1453</v>
      </c>
      <c r="G1047">
        <v>0.88</v>
      </c>
      <c r="H1047" t="s">
        <v>1462</v>
      </c>
      <c r="I1047" t="s">
        <v>1463</v>
      </c>
    </row>
    <row r="1048" spans="1:9" x14ac:dyDescent="0.35">
      <c r="A1048">
        <v>20260301</v>
      </c>
      <c r="B1048" t="s">
        <v>1130</v>
      </c>
      <c r="C1048">
        <v>6300</v>
      </c>
      <c r="D1048" t="s">
        <v>1131</v>
      </c>
      <c r="E1048">
        <v>87550</v>
      </c>
      <c r="F1048" t="s">
        <v>1453</v>
      </c>
      <c r="G1048">
        <v>0.88</v>
      </c>
      <c r="H1048" t="s">
        <v>1462</v>
      </c>
      <c r="I1048" t="s">
        <v>1463</v>
      </c>
    </row>
    <row r="1049" spans="1:9" x14ac:dyDescent="0.35">
      <c r="A1049">
        <v>20260301</v>
      </c>
      <c r="B1049" t="s">
        <v>1130</v>
      </c>
      <c r="C1049">
        <v>3900</v>
      </c>
      <c r="D1049" t="s">
        <v>1131</v>
      </c>
      <c r="E1049">
        <v>-669500</v>
      </c>
      <c r="F1049" t="s">
        <v>1453</v>
      </c>
      <c r="G1049">
        <v>0.88</v>
      </c>
      <c r="H1049" t="s">
        <v>1462</v>
      </c>
      <c r="I1049" t="s">
        <v>1463</v>
      </c>
    </row>
    <row r="1050" spans="1:9" x14ac:dyDescent="0.35">
      <c r="A1050">
        <v>20260301</v>
      </c>
      <c r="B1050" t="s">
        <v>1265</v>
      </c>
      <c r="C1050">
        <v>5100</v>
      </c>
      <c r="D1050" t="s">
        <v>485</v>
      </c>
      <c r="E1050">
        <v>92700</v>
      </c>
      <c r="F1050" t="s">
        <v>1453</v>
      </c>
      <c r="G1050">
        <v>0.88</v>
      </c>
      <c r="H1050" t="s">
        <v>1462</v>
      </c>
      <c r="I1050" t="s">
        <v>1463</v>
      </c>
    </row>
    <row r="1051" spans="1:9" x14ac:dyDescent="0.35">
      <c r="A1051">
        <v>20260301</v>
      </c>
      <c r="B1051" t="s">
        <v>1265</v>
      </c>
      <c r="C1051">
        <v>3400</v>
      </c>
      <c r="D1051" t="s">
        <v>485</v>
      </c>
      <c r="E1051">
        <v>-92700</v>
      </c>
      <c r="F1051" t="s">
        <v>1453</v>
      </c>
      <c r="G1051">
        <v>0.88</v>
      </c>
      <c r="H1051" t="s">
        <v>1462</v>
      </c>
      <c r="I1051" t="s">
        <v>1463</v>
      </c>
    </row>
    <row r="1052" spans="1:9" x14ac:dyDescent="0.35">
      <c r="A1052">
        <v>20260301</v>
      </c>
      <c r="B1052" t="s">
        <v>1173</v>
      </c>
      <c r="C1052">
        <v>5000</v>
      </c>
      <c r="D1052" t="s">
        <v>1131</v>
      </c>
      <c r="E1052">
        <v>473800</v>
      </c>
      <c r="F1052" t="s">
        <v>1453</v>
      </c>
      <c r="G1052">
        <v>0.88</v>
      </c>
      <c r="H1052" t="s">
        <v>1462</v>
      </c>
      <c r="I1052" t="s">
        <v>1463</v>
      </c>
    </row>
    <row r="1053" spans="1:9" x14ac:dyDescent="0.35">
      <c r="A1053">
        <v>20260301</v>
      </c>
      <c r="B1053" t="s">
        <v>1173</v>
      </c>
      <c r="C1053">
        <v>5400</v>
      </c>
      <c r="D1053" t="s">
        <v>1131</v>
      </c>
      <c r="E1053">
        <v>66805.8</v>
      </c>
      <c r="F1053" t="s">
        <v>1453</v>
      </c>
      <c r="G1053">
        <v>0.88</v>
      </c>
      <c r="H1053" t="s">
        <v>1462</v>
      </c>
      <c r="I1053" t="s">
        <v>1463</v>
      </c>
    </row>
    <row r="1054" spans="1:9" x14ac:dyDescent="0.35">
      <c r="A1054">
        <v>20260301</v>
      </c>
      <c r="B1054" t="s">
        <v>1173</v>
      </c>
      <c r="C1054">
        <v>6300</v>
      </c>
      <c r="D1054" t="s">
        <v>1131</v>
      </c>
      <c r="E1054">
        <v>87550</v>
      </c>
      <c r="F1054" t="s">
        <v>1453</v>
      </c>
      <c r="G1054">
        <v>0.88</v>
      </c>
      <c r="H1054" t="s">
        <v>1462</v>
      </c>
      <c r="I1054" t="s">
        <v>1463</v>
      </c>
    </row>
    <row r="1055" spans="1:9" x14ac:dyDescent="0.35">
      <c r="A1055">
        <v>20260301</v>
      </c>
      <c r="B1055" t="s">
        <v>1173</v>
      </c>
      <c r="C1055">
        <v>3900</v>
      </c>
      <c r="D1055" t="s">
        <v>1131</v>
      </c>
      <c r="E1055">
        <v>-669500</v>
      </c>
      <c r="F1055" t="s">
        <v>1453</v>
      </c>
      <c r="G1055">
        <v>0.88</v>
      </c>
      <c r="H1055" t="s">
        <v>1462</v>
      </c>
      <c r="I1055" t="s">
        <v>1463</v>
      </c>
    </row>
    <row r="1056" spans="1:9" x14ac:dyDescent="0.35">
      <c r="A1056">
        <v>20260301</v>
      </c>
      <c r="B1056" t="s">
        <v>1255</v>
      </c>
      <c r="C1056">
        <v>5100</v>
      </c>
      <c r="D1056" t="s">
        <v>485</v>
      </c>
      <c r="E1056">
        <v>92700</v>
      </c>
      <c r="F1056" t="s">
        <v>1453</v>
      </c>
      <c r="G1056">
        <v>0.88</v>
      </c>
      <c r="H1056" t="s">
        <v>1462</v>
      </c>
      <c r="I1056" t="s">
        <v>1463</v>
      </c>
    </row>
    <row r="1057" spans="1:9" x14ac:dyDescent="0.35">
      <c r="A1057">
        <v>20260301</v>
      </c>
      <c r="B1057" t="s">
        <v>1255</v>
      </c>
      <c r="C1057">
        <v>3400</v>
      </c>
      <c r="D1057" t="s">
        <v>485</v>
      </c>
      <c r="E1057">
        <v>-92700</v>
      </c>
      <c r="F1057" t="s">
        <v>1453</v>
      </c>
      <c r="G1057">
        <v>0.88</v>
      </c>
      <c r="H1057" t="s">
        <v>1462</v>
      </c>
      <c r="I1057" t="s">
        <v>1463</v>
      </c>
    </row>
    <row r="1058" spans="1:9" x14ac:dyDescent="0.35">
      <c r="A1058">
        <v>20260301</v>
      </c>
      <c r="B1058" t="s">
        <v>1155</v>
      </c>
      <c r="C1058">
        <v>5000</v>
      </c>
      <c r="D1058" t="s">
        <v>1131</v>
      </c>
      <c r="E1058">
        <v>473800</v>
      </c>
      <c r="F1058" t="s">
        <v>1453</v>
      </c>
      <c r="G1058">
        <v>0.88</v>
      </c>
      <c r="H1058" t="s">
        <v>1462</v>
      </c>
      <c r="I1058" t="s">
        <v>1463</v>
      </c>
    </row>
    <row r="1059" spans="1:9" x14ac:dyDescent="0.35">
      <c r="A1059">
        <v>20260301</v>
      </c>
      <c r="B1059" t="s">
        <v>1155</v>
      </c>
      <c r="C1059">
        <v>5400</v>
      </c>
      <c r="D1059" t="s">
        <v>1131</v>
      </c>
      <c r="E1059">
        <v>66805.8</v>
      </c>
      <c r="F1059" t="s">
        <v>1453</v>
      </c>
      <c r="G1059">
        <v>0.88</v>
      </c>
      <c r="H1059" t="s">
        <v>1462</v>
      </c>
      <c r="I1059" t="s">
        <v>1463</v>
      </c>
    </row>
    <row r="1060" spans="1:9" x14ac:dyDescent="0.35">
      <c r="A1060">
        <v>20260301</v>
      </c>
      <c r="B1060" t="s">
        <v>1155</v>
      </c>
      <c r="C1060">
        <v>6300</v>
      </c>
      <c r="D1060" t="s">
        <v>1131</v>
      </c>
      <c r="E1060">
        <v>87550</v>
      </c>
      <c r="F1060" t="s">
        <v>1453</v>
      </c>
      <c r="G1060">
        <v>0.88</v>
      </c>
      <c r="H1060" t="s">
        <v>1462</v>
      </c>
      <c r="I1060" t="s">
        <v>1463</v>
      </c>
    </row>
    <row r="1061" spans="1:9" x14ac:dyDescent="0.35">
      <c r="A1061">
        <v>20260301</v>
      </c>
      <c r="B1061" t="s">
        <v>1155</v>
      </c>
      <c r="C1061">
        <v>3900</v>
      </c>
      <c r="D1061" t="s">
        <v>1131</v>
      </c>
      <c r="E1061">
        <v>-669500</v>
      </c>
      <c r="F1061" t="s">
        <v>1453</v>
      </c>
      <c r="G1061">
        <v>0.88</v>
      </c>
      <c r="H1061" t="s">
        <v>1462</v>
      </c>
      <c r="I1061" t="s">
        <v>1463</v>
      </c>
    </row>
    <row r="1062" spans="1:9" x14ac:dyDescent="0.35">
      <c r="A1062">
        <v>20260301</v>
      </c>
      <c r="B1062" t="s">
        <v>1138</v>
      </c>
      <c r="C1062">
        <v>5000</v>
      </c>
      <c r="D1062" t="s">
        <v>1131</v>
      </c>
      <c r="E1062">
        <v>473800</v>
      </c>
      <c r="F1062" t="s">
        <v>1453</v>
      </c>
      <c r="G1062">
        <v>0.88</v>
      </c>
      <c r="H1062" t="s">
        <v>1462</v>
      </c>
      <c r="I1062" t="s">
        <v>1463</v>
      </c>
    </row>
    <row r="1063" spans="1:9" x14ac:dyDescent="0.35">
      <c r="A1063">
        <v>20260301</v>
      </c>
      <c r="B1063" t="s">
        <v>1138</v>
      </c>
      <c r="C1063">
        <v>5400</v>
      </c>
      <c r="D1063" t="s">
        <v>1131</v>
      </c>
      <c r="E1063">
        <v>66805.8</v>
      </c>
      <c r="F1063" t="s">
        <v>1453</v>
      </c>
      <c r="G1063">
        <v>0.88</v>
      </c>
      <c r="H1063" t="s">
        <v>1462</v>
      </c>
      <c r="I1063" t="s">
        <v>1463</v>
      </c>
    </row>
    <row r="1064" spans="1:9" x14ac:dyDescent="0.35">
      <c r="A1064">
        <v>20260301</v>
      </c>
      <c r="B1064" t="s">
        <v>1138</v>
      </c>
      <c r="C1064">
        <v>6300</v>
      </c>
      <c r="D1064" t="s">
        <v>1131</v>
      </c>
      <c r="E1064">
        <v>87550</v>
      </c>
      <c r="F1064" t="s">
        <v>1453</v>
      </c>
      <c r="G1064">
        <v>0.88</v>
      </c>
      <c r="H1064" t="s">
        <v>1462</v>
      </c>
      <c r="I1064" t="s">
        <v>1463</v>
      </c>
    </row>
    <row r="1065" spans="1:9" x14ac:dyDescent="0.35">
      <c r="A1065">
        <v>20260301</v>
      </c>
      <c r="B1065" t="s">
        <v>1138</v>
      </c>
      <c r="C1065">
        <v>3900</v>
      </c>
      <c r="D1065" t="s">
        <v>1131</v>
      </c>
      <c r="E1065">
        <v>-669500</v>
      </c>
      <c r="F1065" t="s">
        <v>1453</v>
      </c>
      <c r="G1065">
        <v>0.88</v>
      </c>
      <c r="H1065" t="s">
        <v>1462</v>
      </c>
      <c r="I1065" t="s">
        <v>1463</v>
      </c>
    </row>
    <row r="1066" spans="1:9" x14ac:dyDescent="0.35">
      <c r="A1066">
        <v>20260401</v>
      </c>
      <c r="B1066" t="s">
        <v>1150</v>
      </c>
      <c r="C1066">
        <v>5000</v>
      </c>
      <c r="D1066" t="s">
        <v>1131</v>
      </c>
      <c r="E1066">
        <v>473800</v>
      </c>
      <c r="F1066" t="s">
        <v>1453</v>
      </c>
      <c r="G1066">
        <v>0.88</v>
      </c>
      <c r="H1066" t="s">
        <v>1462</v>
      </c>
      <c r="I1066" t="s">
        <v>1463</v>
      </c>
    </row>
    <row r="1067" spans="1:9" x14ac:dyDescent="0.35">
      <c r="A1067">
        <v>20260401</v>
      </c>
      <c r="B1067" t="s">
        <v>1150</v>
      </c>
      <c r="C1067">
        <v>5400</v>
      </c>
      <c r="D1067" t="s">
        <v>1131</v>
      </c>
      <c r="E1067">
        <v>66805.8</v>
      </c>
      <c r="F1067" t="s">
        <v>1453</v>
      </c>
      <c r="G1067">
        <v>0.88</v>
      </c>
      <c r="H1067" t="s">
        <v>1462</v>
      </c>
      <c r="I1067" t="s">
        <v>1463</v>
      </c>
    </row>
    <row r="1068" spans="1:9" x14ac:dyDescent="0.35">
      <c r="A1068">
        <v>20260401</v>
      </c>
      <c r="B1068" t="s">
        <v>1150</v>
      </c>
      <c r="C1068">
        <v>6300</v>
      </c>
      <c r="D1068" t="s">
        <v>1131</v>
      </c>
      <c r="E1068">
        <v>87550</v>
      </c>
      <c r="F1068" t="s">
        <v>1453</v>
      </c>
      <c r="G1068">
        <v>0.88</v>
      </c>
      <c r="H1068" t="s">
        <v>1462</v>
      </c>
      <c r="I1068" t="s">
        <v>1463</v>
      </c>
    </row>
    <row r="1069" spans="1:9" x14ac:dyDescent="0.35">
      <c r="A1069">
        <v>20260401</v>
      </c>
      <c r="B1069" t="s">
        <v>1150</v>
      </c>
      <c r="C1069">
        <v>3900</v>
      </c>
      <c r="D1069" t="s">
        <v>1131</v>
      </c>
      <c r="E1069">
        <v>-669500</v>
      </c>
      <c r="F1069" t="s">
        <v>1453</v>
      </c>
      <c r="G1069">
        <v>0.88</v>
      </c>
      <c r="H1069" t="s">
        <v>1462</v>
      </c>
      <c r="I1069" t="s">
        <v>1463</v>
      </c>
    </row>
    <row r="1070" spans="1:9" x14ac:dyDescent="0.35">
      <c r="A1070">
        <v>20260401</v>
      </c>
      <c r="B1070" t="s">
        <v>1272</v>
      </c>
      <c r="C1070">
        <v>5100</v>
      </c>
      <c r="D1070" t="s">
        <v>485</v>
      </c>
      <c r="E1070">
        <v>92700</v>
      </c>
      <c r="F1070" t="s">
        <v>1453</v>
      </c>
      <c r="G1070">
        <v>0.88</v>
      </c>
      <c r="H1070" t="s">
        <v>1462</v>
      </c>
      <c r="I1070" t="s">
        <v>1463</v>
      </c>
    </row>
    <row r="1071" spans="1:9" x14ac:dyDescent="0.35">
      <c r="A1071">
        <v>20260401</v>
      </c>
      <c r="B1071" t="s">
        <v>1272</v>
      </c>
      <c r="C1071">
        <v>3400</v>
      </c>
      <c r="D1071" t="s">
        <v>485</v>
      </c>
      <c r="E1071">
        <v>-92700</v>
      </c>
      <c r="F1071" t="s">
        <v>1453</v>
      </c>
      <c r="G1071">
        <v>0.88</v>
      </c>
      <c r="H1071" t="s">
        <v>1462</v>
      </c>
      <c r="I1071" t="s">
        <v>1463</v>
      </c>
    </row>
    <row r="1072" spans="1:9" x14ac:dyDescent="0.35">
      <c r="A1072">
        <v>20260401</v>
      </c>
      <c r="B1072" t="s">
        <v>1158</v>
      </c>
      <c r="C1072">
        <v>5000</v>
      </c>
      <c r="D1072" t="s">
        <v>1131</v>
      </c>
      <c r="E1072">
        <v>473800</v>
      </c>
      <c r="F1072" t="s">
        <v>1453</v>
      </c>
      <c r="G1072">
        <v>0.88</v>
      </c>
      <c r="H1072" t="s">
        <v>1462</v>
      </c>
      <c r="I1072" t="s">
        <v>1463</v>
      </c>
    </row>
    <row r="1073" spans="1:9" x14ac:dyDescent="0.35">
      <c r="A1073">
        <v>20260401</v>
      </c>
      <c r="B1073" t="s">
        <v>1158</v>
      </c>
      <c r="C1073">
        <v>5400</v>
      </c>
      <c r="D1073" t="s">
        <v>1131</v>
      </c>
      <c r="E1073">
        <v>66805.8</v>
      </c>
      <c r="F1073" t="s">
        <v>1453</v>
      </c>
      <c r="G1073">
        <v>0.88</v>
      </c>
      <c r="H1073" t="s">
        <v>1462</v>
      </c>
      <c r="I1073" t="s">
        <v>1463</v>
      </c>
    </row>
    <row r="1074" spans="1:9" x14ac:dyDescent="0.35">
      <c r="A1074">
        <v>20260401</v>
      </c>
      <c r="B1074" t="s">
        <v>1158</v>
      </c>
      <c r="C1074">
        <v>6300</v>
      </c>
      <c r="D1074" t="s">
        <v>1131</v>
      </c>
      <c r="E1074">
        <v>87550</v>
      </c>
      <c r="F1074" t="s">
        <v>1453</v>
      </c>
      <c r="G1074">
        <v>0.88</v>
      </c>
      <c r="H1074" t="s">
        <v>1462</v>
      </c>
      <c r="I1074" t="s">
        <v>1463</v>
      </c>
    </row>
    <row r="1075" spans="1:9" x14ac:dyDescent="0.35">
      <c r="A1075">
        <v>20260401</v>
      </c>
      <c r="B1075" t="s">
        <v>1158</v>
      </c>
      <c r="C1075">
        <v>3900</v>
      </c>
      <c r="D1075" t="s">
        <v>1131</v>
      </c>
      <c r="E1075">
        <v>-669500</v>
      </c>
      <c r="F1075" t="s">
        <v>1453</v>
      </c>
      <c r="G1075">
        <v>0.88</v>
      </c>
      <c r="H1075" t="s">
        <v>1462</v>
      </c>
      <c r="I1075" t="s">
        <v>1463</v>
      </c>
    </row>
    <row r="1076" spans="1:9" x14ac:dyDescent="0.35">
      <c r="A1076">
        <v>20260401</v>
      </c>
      <c r="B1076" t="s">
        <v>1243</v>
      </c>
      <c r="C1076">
        <v>5100</v>
      </c>
      <c r="D1076" t="s">
        <v>485</v>
      </c>
      <c r="E1076">
        <v>92700</v>
      </c>
      <c r="F1076" t="s">
        <v>1453</v>
      </c>
      <c r="G1076">
        <v>0.88</v>
      </c>
      <c r="H1076" t="s">
        <v>1462</v>
      </c>
      <c r="I1076" t="s">
        <v>1463</v>
      </c>
    </row>
    <row r="1077" spans="1:9" x14ac:dyDescent="0.35">
      <c r="A1077">
        <v>20260401</v>
      </c>
      <c r="B1077" t="s">
        <v>1243</v>
      </c>
      <c r="C1077">
        <v>3400</v>
      </c>
      <c r="D1077" t="s">
        <v>485</v>
      </c>
      <c r="E1077">
        <v>-92700</v>
      </c>
      <c r="F1077" t="s">
        <v>1453</v>
      </c>
      <c r="G1077">
        <v>0.88</v>
      </c>
      <c r="H1077" t="s">
        <v>1462</v>
      </c>
      <c r="I1077" t="s">
        <v>1463</v>
      </c>
    </row>
    <row r="1078" spans="1:9" x14ac:dyDescent="0.35">
      <c r="A1078">
        <v>20260401</v>
      </c>
      <c r="B1078" t="s">
        <v>1205</v>
      </c>
      <c r="C1078">
        <v>5000</v>
      </c>
      <c r="D1078" t="s">
        <v>1131</v>
      </c>
      <c r="E1078">
        <v>473800</v>
      </c>
      <c r="F1078" t="s">
        <v>1453</v>
      </c>
      <c r="G1078">
        <v>0.88</v>
      </c>
      <c r="H1078" t="s">
        <v>1462</v>
      </c>
      <c r="I1078" t="s">
        <v>1463</v>
      </c>
    </row>
    <row r="1079" spans="1:9" x14ac:dyDescent="0.35">
      <c r="A1079">
        <v>20260401</v>
      </c>
      <c r="B1079" t="s">
        <v>1205</v>
      </c>
      <c r="C1079">
        <v>5400</v>
      </c>
      <c r="D1079" t="s">
        <v>1131</v>
      </c>
      <c r="E1079">
        <v>66805.8</v>
      </c>
      <c r="F1079" t="s">
        <v>1453</v>
      </c>
      <c r="G1079">
        <v>0.88</v>
      </c>
      <c r="H1079" t="s">
        <v>1462</v>
      </c>
      <c r="I1079" t="s">
        <v>1463</v>
      </c>
    </row>
    <row r="1080" spans="1:9" x14ac:dyDescent="0.35">
      <c r="A1080">
        <v>20260401</v>
      </c>
      <c r="B1080" t="s">
        <v>1205</v>
      </c>
      <c r="C1080">
        <v>6300</v>
      </c>
      <c r="D1080" t="s">
        <v>1131</v>
      </c>
      <c r="E1080">
        <v>87550</v>
      </c>
      <c r="F1080" t="s">
        <v>1453</v>
      </c>
      <c r="G1080">
        <v>0.88</v>
      </c>
      <c r="H1080" t="s">
        <v>1462</v>
      </c>
      <c r="I1080" t="s">
        <v>1463</v>
      </c>
    </row>
    <row r="1081" spans="1:9" x14ac:dyDescent="0.35">
      <c r="A1081">
        <v>20260401</v>
      </c>
      <c r="B1081" t="s">
        <v>1205</v>
      </c>
      <c r="C1081">
        <v>3900</v>
      </c>
      <c r="D1081" t="s">
        <v>1131</v>
      </c>
      <c r="E1081">
        <v>-669500</v>
      </c>
      <c r="F1081" t="s">
        <v>1453</v>
      </c>
      <c r="G1081">
        <v>0.88</v>
      </c>
      <c r="H1081" t="s">
        <v>1462</v>
      </c>
      <c r="I1081" t="s">
        <v>1463</v>
      </c>
    </row>
    <row r="1082" spans="1:9" x14ac:dyDescent="0.35">
      <c r="A1082">
        <v>20260401</v>
      </c>
      <c r="B1082" t="s">
        <v>1257</v>
      </c>
      <c r="C1082">
        <v>5100</v>
      </c>
      <c r="D1082" t="s">
        <v>485</v>
      </c>
      <c r="E1082">
        <v>92700</v>
      </c>
      <c r="F1082" t="s">
        <v>1453</v>
      </c>
      <c r="G1082">
        <v>0.88</v>
      </c>
      <c r="H1082" t="s">
        <v>1462</v>
      </c>
      <c r="I1082" t="s">
        <v>1463</v>
      </c>
    </row>
    <row r="1083" spans="1:9" x14ac:dyDescent="0.35">
      <c r="A1083">
        <v>20260401</v>
      </c>
      <c r="B1083" t="s">
        <v>1257</v>
      </c>
      <c r="C1083">
        <v>3400</v>
      </c>
      <c r="D1083" t="s">
        <v>485</v>
      </c>
      <c r="E1083">
        <v>-92700</v>
      </c>
      <c r="F1083" t="s">
        <v>1453</v>
      </c>
      <c r="G1083">
        <v>0.88</v>
      </c>
      <c r="H1083" t="s">
        <v>1462</v>
      </c>
      <c r="I1083" t="s">
        <v>1463</v>
      </c>
    </row>
    <row r="1084" spans="1:9" x14ac:dyDescent="0.35">
      <c r="A1084">
        <v>20260401</v>
      </c>
      <c r="B1084" t="s">
        <v>1164</v>
      </c>
      <c r="C1084">
        <v>5000</v>
      </c>
      <c r="D1084" t="s">
        <v>1131</v>
      </c>
      <c r="E1084">
        <v>473800</v>
      </c>
      <c r="F1084" t="s">
        <v>1453</v>
      </c>
      <c r="G1084">
        <v>0.88</v>
      </c>
      <c r="H1084" t="s">
        <v>1462</v>
      </c>
      <c r="I1084" t="s">
        <v>1463</v>
      </c>
    </row>
    <row r="1085" spans="1:9" x14ac:dyDescent="0.35">
      <c r="A1085">
        <v>20260401</v>
      </c>
      <c r="B1085" t="s">
        <v>1164</v>
      </c>
      <c r="C1085">
        <v>5400</v>
      </c>
      <c r="D1085" t="s">
        <v>1131</v>
      </c>
      <c r="E1085">
        <v>66805.8</v>
      </c>
      <c r="F1085" t="s">
        <v>1453</v>
      </c>
      <c r="G1085">
        <v>0.88</v>
      </c>
      <c r="H1085" t="s">
        <v>1462</v>
      </c>
      <c r="I1085" t="s">
        <v>1463</v>
      </c>
    </row>
    <row r="1086" spans="1:9" x14ac:dyDescent="0.35">
      <c r="A1086">
        <v>20260401</v>
      </c>
      <c r="B1086" t="s">
        <v>1164</v>
      </c>
      <c r="C1086">
        <v>6300</v>
      </c>
      <c r="D1086" t="s">
        <v>1131</v>
      </c>
      <c r="E1086">
        <v>87550</v>
      </c>
      <c r="F1086" t="s">
        <v>1453</v>
      </c>
      <c r="G1086">
        <v>0.88</v>
      </c>
      <c r="H1086" t="s">
        <v>1462</v>
      </c>
      <c r="I1086" t="s">
        <v>1463</v>
      </c>
    </row>
    <row r="1087" spans="1:9" x14ac:dyDescent="0.35">
      <c r="A1087">
        <v>20260401</v>
      </c>
      <c r="B1087" t="s">
        <v>1164</v>
      </c>
      <c r="C1087">
        <v>3900</v>
      </c>
      <c r="D1087" t="s">
        <v>1131</v>
      </c>
      <c r="E1087">
        <v>-669500</v>
      </c>
      <c r="F1087" t="s">
        <v>1453</v>
      </c>
      <c r="G1087">
        <v>0.88</v>
      </c>
      <c r="H1087" t="s">
        <v>1462</v>
      </c>
      <c r="I1087" t="s">
        <v>1463</v>
      </c>
    </row>
    <row r="1088" spans="1:9" x14ac:dyDescent="0.35">
      <c r="A1088">
        <v>20260401</v>
      </c>
      <c r="B1088" t="s">
        <v>1249</v>
      </c>
      <c r="C1088">
        <v>5100</v>
      </c>
      <c r="D1088" t="s">
        <v>485</v>
      </c>
      <c r="E1088">
        <v>92700</v>
      </c>
      <c r="F1088" t="s">
        <v>1453</v>
      </c>
      <c r="G1088">
        <v>0.88</v>
      </c>
      <c r="H1088" t="s">
        <v>1462</v>
      </c>
      <c r="I1088" t="s">
        <v>1463</v>
      </c>
    </row>
    <row r="1089" spans="1:9" x14ac:dyDescent="0.35">
      <c r="A1089">
        <v>20260401</v>
      </c>
      <c r="B1089" t="s">
        <v>1249</v>
      </c>
      <c r="C1089">
        <v>3400</v>
      </c>
      <c r="D1089" t="s">
        <v>485</v>
      </c>
      <c r="E1089">
        <v>-92700</v>
      </c>
      <c r="F1089" t="s">
        <v>1453</v>
      </c>
      <c r="G1089">
        <v>0.88</v>
      </c>
      <c r="H1089" t="s">
        <v>1462</v>
      </c>
      <c r="I1089" t="s">
        <v>1463</v>
      </c>
    </row>
    <row r="1090" spans="1:9" x14ac:dyDescent="0.35">
      <c r="A1090">
        <v>20260401</v>
      </c>
      <c r="B1090" t="s">
        <v>1169</v>
      </c>
      <c r="C1090">
        <v>5000</v>
      </c>
      <c r="D1090" t="s">
        <v>1131</v>
      </c>
      <c r="E1090">
        <v>473800</v>
      </c>
      <c r="F1090" t="s">
        <v>1453</v>
      </c>
      <c r="G1090">
        <v>0.88</v>
      </c>
      <c r="H1090" t="s">
        <v>1462</v>
      </c>
      <c r="I1090" t="s">
        <v>1463</v>
      </c>
    </row>
    <row r="1091" spans="1:9" x14ac:dyDescent="0.35">
      <c r="A1091">
        <v>20260401</v>
      </c>
      <c r="B1091" t="s">
        <v>1169</v>
      </c>
      <c r="C1091">
        <v>5400</v>
      </c>
      <c r="D1091" t="s">
        <v>1131</v>
      </c>
      <c r="E1091">
        <v>66805.8</v>
      </c>
      <c r="F1091" t="s">
        <v>1453</v>
      </c>
      <c r="G1091">
        <v>0.88</v>
      </c>
      <c r="H1091" t="s">
        <v>1462</v>
      </c>
      <c r="I1091" t="s">
        <v>1463</v>
      </c>
    </row>
    <row r="1092" spans="1:9" x14ac:dyDescent="0.35">
      <c r="A1092">
        <v>20260401</v>
      </c>
      <c r="B1092" t="s">
        <v>1169</v>
      </c>
      <c r="C1092">
        <v>6300</v>
      </c>
      <c r="D1092" t="s">
        <v>1131</v>
      </c>
      <c r="E1092">
        <v>87550</v>
      </c>
      <c r="F1092" t="s">
        <v>1453</v>
      </c>
      <c r="G1092">
        <v>0.88</v>
      </c>
      <c r="H1092" t="s">
        <v>1462</v>
      </c>
      <c r="I1092" t="s">
        <v>1463</v>
      </c>
    </row>
    <row r="1093" spans="1:9" x14ac:dyDescent="0.35">
      <c r="A1093">
        <v>20260401</v>
      </c>
      <c r="B1093" t="s">
        <v>1169</v>
      </c>
      <c r="C1093">
        <v>3900</v>
      </c>
      <c r="D1093" t="s">
        <v>1131</v>
      </c>
      <c r="E1093">
        <v>-669500</v>
      </c>
      <c r="F1093" t="s">
        <v>1453</v>
      </c>
      <c r="G1093">
        <v>0.88</v>
      </c>
      <c r="H1093" t="s">
        <v>1462</v>
      </c>
      <c r="I1093" t="s">
        <v>1463</v>
      </c>
    </row>
    <row r="1094" spans="1:9" x14ac:dyDescent="0.35">
      <c r="A1094">
        <v>20260401</v>
      </c>
      <c r="B1094" t="s">
        <v>1260</v>
      </c>
      <c r="C1094">
        <v>5100</v>
      </c>
      <c r="D1094" t="s">
        <v>485</v>
      </c>
      <c r="E1094">
        <v>92700</v>
      </c>
      <c r="F1094" t="s">
        <v>1453</v>
      </c>
      <c r="G1094">
        <v>0.88</v>
      </c>
      <c r="H1094" t="s">
        <v>1462</v>
      </c>
      <c r="I1094" t="s">
        <v>1463</v>
      </c>
    </row>
    <row r="1095" spans="1:9" x14ac:dyDescent="0.35">
      <c r="A1095">
        <v>20260401</v>
      </c>
      <c r="B1095" t="s">
        <v>1260</v>
      </c>
      <c r="C1095">
        <v>3400</v>
      </c>
      <c r="D1095" t="s">
        <v>485</v>
      </c>
      <c r="E1095">
        <v>-92700</v>
      </c>
      <c r="F1095" t="s">
        <v>1453</v>
      </c>
      <c r="G1095">
        <v>0.88</v>
      </c>
      <c r="H1095" t="s">
        <v>1462</v>
      </c>
      <c r="I1095" t="s">
        <v>1463</v>
      </c>
    </row>
    <row r="1096" spans="1:9" x14ac:dyDescent="0.35">
      <c r="A1096">
        <v>20260401</v>
      </c>
      <c r="B1096" t="s">
        <v>1175</v>
      </c>
      <c r="C1096">
        <v>5000</v>
      </c>
      <c r="D1096" t="s">
        <v>1131</v>
      </c>
      <c r="E1096">
        <v>473800</v>
      </c>
      <c r="F1096" t="s">
        <v>1453</v>
      </c>
      <c r="G1096">
        <v>0.88</v>
      </c>
      <c r="H1096" t="s">
        <v>1462</v>
      </c>
      <c r="I1096" t="s">
        <v>1463</v>
      </c>
    </row>
    <row r="1097" spans="1:9" x14ac:dyDescent="0.35">
      <c r="A1097">
        <v>20260401</v>
      </c>
      <c r="B1097" t="s">
        <v>1175</v>
      </c>
      <c r="C1097">
        <v>5400</v>
      </c>
      <c r="D1097" t="s">
        <v>1131</v>
      </c>
      <c r="E1097">
        <v>66805.8</v>
      </c>
      <c r="F1097" t="s">
        <v>1453</v>
      </c>
      <c r="G1097">
        <v>0.88</v>
      </c>
      <c r="H1097" t="s">
        <v>1462</v>
      </c>
      <c r="I1097" t="s">
        <v>1463</v>
      </c>
    </row>
    <row r="1098" spans="1:9" x14ac:dyDescent="0.35">
      <c r="A1098">
        <v>20260401</v>
      </c>
      <c r="B1098" t="s">
        <v>1175</v>
      </c>
      <c r="C1098">
        <v>6300</v>
      </c>
      <c r="D1098" t="s">
        <v>1131</v>
      </c>
      <c r="E1098">
        <v>87550</v>
      </c>
      <c r="F1098" t="s">
        <v>1453</v>
      </c>
      <c r="G1098">
        <v>0.88</v>
      </c>
      <c r="H1098" t="s">
        <v>1462</v>
      </c>
      <c r="I1098" t="s">
        <v>1463</v>
      </c>
    </row>
    <row r="1099" spans="1:9" x14ac:dyDescent="0.35">
      <c r="A1099">
        <v>20260401</v>
      </c>
      <c r="B1099" t="s">
        <v>1175</v>
      </c>
      <c r="C1099">
        <v>3900</v>
      </c>
      <c r="D1099" t="s">
        <v>1131</v>
      </c>
      <c r="E1099">
        <v>-669500</v>
      </c>
      <c r="F1099" t="s">
        <v>1453</v>
      </c>
      <c r="G1099">
        <v>0.88</v>
      </c>
      <c r="H1099" t="s">
        <v>1462</v>
      </c>
      <c r="I1099" t="s">
        <v>1463</v>
      </c>
    </row>
    <row r="1100" spans="1:9" x14ac:dyDescent="0.35">
      <c r="A1100">
        <v>20260401</v>
      </c>
      <c r="B1100" t="s">
        <v>1247</v>
      </c>
      <c r="C1100">
        <v>5100</v>
      </c>
      <c r="D1100" t="s">
        <v>485</v>
      </c>
      <c r="E1100">
        <v>92700</v>
      </c>
      <c r="F1100" t="s">
        <v>1453</v>
      </c>
      <c r="G1100">
        <v>0.88</v>
      </c>
      <c r="H1100" t="s">
        <v>1462</v>
      </c>
      <c r="I1100" t="s">
        <v>1463</v>
      </c>
    </row>
    <row r="1101" spans="1:9" x14ac:dyDescent="0.35">
      <c r="A1101">
        <v>20260401</v>
      </c>
      <c r="B1101" t="s">
        <v>1247</v>
      </c>
      <c r="C1101">
        <v>3400</v>
      </c>
      <c r="D1101" t="s">
        <v>485</v>
      </c>
      <c r="E1101">
        <v>-92700</v>
      </c>
      <c r="F1101" t="s">
        <v>1453</v>
      </c>
      <c r="G1101">
        <v>0.88</v>
      </c>
      <c r="H1101" t="s">
        <v>1462</v>
      </c>
      <c r="I1101" t="s">
        <v>1463</v>
      </c>
    </row>
    <row r="1102" spans="1:9" x14ac:dyDescent="0.35">
      <c r="A1102">
        <v>20260401</v>
      </c>
      <c r="B1102" t="s">
        <v>1130</v>
      </c>
      <c r="C1102">
        <v>5000</v>
      </c>
      <c r="D1102" t="s">
        <v>1131</v>
      </c>
      <c r="E1102">
        <v>473800</v>
      </c>
      <c r="F1102" t="s">
        <v>1453</v>
      </c>
      <c r="G1102">
        <v>0.88</v>
      </c>
      <c r="H1102" t="s">
        <v>1462</v>
      </c>
      <c r="I1102" t="s">
        <v>1463</v>
      </c>
    </row>
    <row r="1103" spans="1:9" x14ac:dyDescent="0.35">
      <c r="A1103">
        <v>20260401</v>
      </c>
      <c r="B1103" t="s">
        <v>1130</v>
      </c>
      <c r="C1103">
        <v>5400</v>
      </c>
      <c r="D1103" t="s">
        <v>1131</v>
      </c>
      <c r="E1103">
        <v>66805.8</v>
      </c>
      <c r="F1103" t="s">
        <v>1453</v>
      </c>
      <c r="G1103">
        <v>0.88</v>
      </c>
      <c r="H1103" t="s">
        <v>1462</v>
      </c>
      <c r="I1103" t="s">
        <v>1463</v>
      </c>
    </row>
    <row r="1104" spans="1:9" x14ac:dyDescent="0.35">
      <c r="A1104">
        <v>20260401</v>
      </c>
      <c r="B1104" t="s">
        <v>1130</v>
      </c>
      <c r="C1104">
        <v>6300</v>
      </c>
      <c r="D1104" t="s">
        <v>1131</v>
      </c>
      <c r="E1104">
        <v>87550</v>
      </c>
      <c r="F1104" t="s">
        <v>1453</v>
      </c>
      <c r="G1104">
        <v>0.88</v>
      </c>
      <c r="H1104" t="s">
        <v>1462</v>
      </c>
      <c r="I1104" t="s">
        <v>1463</v>
      </c>
    </row>
    <row r="1105" spans="1:9" x14ac:dyDescent="0.35">
      <c r="A1105">
        <v>20260401</v>
      </c>
      <c r="B1105" t="s">
        <v>1130</v>
      </c>
      <c r="C1105">
        <v>3900</v>
      </c>
      <c r="D1105" t="s">
        <v>1131</v>
      </c>
      <c r="E1105">
        <v>-669500</v>
      </c>
      <c r="F1105" t="s">
        <v>1453</v>
      </c>
      <c r="G1105">
        <v>0.88</v>
      </c>
      <c r="H1105" t="s">
        <v>1462</v>
      </c>
      <c r="I1105" t="s">
        <v>1463</v>
      </c>
    </row>
    <row r="1106" spans="1:9" x14ac:dyDescent="0.35">
      <c r="A1106">
        <v>20260401</v>
      </c>
      <c r="B1106" t="s">
        <v>1265</v>
      </c>
      <c r="C1106">
        <v>5100</v>
      </c>
      <c r="D1106" t="s">
        <v>485</v>
      </c>
      <c r="E1106">
        <v>92700</v>
      </c>
      <c r="F1106" t="s">
        <v>1453</v>
      </c>
      <c r="G1106">
        <v>0.88</v>
      </c>
      <c r="H1106" t="s">
        <v>1462</v>
      </c>
      <c r="I1106" t="s">
        <v>1463</v>
      </c>
    </row>
    <row r="1107" spans="1:9" x14ac:dyDescent="0.35">
      <c r="A1107">
        <v>20260401</v>
      </c>
      <c r="B1107" t="s">
        <v>1265</v>
      </c>
      <c r="C1107">
        <v>3400</v>
      </c>
      <c r="D1107" t="s">
        <v>485</v>
      </c>
      <c r="E1107">
        <v>-92700</v>
      </c>
      <c r="F1107" t="s">
        <v>1453</v>
      </c>
      <c r="G1107">
        <v>0.88</v>
      </c>
      <c r="H1107" t="s">
        <v>1462</v>
      </c>
      <c r="I1107" t="s">
        <v>1463</v>
      </c>
    </row>
    <row r="1108" spans="1:9" x14ac:dyDescent="0.35">
      <c r="A1108">
        <v>20260401</v>
      </c>
      <c r="B1108" t="s">
        <v>1173</v>
      </c>
      <c r="C1108">
        <v>5000</v>
      </c>
      <c r="D1108" t="s">
        <v>1131</v>
      </c>
      <c r="E1108">
        <v>473800</v>
      </c>
      <c r="F1108" t="s">
        <v>1453</v>
      </c>
      <c r="G1108">
        <v>0.88</v>
      </c>
      <c r="H1108" t="s">
        <v>1462</v>
      </c>
      <c r="I1108" t="s">
        <v>1463</v>
      </c>
    </row>
    <row r="1109" spans="1:9" x14ac:dyDescent="0.35">
      <c r="A1109">
        <v>20260401</v>
      </c>
      <c r="B1109" t="s">
        <v>1173</v>
      </c>
      <c r="C1109">
        <v>5400</v>
      </c>
      <c r="D1109" t="s">
        <v>1131</v>
      </c>
      <c r="E1109">
        <v>66805.8</v>
      </c>
      <c r="F1109" t="s">
        <v>1453</v>
      </c>
      <c r="G1109">
        <v>0.88</v>
      </c>
      <c r="H1109" t="s">
        <v>1462</v>
      </c>
      <c r="I1109" t="s">
        <v>1463</v>
      </c>
    </row>
    <row r="1110" spans="1:9" x14ac:dyDescent="0.35">
      <c r="A1110">
        <v>20260401</v>
      </c>
      <c r="B1110" t="s">
        <v>1173</v>
      </c>
      <c r="C1110">
        <v>6300</v>
      </c>
      <c r="D1110" t="s">
        <v>1131</v>
      </c>
      <c r="E1110">
        <v>87550</v>
      </c>
      <c r="F1110" t="s">
        <v>1453</v>
      </c>
      <c r="G1110">
        <v>0.88</v>
      </c>
      <c r="H1110" t="s">
        <v>1462</v>
      </c>
      <c r="I1110" t="s">
        <v>1463</v>
      </c>
    </row>
    <row r="1111" spans="1:9" x14ac:dyDescent="0.35">
      <c r="A1111">
        <v>20260401</v>
      </c>
      <c r="B1111" t="s">
        <v>1173</v>
      </c>
      <c r="C1111">
        <v>3900</v>
      </c>
      <c r="D1111" t="s">
        <v>1131</v>
      </c>
      <c r="E1111">
        <v>-669500</v>
      </c>
      <c r="F1111" t="s">
        <v>1453</v>
      </c>
      <c r="G1111">
        <v>0.88</v>
      </c>
      <c r="H1111" t="s">
        <v>1462</v>
      </c>
      <c r="I1111" t="s">
        <v>1463</v>
      </c>
    </row>
    <row r="1112" spans="1:9" x14ac:dyDescent="0.35">
      <c r="A1112">
        <v>20260401</v>
      </c>
      <c r="B1112" t="s">
        <v>1255</v>
      </c>
      <c r="C1112">
        <v>5100</v>
      </c>
      <c r="D1112" t="s">
        <v>485</v>
      </c>
      <c r="E1112">
        <v>92700</v>
      </c>
      <c r="F1112" t="s">
        <v>1453</v>
      </c>
      <c r="G1112">
        <v>0.88</v>
      </c>
      <c r="H1112" t="s">
        <v>1462</v>
      </c>
      <c r="I1112" t="s">
        <v>1463</v>
      </c>
    </row>
    <row r="1113" spans="1:9" x14ac:dyDescent="0.35">
      <c r="A1113">
        <v>20260401</v>
      </c>
      <c r="B1113" t="s">
        <v>1255</v>
      </c>
      <c r="C1113">
        <v>3400</v>
      </c>
      <c r="D1113" t="s">
        <v>485</v>
      </c>
      <c r="E1113">
        <v>-92700</v>
      </c>
      <c r="F1113" t="s">
        <v>1453</v>
      </c>
      <c r="G1113">
        <v>0.88</v>
      </c>
      <c r="H1113" t="s">
        <v>1462</v>
      </c>
      <c r="I1113" t="s">
        <v>1463</v>
      </c>
    </row>
    <row r="1114" spans="1:9" x14ac:dyDescent="0.35">
      <c r="A1114">
        <v>20260401</v>
      </c>
      <c r="B1114" t="s">
        <v>1155</v>
      </c>
      <c r="C1114">
        <v>5000</v>
      </c>
      <c r="D1114" t="s">
        <v>1131</v>
      </c>
      <c r="E1114">
        <v>473800</v>
      </c>
      <c r="F1114" t="s">
        <v>1453</v>
      </c>
      <c r="G1114">
        <v>0.88</v>
      </c>
      <c r="H1114" t="s">
        <v>1462</v>
      </c>
      <c r="I1114" t="s">
        <v>1463</v>
      </c>
    </row>
    <row r="1115" spans="1:9" x14ac:dyDescent="0.35">
      <c r="A1115">
        <v>20260401</v>
      </c>
      <c r="B1115" t="s">
        <v>1155</v>
      </c>
      <c r="C1115">
        <v>5400</v>
      </c>
      <c r="D1115" t="s">
        <v>1131</v>
      </c>
      <c r="E1115">
        <v>66805.8</v>
      </c>
      <c r="F1115" t="s">
        <v>1453</v>
      </c>
      <c r="G1115">
        <v>0.88</v>
      </c>
      <c r="H1115" t="s">
        <v>1462</v>
      </c>
      <c r="I1115" t="s">
        <v>1463</v>
      </c>
    </row>
    <row r="1116" spans="1:9" x14ac:dyDescent="0.35">
      <c r="A1116">
        <v>20260401</v>
      </c>
      <c r="B1116" t="s">
        <v>1155</v>
      </c>
      <c r="C1116">
        <v>6300</v>
      </c>
      <c r="D1116" t="s">
        <v>1131</v>
      </c>
      <c r="E1116">
        <v>87550</v>
      </c>
      <c r="F1116" t="s">
        <v>1453</v>
      </c>
      <c r="G1116">
        <v>0.88</v>
      </c>
      <c r="H1116" t="s">
        <v>1462</v>
      </c>
      <c r="I1116" t="s">
        <v>1463</v>
      </c>
    </row>
    <row r="1117" spans="1:9" x14ac:dyDescent="0.35">
      <c r="A1117">
        <v>20260401</v>
      </c>
      <c r="B1117" t="s">
        <v>1155</v>
      </c>
      <c r="C1117">
        <v>3900</v>
      </c>
      <c r="D1117" t="s">
        <v>1131</v>
      </c>
      <c r="E1117">
        <v>-669500</v>
      </c>
      <c r="F1117" t="s">
        <v>1453</v>
      </c>
      <c r="G1117">
        <v>0.88</v>
      </c>
      <c r="H1117" t="s">
        <v>1462</v>
      </c>
      <c r="I1117" t="s">
        <v>1463</v>
      </c>
    </row>
    <row r="1118" spans="1:9" x14ac:dyDescent="0.35">
      <c r="A1118">
        <v>20260401</v>
      </c>
      <c r="B1118" t="s">
        <v>1138</v>
      </c>
      <c r="C1118">
        <v>5000</v>
      </c>
      <c r="D1118" t="s">
        <v>1131</v>
      </c>
      <c r="E1118">
        <v>473800</v>
      </c>
      <c r="F1118" t="s">
        <v>1453</v>
      </c>
      <c r="G1118">
        <v>0.88</v>
      </c>
      <c r="H1118" t="s">
        <v>1462</v>
      </c>
      <c r="I1118" t="s">
        <v>1463</v>
      </c>
    </row>
    <row r="1119" spans="1:9" x14ac:dyDescent="0.35">
      <c r="A1119">
        <v>20260401</v>
      </c>
      <c r="B1119" t="s">
        <v>1138</v>
      </c>
      <c r="C1119">
        <v>5400</v>
      </c>
      <c r="D1119" t="s">
        <v>1131</v>
      </c>
      <c r="E1119">
        <v>66805.8</v>
      </c>
      <c r="F1119" t="s">
        <v>1453</v>
      </c>
      <c r="G1119">
        <v>0.88</v>
      </c>
      <c r="H1119" t="s">
        <v>1462</v>
      </c>
      <c r="I1119" t="s">
        <v>1463</v>
      </c>
    </row>
    <row r="1120" spans="1:9" x14ac:dyDescent="0.35">
      <c r="A1120">
        <v>20260401</v>
      </c>
      <c r="B1120" t="s">
        <v>1138</v>
      </c>
      <c r="C1120">
        <v>6300</v>
      </c>
      <c r="D1120" t="s">
        <v>1131</v>
      </c>
      <c r="E1120">
        <v>87550</v>
      </c>
      <c r="F1120" t="s">
        <v>1453</v>
      </c>
      <c r="G1120">
        <v>0.88</v>
      </c>
      <c r="H1120" t="s">
        <v>1462</v>
      </c>
      <c r="I1120" t="s">
        <v>1463</v>
      </c>
    </row>
    <row r="1121" spans="1:9" x14ac:dyDescent="0.35">
      <c r="A1121">
        <v>20260401</v>
      </c>
      <c r="B1121" t="s">
        <v>1138</v>
      </c>
      <c r="C1121">
        <v>3900</v>
      </c>
      <c r="D1121" t="s">
        <v>1131</v>
      </c>
      <c r="E1121">
        <v>-669500</v>
      </c>
      <c r="F1121" t="s">
        <v>1453</v>
      </c>
      <c r="G1121">
        <v>0.88</v>
      </c>
      <c r="H1121" t="s">
        <v>1462</v>
      </c>
      <c r="I1121" t="s">
        <v>1463</v>
      </c>
    </row>
    <row r="1122" spans="1:9" x14ac:dyDescent="0.35">
      <c r="A1122">
        <v>20260501</v>
      </c>
      <c r="B1122" t="s">
        <v>1150</v>
      </c>
      <c r="C1122">
        <v>5000</v>
      </c>
      <c r="D1122" t="s">
        <v>1131</v>
      </c>
      <c r="E1122">
        <v>473800</v>
      </c>
      <c r="F1122" t="s">
        <v>1453</v>
      </c>
      <c r="G1122">
        <v>0.88</v>
      </c>
      <c r="H1122" t="s">
        <v>1462</v>
      </c>
      <c r="I1122" t="s">
        <v>1463</v>
      </c>
    </row>
    <row r="1123" spans="1:9" x14ac:dyDescent="0.35">
      <c r="A1123">
        <v>20260501</v>
      </c>
      <c r="B1123" t="s">
        <v>1150</v>
      </c>
      <c r="C1123">
        <v>5400</v>
      </c>
      <c r="D1123" t="s">
        <v>1131</v>
      </c>
      <c r="E1123">
        <v>66805.8</v>
      </c>
      <c r="F1123" t="s">
        <v>1453</v>
      </c>
      <c r="G1123">
        <v>0.88</v>
      </c>
      <c r="H1123" t="s">
        <v>1462</v>
      </c>
      <c r="I1123" t="s">
        <v>1463</v>
      </c>
    </row>
    <row r="1124" spans="1:9" x14ac:dyDescent="0.35">
      <c r="A1124">
        <v>20260501</v>
      </c>
      <c r="B1124" t="s">
        <v>1150</v>
      </c>
      <c r="C1124">
        <v>6300</v>
      </c>
      <c r="D1124" t="s">
        <v>1131</v>
      </c>
      <c r="E1124">
        <v>87550</v>
      </c>
      <c r="F1124" t="s">
        <v>1453</v>
      </c>
      <c r="G1124">
        <v>0.88</v>
      </c>
      <c r="H1124" t="s">
        <v>1462</v>
      </c>
      <c r="I1124" t="s">
        <v>1463</v>
      </c>
    </row>
    <row r="1125" spans="1:9" x14ac:dyDescent="0.35">
      <c r="A1125">
        <v>20260501</v>
      </c>
      <c r="B1125" t="s">
        <v>1150</v>
      </c>
      <c r="C1125">
        <v>3900</v>
      </c>
      <c r="D1125" t="s">
        <v>1131</v>
      </c>
      <c r="E1125">
        <v>-669500</v>
      </c>
      <c r="F1125" t="s">
        <v>1453</v>
      </c>
      <c r="G1125">
        <v>0.88</v>
      </c>
      <c r="H1125" t="s">
        <v>1462</v>
      </c>
      <c r="I1125" t="s">
        <v>1463</v>
      </c>
    </row>
    <row r="1126" spans="1:9" x14ac:dyDescent="0.35">
      <c r="A1126">
        <v>20260501</v>
      </c>
      <c r="B1126" t="s">
        <v>1272</v>
      </c>
      <c r="C1126">
        <v>5100</v>
      </c>
      <c r="D1126" t="s">
        <v>485</v>
      </c>
      <c r="E1126">
        <v>92700</v>
      </c>
      <c r="F1126" t="s">
        <v>1453</v>
      </c>
      <c r="G1126">
        <v>0.88</v>
      </c>
      <c r="H1126" t="s">
        <v>1462</v>
      </c>
      <c r="I1126" t="s">
        <v>1463</v>
      </c>
    </row>
    <row r="1127" spans="1:9" x14ac:dyDescent="0.35">
      <c r="A1127">
        <v>20260501</v>
      </c>
      <c r="B1127" t="s">
        <v>1272</v>
      </c>
      <c r="C1127">
        <v>3400</v>
      </c>
      <c r="D1127" t="s">
        <v>485</v>
      </c>
      <c r="E1127">
        <v>-92700</v>
      </c>
      <c r="F1127" t="s">
        <v>1453</v>
      </c>
      <c r="G1127">
        <v>0.88</v>
      </c>
      <c r="H1127" t="s">
        <v>1462</v>
      </c>
      <c r="I1127" t="s">
        <v>1463</v>
      </c>
    </row>
    <row r="1128" spans="1:9" x14ac:dyDescent="0.35">
      <c r="A1128">
        <v>20260501</v>
      </c>
      <c r="B1128" t="s">
        <v>1158</v>
      </c>
      <c r="C1128">
        <v>5000</v>
      </c>
      <c r="D1128" t="s">
        <v>1131</v>
      </c>
      <c r="E1128">
        <v>473800</v>
      </c>
      <c r="F1128" t="s">
        <v>1453</v>
      </c>
      <c r="G1128">
        <v>0.88</v>
      </c>
      <c r="H1128" t="s">
        <v>1462</v>
      </c>
      <c r="I1128" t="s">
        <v>1463</v>
      </c>
    </row>
    <row r="1129" spans="1:9" x14ac:dyDescent="0.35">
      <c r="A1129">
        <v>20260501</v>
      </c>
      <c r="B1129" t="s">
        <v>1158</v>
      </c>
      <c r="C1129">
        <v>5400</v>
      </c>
      <c r="D1129" t="s">
        <v>1131</v>
      </c>
      <c r="E1129">
        <v>66805.8</v>
      </c>
      <c r="F1129" t="s">
        <v>1453</v>
      </c>
      <c r="G1129">
        <v>0.88</v>
      </c>
      <c r="H1129" t="s">
        <v>1462</v>
      </c>
      <c r="I1129" t="s">
        <v>1463</v>
      </c>
    </row>
    <row r="1130" spans="1:9" x14ac:dyDescent="0.35">
      <c r="A1130">
        <v>20260501</v>
      </c>
      <c r="B1130" t="s">
        <v>1158</v>
      </c>
      <c r="C1130">
        <v>6300</v>
      </c>
      <c r="D1130" t="s">
        <v>1131</v>
      </c>
      <c r="E1130">
        <v>87550</v>
      </c>
      <c r="F1130" t="s">
        <v>1453</v>
      </c>
      <c r="G1130">
        <v>0.88</v>
      </c>
      <c r="H1130" t="s">
        <v>1462</v>
      </c>
      <c r="I1130" t="s">
        <v>1463</v>
      </c>
    </row>
    <row r="1131" spans="1:9" x14ac:dyDescent="0.35">
      <c r="A1131">
        <v>20260501</v>
      </c>
      <c r="B1131" t="s">
        <v>1158</v>
      </c>
      <c r="C1131">
        <v>3900</v>
      </c>
      <c r="D1131" t="s">
        <v>1131</v>
      </c>
      <c r="E1131">
        <v>-669500</v>
      </c>
      <c r="F1131" t="s">
        <v>1453</v>
      </c>
      <c r="G1131">
        <v>0.88</v>
      </c>
      <c r="H1131" t="s">
        <v>1462</v>
      </c>
      <c r="I1131" t="s">
        <v>1463</v>
      </c>
    </row>
    <row r="1132" spans="1:9" x14ac:dyDescent="0.35">
      <c r="A1132">
        <v>20260501</v>
      </c>
      <c r="B1132" t="s">
        <v>1243</v>
      </c>
      <c r="C1132">
        <v>5100</v>
      </c>
      <c r="D1132" t="s">
        <v>485</v>
      </c>
      <c r="E1132">
        <v>92700</v>
      </c>
      <c r="F1132" t="s">
        <v>1453</v>
      </c>
      <c r="G1132">
        <v>0.88</v>
      </c>
      <c r="H1132" t="s">
        <v>1462</v>
      </c>
      <c r="I1132" t="s">
        <v>1463</v>
      </c>
    </row>
    <row r="1133" spans="1:9" x14ac:dyDescent="0.35">
      <c r="A1133">
        <v>20260501</v>
      </c>
      <c r="B1133" t="s">
        <v>1243</v>
      </c>
      <c r="C1133">
        <v>3400</v>
      </c>
      <c r="D1133" t="s">
        <v>485</v>
      </c>
      <c r="E1133">
        <v>-92700</v>
      </c>
      <c r="F1133" t="s">
        <v>1453</v>
      </c>
      <c r="G1133">
        <v>0.88</v>
      </c>
      <c r="H1133" t="s">
        <v>1462</v>
      </c>
      <c r="I1133" t="s">
        <v>1463</v>
      </c>
    </row>
    <row r="1134" spans="1:9" x14ac:dyDescent="0.35">
      <c r="A1134">
        <v>20260501</v>
      </c>
      <c r="B1134" t="s">
        <v>1205</v>
      </c>
      <c r="C1134">
        <v>5000</v>
      </c>
      <c r="D1134" t="s">
        <v>1131</v>
      </c>
      <c r="E1134">
        <v>473800</v>
      </c>
      <c r="F1134" t="s">
        <v>1453</v>
      </c>
      <c r="G1134">
        <v>0.88</v>
      </c>
      <c r="H1134" t="s">
        <v>1462</v>
      </c>
      <c r="I1134" t="s">
        <v>1463</v>
      </c>
    </row>
    <row r="1135" spans="1:9" x14ac:dyDescent="0.35">
      <c r="A1135">
        <v>20260501</v>
      </c>
      <c r="B1135" t="s">
        <v>1205</v>
      </c>
      <c r="C1135">
        <v>5400</v>
      </c>
      <c r="D1135" t="s">
        <v>1131</v>
      </c>
      <c r="E1135">
        <v>66805.8</v>
      </c>
      <c r="F1135" t="s">
        <v>1453</v>
      </c>
      <c r="G1135">
        <v>0.88</v>
      </c>
      <c r="H1135" t="s">
        <v>1462</v>
      </c>
      <c r="I1135" t="s">
        <v>1463</v>
      </c>
    </row>
    <row r="1136" spans="1:9" x14ac:dyDescent="0.35">
      <c r="A1136">
        <v>20260501</v>
      </c>
      <c r="B1136" t="s">
        <v>1205</v>
      </c>
      <c r="C1136">
        <v>6300</v>
      </c>
      <c r="D1136" t="s">
        <v>1131</v>
      </c>
      <c r="E1136">
        <v>87550</v>
      </c>
      <c r="F1136" t="s">
        <v>1453</v>
      </c>
      <c r="G1136">
        <v>0.88</v>
      </c>
      <c r="H1136" t="s">
        <v>1462</v>
      </c>
      <c r="I1136" t="s">
        <v>1463</v>
      </c>
    </row>
    <row r="1137" spans="1:9" x14ac:dyDescent="0.35">
      <c r="A1137">
        <v>20260501</v>
      </c>
      <c r="B1137" t="s">
        <v>1205</v>
      </c>
      <c r="C1137">
        <v>3900</v>
      </c>
      <c r="D1137" t="s">
        <v>1131</v>
      </c>
      <c r="E1137">
        <v>-669500</v>
      </c>
      <c r="F1137" t="s">
        <v>1453</v>
      </c>
      <c r="G1137">
        <v>0.88</v>
      </c>
      <c r="H1137" t="s">
        <v>1462</v>
      </c>
      <c r="I1137" t="s">
        <v>1463</v>
      </c>
    </row>
    <row r="1138" spans="1:9" x14ac:dyDescent="0.35">
      <c r="A1138">
        <v>20260501</v>
      </c>
      <c r="B1138" t="s">
        <v>1257</v>
      </c>
      <c r="C1138">
        <v>5100</v>
      </c>
      <c r="D1138" t="s">
        <v>485</v>
      </c>
      <c r="E1138">
        <v>92700</v>
      </c>
      <c r="F1138" t="s">
        <v>1453</v>
      </c>
      <c r="G1138">
        <v>0.88</v>
      </c>
      <c r="H1138" t="s">
        <v>1462</v>
      </c>
      <c r="I1138" t="s">
        <v>1463</v>
      </c>
    </row>
    <row r="1139" spans="1:9" x14ac:dyDescent="0.35">
      <c r="A1139">
        <v>20260501</v>
      </c>
      <c r="B1139" t="s">
        <v>1257</v>
      </c>
      <c r="C1139">
        <v>3400</v>
      </c>
      <c r="D1139" t="s">
        <v>485</v>
      </c>
      <c r="E1139">
        <v>-92700</v>
      </c>
      <c r="F1139" t="s">
        <v>1453</v>
      </c>
      <c r="G1139">
        <v>0.88</v>
      </c>
      <c r="H1139" t="s">
        <v>1462</v>
      </c>
      <c r="I1139" t="s">
        <v>1463</v>
      </c>
    </row>
    <row r="1140" spans="1:9" x14ac:dyDescent="0.35">
      <c r="A1140">
        <v>20260501</v>
      </c>
      <c r="B1140" t="s">
        <v>1164</v>
      </c>
      <c r="C1140">
        <v>5000</v>
      </c>
      <c r="D1140" t="s">
        <v>1131</v>
      </c>
      <c r="E1140">
        <v>473800</v>
      </c>
      <c r="F1140" t="s">
        <v>1453</v>
      </c>
      <c r="G1140">
        <v>0.88</v>
      </c>
      <c r="H1140" t="s">
        <v>1462</v>
      </c>
      <c r="I1140" t="s">
        <v>1463</v>
      </c>
    </row>
    <row r="1141" spans="1:9" x14ac:dyDescent="0.35">
      <c r="A1141">
        <v>20260501</v>
      </c>
      <c r="B1141" t="s">
        <v>1164</v>
      </c>
      <c r="C1141">
        <v>5400</v>
      </c>
      <c r="D1141" t="s">
        <v>1131</v>
      </c>
      <c r="E1141">
        <v>66805.8</v>
      </c>
      <c r="F1141" t="s">
        <v>1453</v>
      </c>
      <c r="G1141">
        <v>0.88</v>
      </c>
      <c r="H1141" t="s">
        <v>1462</v>
      </c>
      <c r="I1141" t="s">
        <v>1463</v>
      </c>
    </row>
    <row r="1142" spans="1:9" x14ac:dyDescent="0.35">
      <c r="A1142">
        <v>20260501</v>
      </c>
      <c r="B1142" t="s">
        <v>1164</v>
      </c>
      <c r="C1142">
        <v>6300</v>
      </c>
      <c r="D1142" t="s">
        <v>1131</v>
      </c>
      <c r="E1142">
        <v>87550</v>
      </c>
      <c r="F1142" t="s">
        <v>1453</v>
      </c>
      <c r="G1142">
        <v>0.88</v>
      </c>
      <c r="H1142" t="s">
        <v>1462</v>
      </c>
      <c r="I1142" t="s">
        <v>1463</v>
      </c>
    </row>
    <row r="1143" spans="1:9" x14ac:dyDescent="0.35">
      <c r="A1143">
        <v>20260501</v>
      </c>
      <c r="B1143" t="s">
        <v>1164</v>
      </c>
      <c r="C1143">
        <v>3900</v>
      </c>
      <c r="D1143" t="s">
        <v>1131</v>
      </c>
      <c r="E1143">
        <v>-669500</v>
      </c>
      <c r="F1143" t="s">
        <v>1453</v>
      </c>
      <c r="G1143">
        <v>0.88</v>
      </c>
      <c r="H1143" t="s">
        <v>1462</v>
      </c>
      <c r="I1143" t="s">
        <v>1463</v>
      </c>
    </row>
    <row r="1144" spans="1:9" x14ac:dyDescent="0.35">
      <c r="A1144">
        <v>20260501</v>
      </c>
      <c r="B1144" t="s">
        <v>1249</v>
      </c>
      <c r="C1144">
        <v>5100</v>
      </c>
      <c r="D1144" t="s">
        <v>485</v>
      </c>
      <c r="E1144">
        <v>92700</v>
      </c>
      <c r="F1144" t="s">
        <v>1453</v>
      </c>
      <c r="G1144">
        <v>0.88</v>
      </c>
      <c r="H1144" t="s">
        <v>1462</v>
      </c>
      <c r="I1144" t="s">
        <v>1463</v>
      </c>
    </row>
    <row r="1145" spans="1:9" x14ac:dyDescent="0.35">
      <c r="A1145">
        <v>20260501</v>
      </c>
      <c r="B1145" t="s">
        <v>1249</v>
      </c>
      <c r="C1145">
        <v>3400</v>
      </c>
      <c r="D1145" t="s">
        <v>485</v>
      </c>
      <c r="E1145">
        <v>-92700</v>
      </c>
      <c r="F1145" t="s">
        <v>1453</v>
      </c>
      <c r="G1145">
        <v>0.88</v>
      </c>
      <c r="H1145" t="s">
        <v>1462</v>
      </c>
      <c r="I1145" t="s">
        <v>1463</v>
      </c>
    </row>
    <row r="1146" spans="1:9" x14ac:dyDescent="0.35">
      <c r="A1146">
        <v>20260501</v>
      </c>
      <c r="B1146" t="s">
        <v>1169</v>
      </c>
      <c r="C1146">
        <v>5000</v>
      </c>
      <c r="D1146" t="s">
        <v>1131</v>
      </c>
      <c r="E1146">
        <v>473800</v>
      </c>
      <c r="F1146" t="s">
        <v>1453</v>
      </c>
      <c r="G1146">
        <v>0.88</v>
      </c>
      <c r="H1146" t="s">
        <v>1462</v>
      </c>
      <c r="I1146" t="s">
        <v>1463</v>
      </c>
    </row>
    <row r="1147" spans="1:9" x14ac:dyDescent="0.35">
      <c r="A1147">
        <v>20260501</v>
      </c>
      <c r="B1147" t="s">
        <v>1169</v>
      </c>
      <c r="C1147">
        <v>5400</v>
      </c>
      <c r="D1147" t="s">
        <v>1131</v>
      </c>
      <c r="E1147">
        <v>66805.8</v>
      </c>
      <c r="F1147" t="s">
        <v>1453</v>
      </c>
      <c r="G1147">
        <v>0.88</v>
      </c>
      <c r="H1147" t="s">
        <v>1462</v>
      </c>
      <c r="I1147" t="s">
        <v>1463</v>
      </c>
    </row>
    <row r="1148" spans="1:9" x14ac:dyDescent="0.35">
      <c r="A1148">
        <v>20260501</v>
      </c>
      <c r="B1148" t="s">
        <v>1169</v>
      </c>
      <c r="C1148">
        <v>6300</v>
      </c>
      <c r="D1148" t="s">
        <v>1131</v>
      </c>
      <c r="E1148">
        <v>87550</v>
      </c>
      <c r="F1148" t="s">
        <v>1453</v>
      </c>
      <c r="G1148">
        <v>0.88</v>
      </c>
      <c r="H1148" t="s">
        <v>1462</v>
      </c>
      <c r="I1148" t="s">
        <v>1463</v>
      </c>
    </row>
    <row r="1149" spans="1:9" x14ac:dyDescent="0.35">
      <c r="A1149">
        <v>20260501</v>
      </c>
      <c r="B1149" t="s">
        <v>1169</v>
      </c>
      <c r="C1149">
        <v>3900</v>
      </c>
      <c r="D1149" t="s">
        <v>1131</v>
      </c>
      <c r="E1149">
        <v>-669500</v>
      </c>
      <c r="F1149" t="s">
        <v>1453</v>
      </c>
      <c r="G1149">
        <v>0.88</v>
      </c>
      <c r="H1149" t="s">
        <v>1462</v>
      </c>
      <c r="I1149" t="s">
        <v>1463</v>
      </c>
    </row>
    <row r="1150" spans="1:9" x14ac:dyDescent="0.35">
      <c r="A1150">
        <v>20260501</v>
      </c>
      <c r="B1150" t="s">
        <v>1260</v>
      </c>
      <c r="C1150">
        <v>5100</v>
      </c>
      <c r="D1150" t="s">
        <v>485</v>
      </c>
      <c r="E1150">
        <v>92700</v>
      </c>
      <c r="F1150" t="s">
        <v>1453</v>
      </c>
      <c r="G1150">
        <v>0.88</v>
      </c>
      <c r="H1150" t="s">
        <v>1462</v>
      </c>
      <c r="I1150" t="s">
        <v>1463</v>
      </c>
    </row>
    <row r="1151" spans="1:9" x14ac:dyDescent="0.35">
      <c r="A1151">
        <v>20260501</v>
      </c>
      <c r="B1151" t="s">
        <v>1260</v>
      </c>
      <c r="C1151">
        <v>3400</v>
      </c>
      <c r="D1151" t="s">
        <v>485</v>
      </c>
      <c r="E1151">
        <v>-92700</v>
      </c>
      <c r="F1151" t="s">
        <v>1453</v>
      </c>
      <c r="G1151">
        <v>0.88</v>
      </c>
      <c r="H1151" t="s">
        <v>1462</v>
      </c>
      <c r="I1151" t="s">
        <v>1463</v>
      </c>
    </row>
    <row r="1152" spans="1:9" x14ac:dyDescent="0.35">
      <c r="A1152">
        <v>20260501</v>
      </c>
      <c r="B1152" t="s">
        <v>1175</v>
      </c>
      <c r="C1152">
        <v>5000</v>
      </c>
      <c r="D1152" t="s">
        <v>1131</v>
      </c>
      <c r="E1152">
        <v>473800</v>
      </c>
      <c r="F1152" t="s">
        <v>1453</v>
      </c>
      <c r="G1152">
        <v>0.88</v>
      </c>
      <c r="H1152" t="s">
        <v>1462</v>
      </c>
      <c r="I1152" t="s">
        <v>1463</v>
      </c>
    </row>
    <row r="1153" spans="1:9" x14ac:dyDescent="0.35">
      <c r="A1153">
        <v>20260501</v>
      </c>
      <c r="B1153" t="s">
        <v>1175</v>
      </c>
      <c r="C1153">
        <v>5400</v>
      </c>
      <c r="D1153" t="s">
        <v>1131</v>
      </c>
      <c r="E1153">
        <v>66805.8</v>
      </c>
      <c r="F1153" t="s">
        <v>1453</v>
      </c>
      <c r="G1153">
        <v>0.88</v>
      </c>
      <c r="H1153" t="s">
        <v>1462</v>
      </c>
      <c r="I1153" t="s">
        <v>1463</v>
      </c>
    </row>
    <row r="1154" spans="1:9" x14ac:dyDescent="0.35">
      <c r="A1154">
        <v>20260501</v>
      </c>
      <c r="B1154" t="s">
        <v>1175</v>
      </c>
      <c r="C1154">
        <v>6300</v>
      </c>
      <c r="D1154" t="s">
        <v>1131</v>
      </c>
      <c r="E1154">
        <v>87550</v>
      </c>
      <c r="F1154" t="s">
        <v>1453</v>
      </c>
      <c r="G1154">
        <v>0.88</v>
      </c>
      <c r="H1154" t="s">
        <v>1462</v>
      </c>
      <c r="I1154" t="s">
        <v>1463</v>
      </c>
    </row>
    <row r="1155" spans="1:9" x14ac:dyDescent="0.35">
      <c r="A1155">
        <v>20260501</v>
      </c>
      <c r="B1155" t="s">
        <v>1175</v>
      </c>
      <c r="C1155">
        <v>3900</v>
      </c>
      <c r="D1155" t="s">
        <v>1131</v>
      </c>
      <c r="E1155">
        <v>-669500</v>
      </c>
      <c r="F1155" t="s">
        <v>1453</v>
      </c>
      <c r="G1155">
        <v>0.88</v>
      </c>
      <c r="H1155" t="s">
        <v>1462</v>
      </c>
      <c r="I1155" t="s">
        <v>1463</v>
      </c>
    </row>
    <row r="1156" spans="1:9" x14ac:dyDescent="0.35">
      <c r="A1156">
        <v>20260501</v>
      </c>
      <c r="B1156" t="s">
        <v>1247</v>
      </c>
      <c r="C1156">
        <v>5100</v>
      </c>
      <c r="D1156" t="s">
        <v>485</v>
      </c>
      <c r="E1156">
        <v>92700</v>
      </c>
      <c r="F1156" t="s">
        <v>1453</v>
      </c>
      <c r="G1156">
        <v>0.88</v>
      </c>
      <c r="H1156" t="s">
        <v>1462</v>
      </c>
      <c r="I1156" t="s">
        <v>1463</v>
      </c>
    </row>
    <row r="1157" spans="1:9" x14ac:dyDescent="0.35">
      <c r="A1157">
        <v>20260501</v>
      </c>
      <c r="B1157" t="s">
        <v>1247</v>
      </c>
      <c r="C1157">
        <v>3400</v>
      </c>
      <c r="D1157" t="s">
        <v>485</v>
      </c>
      <c r="E1157">
        <v>-92700</v>
      </c>
      <c r="F1157" t="s">
        <v>1453</v>
      </c>
      <c r="G1157">
        <v>0.88</v>
      </c>
      <c r="H1157" t="s">
        <v>1462</v>
      </c>
      <c r="I1157" t="s">
        <v>1463</v>
      </c>
    </row>
    <row r="1158" spans="1:9" x14ac:dyDescent="0.35">
      <c r="A1158">
        <v>20260501</v>
      </c>
      <c r="B1158" t="s">
        <v>1130</v>
      </c>
      <c r="C1158">
        <v>5000</v>
      </c>
      <c r="D1158" t="s">
        <v>1131</v>
      </c>
      <c r="E1158">
        <v>473800</v>
      </c>
      <c r="F1158" t="s">
        <v>1453</v>
      </c>
      <c r="G1158">
        <v>0.88</v>
      </c>
      <c r="H1158" t="s">
        <v>1462</v>
      </c>
      <c r="I1158" t="s">
        <v>1463</v>
      </c>
    </row>
    <row r="1159" spans="1:9" x14ac:dyDescent="0.35">
      <c r="A1159">
        <v>20260501</v>
      </c>
      <c r="B1159" t="s">
        <v>1130</v>
      </c>
      <c r="C1159">
        <v>5400</v>
      </c>
      <c r="D1159" t="s">
        <v>1131</v>
      </c>
      <c r="E1159">
        <v>66805.8</v>
      </c>
      <c r="F1159" t="s">
        <v>1453</v>
      </c>
      <c r="G1159">
        <v>0.88</v>
      </c>
      <c r="H1159" t="s">
        <v>1462</v>
      </c>
      <c r="I1159" t="s">
        <v>1463</v>
      </c>
    </row>
    <row r="1160" spans="1:9" x14ac:dyDescent="0.35">
      <c r="A1160">
        <v>20260501</v>
      </c>
      <c r="B1160" t="s">
        <v>1130</v>
      </c>
      <c r="C1160">
        <v>6300</v>
      </c>
      <c r="D1160" t="s">
        <v>1131</v>
      </c>
      <c r="E1160">
        <v>87550</v>
      </c>
      <c r="F1160" t="s">
        <v>1453</v>
      </c>
      <c r="G1160">
        <v>0.88</v>
      </c>
      <c r="H1160" t="s">
        <v>1462</v>
      </c>
      <c r="I1160" t="s">
        <v>1463</v>
      </c>
    </row>
    <row r="1161" spans="1:9" x14ac:dyDescent="0.35">
      <c r="A1161">
        <v>20260501</v>
      </c>
      <c r="B1161" t="s">
        <v>1130</v>
      </c>
      <c r="C1161">
        <v>3900</v>
      </c>
      <c r="D1161" t="s">
        <v>1131</v>
      </c>
      <c r="E1161">
        <v>-669500</v>
      </c>
      <c r="F1161" t="s">
        <v>1453</v>
      </c>
      <c r="G1161">
        <v>0.88</v>
      </c>
      <c r="H1161" t="s">
        <v>1462</v>
      </c>
      <c r="I1161" t="s">
        <v>1463</v>
      </c>
    </row>
    <row r="1162" spans="1:9" x14ac:dyDescent="0.35">
      <c r="A1162">
        <v>20260501</v>
      </c>
      <c r="B1162" t="s">
        <v>1265</v>
      </c>
      <c r="C1162">
        <v>5100</v>
      </c>
      <c r="D1162" t="s">
        <v>485</v>
      </c>
      <c r="E1162">
        <v>92700</v>
      </c>
      <c r="F1162" t="s">
        <v>1453</v>
      </c>
      <c r="G1162">
        <v>0.88</v>
      </c>
      <c r="H1162" t="s">
        <v>1462</v>
      </c>
      <c r="I1162" t="s">
        <v>1463</v>
      </c>
    </row>
    <row r="1163" spans="1:9" x14ac:dyDescent="0.35">
      <c r="A1163">
        <v>20260501</v>
      </c>
      <c r="B1163" t="s">
        <v>1265</v>
      </c>
      <c r="C1163">
        <v>3400</v>
      </c>
      <c r="D1163" t="s">
        <v>485</v>
      </c>
      <c r="E1163">
        <v>-92700</v>
      </c>
      <c r="F1163" t="s">
        <v>1453</v>
      </c>
      <c r="G1163">
        <v>0.88</v>
      </c>
      <c r="H1163" t="s">
        <v>1462</v>
      </c>
      <c r="I1163" t="s">
        <v>1463</v>
      </c>
    </row>
    <row r="1164" spans="1:9" x14ac:dyDescent="0.35">
      <c r="A1164">
        <v>20260501</v>
      </c>
      <c r="B1164" t="s">
        <v>1173</v>
      </c>
      <c r="C1164">
        <v>5000</v>
      </c>
      <c r="D1164" t="s">
        <v>1131</v>
      </c>
      <c r="E1164">
        <v>473800</v>
      </c>
      <c r="F1164" t="s">
        <v>1453</v>
      </c>
      <c r="G1164">
        <v>0.88</v>
      </c>
      <c r="H1164" t="s">
        <v>1462</v>
      </c>
      <c r="I1164" t="s">
        <v>1463</v>
      </c>
    </row>
    <row r="1165" spans="1:9" x14ac:dyDescent="0.35">
      <c r="A1165">
        <v>20260501</v>
      </c>
      <c r="B1165" t="s">
        <v>1173</v>
      </c>
      <c r="C1165">
        <v>5400</v>
      </c>
      <c r="D1165" t="s">
        <v>1131</v>
      </c>
      <c r="E1165">
        <v>66805.8</v>
      </c>
      <c r="F1165" t="s">
        <v>1453</v>
      </c>
      <c r="G1165">
        <v>0.88</v>
      </c>
      <c r="H1165" t="s">
        <v>1462</v>
      </c>
      <c r="I1165" t="s">
        <v>1463</v>
      </c>
    </row>
    <row r="1166" spans="1:9" x14ac:dyDescent="0.35">
      <c r="A1166">
        <v>20260501</v>
      </c>
      <c r="B1166" t="s">
        <v>1173</v>
      </c>
      <c r="C1166">
        <v>6300</v>
      </c>
      <c r="D1166" t="s">
        <v>1131</v>
      </c>
      <c r="E1166">
        <v>87550</v>
      </c>
      <c r="F1166" t="s">
        <v>1453</v>
      </c>
      <c r="G1166">
        <v>0.88</v>
      </c>
      <c r="H1166" t="s">
        <v>1462</v>
      </c>
      <c r="I1166" t="s">
        <v>1463</v>
      </c>
    </row>
    <row r="1167" spans="1:9" x14ac:dyDescent="0.35">
      <c r="A1167">
        <v>20260501</v>
      </c>
      <c r="B1167" t="s">
        <v>1173</v>
      </c>
      <c r="C1167">
        <v>3900</v>
      </c>
      <c r="D1167" t="s">
        <v>1131</v>
      </c>
      <c r="E1167">
        <v>-669500</v>
      </c>
      <c r="F1167" t="s">
        <v>1453</v>
      </c>
      <c r="G1167">
        <v>0.88</v>
      </c>
      <c r="H1167" t="s">
        <v>1462</v>
      </c>
      <c r="I1167" t="s">
        <v>1463</v>
      </c>
    </row>
    <row r="1168" spans="1:9" x14ac:dyDescent="0.35">
      <c r="A1168">
        <v>20260501</v>
      </c>
      <c r="B1168" t="s">
        <v>1255</v>
      </c>
      <c r="C1168">
        <v>5100</v>
      </c>
      <c r="D1168" t="s">
        <v>485</v>
      </c>
      <c r="E1168">
        <v>92700</v>
      </c>
      <c r="F1168" t="s">
        <v>1453</v>
      </c>
      <c r="G1168">
        <v>0.88</v>
      </c>
      <c r="H1168" t="s">
        <v>1462</v>
      </c>
      <c r="I1168" t="s">
        <v>1463</v>
      </c>
    </row>
    <row r="1169" spans="1:9" x14ac:dyDescent="0.35">
      <c r="A1169">
        <v>20260501</v>
      </c>
      <c r="B1169" t="s">
        <v>1255</v>
      </c>
      <c r="C1169">
        <v>3400</v>
      </c>
      <c r="D1169" t="s">
        <v>485</v>
      </c>
      <c r="E1169">
        <v>-92700</v>
      </c>
      <c r="F1169" t="s">
        <v>1453</v>
      </c>
      <c r="G1169">
        <v>0.88</v>
      </c>
      <c r="H1169" t="s">
        <v>1462</v>
      </c>
      <c r="I1169" t="s">
        <v>1463</v>
      </c>
    </row>
    <row r="1170" spans="1:9" x14ac:dyDescent="0.35">
      <c r="A1170">
        <v>20260501</v>
      </c>
      <c r="B1170" t="s">
        <v>1155</v>
      </c>
      <c r="C1170">
        <v>5000</v>
      </c>
      <c r="D1170" t="s">
        <v>1131</v>
      </c>
      <c r="E1170">
        <v>473800</v>
      </c>
      <c r="F1170" t="s">
        <v>1453</v>
      </c>
      <c r="G1170">
        <v>0.88</v>
      </c>
      <c r="H1170" t="s">
        <v>1462</v>
      </c>
      <c r="I1170" t="s">
        <v>1463</v>
      </c>
    </row>
    <row r="1171" spans="1:9" x14ac:dyDescent="0.35">
      <c r="A1171">
        <v>20260501</v>
      </c>
      <c r="B1171" t="s">
        <v>1155</v>
      </c>
      <c r="C1171">
        <v>5400</v>
      </c>
      <c r="D1171" t="s">
        <v>1131</v>
      </c>
      <c r="E1171">
        <v>66805.8</v>
      </c>
      <c r="F1171" t="s">
        <v>1453</v>
      </c>
      <c r="G1171">
        <v>0.88</v>
      </c>
      <c r="H1171" t="s">
        <v>1462</v>
      </c>
      <c r="I1171" t="s">
        <v>1463</v>
      </c>
    </row>
    <row r="1172" spans="1:9" x14ac:dyDescent="0.35">
      <c r="A1172">
        <v>20260501</v>
      </c>
      <c r="B1172" t="s">
        <v>1155</v>
      </c>
      <c r="C1172">
        <v>6300</v>
      </c>
      <c r="D1172" t="s">
        <v>1131</v>
      </c>
      <c r="E1172">
        <v>87550</v>
      </c>
      <c r="F1172" t="s">
        <v>1453</v>
      </c>
      <c r="G1172">
        <v>0.88</v>
      </c>
      <c r="H1172" t="s">
        <v>1462</v>
      </c>
      <c r="I1172" t="s">
        <v>1463</v>
      </c>
    </row>
    <row r="1173" spans="1:9" x14ac:dyDescent="0.35">
      <c r="A1173">
        <v>20260501</v>
      </c>
      <c r="B1173" t="s">
        <v>1155</v>
      </c>
      <c r="C1173">
        <v>3900</v>
      </c>
      <c r="D1173" t="s">
        <v>1131</v>
      </c>
      <c r="E1173">
        <v>-669500</v>
      </c>
      <c r="F1173" t="s">
        <v>1453</v>
      </c>
      <c r="G1173">
        <v>0.88</v>
      </c>
      <c r="H1173" t="s">
        <v>1462</v>
      </c>
      <c r="I1173" t="s">
        <v>1463</v>
      </c>
    </row>
    <row r="1174" spans="1:9" x14ac:dyDescent="0.35">
      <c r="A1174">
        <v>20260501</v>
      </c>
      <c r="B1174" t="s">
        <v>1138</v>
      </c>
      <c r="C1174">
        <v>5000</v>
      </c>
      <c r="D1174" t="s">
        <v>1131</v>
      </c>
      <c r="E1174">
        <v>473800</v>
      </c>
      <c r="F1174" t="s">
        <v>1453</v>
      </c>
      <c r="G1174">
        <v>0.88</v>
      </c>
      <c r="H1174" t="s">
        <v>1462</v>
      </c>
      <c r="I1174" t="s">
        <v>1463</v>
      </c>
    </row>
    <row r="1175" spans="1:9" x14ac:dyDescent="0.35">
      <c r="A1175">
        <v>20260501</v>
      </c>
      <c r="B1175" t="s">
        <v>1138</v>
      </c>
      <c r="C1175">
        <v>5400</v>
      </c>
      <c r="D1175" t="s">
        <v>1131</v>
      </c>
      <c r="E1175">
        <v>66805.8</v>
      </c>
      <c r="F1175" t="s">
        <v>1453</v>
      </c>
      <c r="G1175">
        <v>0.88</v>
      </c>
      <c r="H1175" t="s">
        <v>1462</v>
      </c>
      <c r="I1175" t="s">
        <v>1463</v>
      </c>
    </row>
    <row r="1176" spans="1:9" x14ac:dyDescent="0.35">
      <c r="A1176">
        <v>20260501</v>
      </c>
      <c r="B1176" t="s">
        <v>1138</v>
      </c>
      <c r="C1176">
        <v>6300</v>
      </c>
      <c r="D1176" t="s">
        <v>1131</v>
      </c>
      <c r="E1176">
        <v>87550</v>
      </c>
      <c r="F1176" t="s">
        <v>1453</v>
      </c>
      <c r="G1176">
        <v>0.88</v>
      </c>
      <c r="H1176" t="s">
        <v>1462</v>
      </c>
      <c r="I1176" t="s">
        <v>1463</v>
      </c>
    </row>
    <row r="1177" spans="1:9" x14ac:dyDescent="0.35">
      <c r="A1177">
        <v>20260501</v>
      </c>
      <c r="B1177" t="s">
        <v>1138</v>
      </c>
      <c r="C1177">
        <v>3900</v>
      </c>
      <c r="D1177" t="s">
        <v>1131</v>
      </c>
      <c r="E1177">
        <v>-669500</v>
      </c>
      <c r="F1177" t="s">
        <v>1453</v>
      </c>
      <c r="G1177">
        <v>0.88</v>
      </c>
      <c r="H1177" t="s">
        <v>1462</v>
      </c>
      <c r="I1177" t="s">
        <v>1463</v>
      </c>
    </row>
    <row r="1178" spans="1:9" x14ac:dyDescent="0.35">
      <c r="A1178">
        <v>20260601</v>
      </c>
      <c r="B1178" t="s">
        <v>1150</v>
      </c>
      <c r="C1178">
        <v>5000</v>
      </c>
      <c r="D1178" t="s">
        <v>1131</v>
      </c>
      <c r="E1178">
        <v>473800</v>
      </c>
      <c r="F1178" t="s">
        <v>1453</v>
      </c>
      <c r="G1178">
        <v>0.88</v>
      </c>
      <c r="H1178" t="s">
        <v>1462</v>
      </c>
      <c r="I1178" t="s">
        <v>1463</v>
      </c>
    </row>
    <row r="1179" spans="1:9" x14ac:dyDescent="0.35">
      <c r="A1179">
        <v>20260601</v>
      </c>
      <c r="B1179" t="s">
        <v>1150</v>
      </c>
      <c r="C1179">
        <v>5400</v>
      </c>
      <c r="D1179" t="s">
        <v>1131</v>
      </c>
      <c r="E1179">
        <v>66805.8</v>
      </c>
      <c r="F1179" t="s">
        <v>1453</v>
      </c>
      <c r="G1179">
        <v>0.88</v>
      </c>
      <c r="H1179" t="s">
        <v>1462</v>
      </c>
      <c r="I1179" t="s">
        <v>1463</v>
      </c>
    </row>
    <row r="1180" spans="1:9" x14ac:dyDescent="0.35">
      <c r="A1180">
        <v>20260601</v>
      </c>
      <c r="B1180" t="s">
        <v>1150</v>
      </c>
      <c r="C1180">
        <v>6300</v>
      </c>
      <c r="D1180" t="s">
        <v>1131</v>
      </c>
      <c r="E1180">
        <v>87550</v>
      </c>
      <c r="F1180" t="s">
        <v>1453</v>
      </c>
      <c r="G1180">
        <v>0.88</v>
      </c>
      <c r="H1180" t="s">
        <v>1462</v>
      </c>
      <c r="I1180" t="s">
        <v>1463</v>
      </c>
    </row>
    <row r="1181" spans="1:9" x14ac:dyDescent="0.35">
      <c r="A1181">
        <v>20260601</v>
      </c>
      <c r="B1181" t="s">
        <v>1150</v>
      </c>
      <c r="C1181">
        <v>3900</v>
      </c>
      <c r="D1181" t="s">
        <v>1131</v>
      </c>
      <c r="E1181">
        <v>-669500</v>
      </c>
      <c r="F1181" t="s">
        <v>1453</v>
      </c>
      <c r="G1181">
        <v>0.88</v>
      </c>
      <c r="H1181" t="s">
        <v>1462</v>
      </c>
      <c r="I1181" t="s">
        <v>1463</v>
      </c>
    </row>
    <row r="1182" spans="1:9" x14ac:dyDescent="0.35">
      <c r="A1182">
        <v>20260601</v>
      </c>
      <c r="B1182" t="s">
        <v>1272</v>
      </c>
      <c r="C1182">
        <v>5100</v>
      </c>
      <c r="D1182" t="s">
        <v>485</v>
      </c>
      <c r="E1182">
        <v>92700</v>
      </c>
      <c r="F1182" t="s">
        <v>1453</v>
      </c>
      <c r="G1182">
        <v>0.88</v>
      </c>
      <c r="H1182" t="s">
        <v>1462</v>
      </c>
      <c r="I1182" t="s">
        <v>1463</v>
      </c>
    </row>
    <row r="1183" spans="1:9" x14ac:dyDescent="0.35">
      <c r="A1183">
        <v>20260601</v>
      </c>
      <c r="B1183" t="s">
        <v>1272</v>
      </c>
      <c r="C1183">
        <v>3400</v>
      </c>
      <c r="D1183" t="s">
        <v>485</v>
      </c>
      <c r="E1183">
        <v>-92700</v>
      </c>
      <c r="F1183" t="s">
        <v>1453</v>
      </c>
      <c r="G1183">
        <v>0.88</v>
      </c>
      <c r="H1183" t="s">
        <v>1462</v>
      </c>
      <c r="I1183" t="s">
        <v>1463</v>
      </c>
    </row>
    <row r="1184" spans="1:9" x14ac:dyDescent="0.35">
      <c r="A1184">
        <v>20260601</v>
      </c>
      <c r="B1184" t="s">
        <v>1158</v>
      </c>
      <c r="C1184">
        <v>5000</v>
      </c>
      <c r="D1184" t="s">
        <v>1131</v>
      </c>
      <c r="E1184">
        <v>473800</v>
      </c>
      <c r="F1184" t="s">
        <v>1453</v>
      </c>
      <c r="G1184">
        <v>0.88</v>
      </c>
      <c r="H1184" t="s">
        <v>1462</v>
      </c>
      <c r="I1184" t="s">
        <v>1463</v>
      </c>
    </row>
    <row r="1185" spans="1:9" x14ac:dyDescent="0.35">
      <c r="A1185">
        <v>20260601</v>
      </c>
      <c r="B1185" t="s">
        <v>1158</v>
      </c>
      <c r="C1185">
        <v>5400</v>
      </c>
      <c r="D1185" t="s">
        <v>1131</v>
      </c>
      <c r="E1185">
        <v>66805.8</v>
      </c>
      <c r="F1185" t="s">
        <v>1453</v>
      </c>
      <c r="G1185">
        <v>0.88</v>
      </c>
      <c r="H1185" t="s">
        <v>1462</v>
      </c>
      <c r="I1185" t="s">
        <v>1463</v>
      </c>
    </row>
    <row r="1186" spans="1:9" x14ac:dyDescent="0.35">
      <c r="A1186">
        <v>20260601</v>
      </c>
      <c r="B1186" t="s">
        <v>1158</v>
      </c>
      <c r="C1186">
        <v>6300</v>
      </c>
      <c r="D1186" t="s">
        <v>1131</v>
      </c>
      <c r="E1186">
        <v>87550</v>
      </c>
      <c r="F1186" t="s">
        <v>1453</v>
      </c>
      <c r="G1186">
        <v>0.88</v>
      </c>
      <c r="H1186" t="s">
        <v>1462</v>
      </c>
      <c r="I1186" t="s">
        <v>1463</v>
      </c>
    </row>
    <row r="1187" spans="1:9" x14ac:dyDescent="0.35">
      <c r="A1187">
        <v>20260601</v>
      </c>
      <c r="B1187" t="s">
        <v>1158</v>
      </c>
      <c r="C1187">
        <v>3900</v>
      </c>
      <c r="D1187" t="s">
        <v>1131</v>
      </c>
      <c r="E1187">
        <v>-669500</v>
      </c>
      <c r="F1187" t="s">
        <v>1453</v>
      </c>
      <c r="G1187">
        <v>0.88</v>
      </c>
      <c r="H1187" t="s">
        <v>1462</v>
      </c>
      <c r="I1187" t="s">
        <v>1463</v>
      </c>
    </row>
    <row r="1188" spans="1:9" x14ac:dyDescent="0.35">
      <c r="A1188">
        <v>20260601</v>
      </c>
      <c r="B1188" t="s">
        <v>1243</v>
      </c>
      <c r="C1188">
        <v>5100</v>
      </c>
      <c r="D1188" t="s">
        <v>485</v>
      </c>
      <c r="E1188">
        <v>92700</v>
      </c>
      <c r="F1188" t="s">
        <v>1453</v>
      </c>
      <c r="G1188">
        <v>0.88</v>
      </c>
      <c r="H1188" t="s">
        <v>1462</v>
      </c>
      <c r="I1188" t="s">
        <v>1463</v>
      </c>
    </row>
    <row r="1189" spans="1:9" x14ac:dyDescent="0.35">
      <c r="A1189">
        <v>20260601</v>
      </c>
      <c r="B1189" t="s">
        <v>1243</v>
      </c>
      <c r="C1189">
        <v>3400</v>
      </c>
      <c r="D1189" t="s">
        <v>485</v>
      </c>
      <c r="E1189">
        <v>-92700</v>
      </c>
      <c r="F1189" t="s">
        <v>1453</v>
      </c>
      <c r="G1189">
        <v>0.88</v>
      </c>
      <c r="H1189" t="s">
        <v>1462</v>
      </c>
      <c r="I1189" t="s">
        <v>1463</v>
      </c>
    </row>
    <row r="1190" spans="1:9" x14ac:dyDescent="0.35">
      <c r="A1190">
        <v>20260601</v>
      </c>
      <c r="B1190" t="s">
        <v>1205</v>
      </c>
      <c r="C1190">
        <v>5000</v>
      </c>
      <c r="D1190" t="s">
        <v>1131</v>
      </c>
      <c r="E1190">
        <v>473800</v>
      </c>
      <c r="F1190" t="s">
        <v>1453</v>
      </c>
      <c r="G1190">
        <v>0.88</v>
      </c>
      <c r="H1190" t="s">
        <v>1462</v>
      </c>
      <c r="I1190" t="s">
        <v>1463</v>
      </c>
    </row>
    <row r="1191" spans="1:9" x14ac:dyDescent="0.35">
      <c r="A1191">
        <v>20260601</v>
      </c>
      <c r="B1191" t="s">
        <v>1205</v>
      </c>
      <c r="C1191">
        <v>5400</v>
      </c>
      <c r="D1191" t="s">
        <v>1131</v>
      </c>
      <c r="E1191">
        <v>66805.8</v>
      </c>
      <c r="F1191" t="s">
        <v>1453</v>
      </c>
      <c r="G1191">
        <v>0.88</v>
      </c>
      <c r="H1191" t="s">
        <v>1462</v>
      </c>
      <c r="I1191" t="s">
        <v>1463</v>
      </c>
    </row>
    <row r="1192" spans="1:9" x14ac:dyDescent="0.35">
      <c r="A1192">
        <v>20260601</v>
      </c>
      <c r="B1192" t="s">
        <v>1205</v>
      </c>
      <c r="C1192">
        <v>6300</v>
      </c>
      <c r="D1192" t="s">
        <v>1131</v>
      </c>
      <c r="E1192">
        <v>87550</v>
      </c>
      <c r="F1192" t="s">
        <v>1453</v>
      </c>
      <c r="G1192">
        <v>0.88</v>
      </c>
      <c r="H1192" t="s">
        <v>1462</v>
      </c>
      <c r="I1192" t="s">
        <v>1463</v>
      </c>
    </row>
    <row r="1193" spans="1:9" x14ac:dyDescent="0.35">
      <c r="A1193">
        <v>20260601</v>
      </c>
      <c r="B1193" t="s">
        <v>1205</v>
      </c>
      <c r="C1193">
        <v>3900</v>
      </c>
      <c r="D1193" t="s">
        <v>1131</v>
      </c>
      <c r="E1193">
        <v>-669500</v>
      </c>
      <c r="F1193" t="s">
        <v>1453</v>
      </c>
      <c r="G1193">
        <v>0.88</v>
      </c>
      <c r="H1193" t="s">
        <v>1462</v>
      </c>
      <c r="I1193" t="s">
        <v>1463</v>
      </c>
    </row>
    <row r="1194" spans="1:9" x14ac:dyDescent="0.35">
      <c r="A1194">
        <v>20260601</v>
      </c>
      <c r="B1194" t="s">
        <v>1257</v>
      </c>
      <c r="C1194">
        <v>5100</v>
      </c>
      <c r="D1194" t="s">
        <v>485</v>
      </c>
      <c r="E1194">
        <v>92700</v>
      </c>
      <c r="F1194" t="s">
        <v>1453</v>
      </c>
      <c r="G1194">
        <v>0.88</v>
      </c>
      <c r="H1194" t="s">
        <v>1462</v>
      </c>
      <c r="I1194" t="s">
        <v>1463</v>
      </c>
    </row>
    <row r="1195" spans="1:9" x14ac:dyDescent="0.35">
      <c r="A1195">
        <v>20260601</v>
      </c>
      <c r="B1195" t="s">
        <v>1257</v>
      </c>
      <c r="C1195">
        <v>3400</v>
      </c>
      <c r="D1195" t="s">
        <v>485</v>
      </c>
      <c r="E1195">
        <v>-92700</v>
      </c>
      <c r="F1195" t="s">
        <v>1453</v>
      </c>
      <c r="G1195">
        <v>0.88</v>
      </c>
      <c r="H1195" t="s">
        <v>1462</v>
      </c>
      <c r="I1195" t="s">
        <v>1463</v>
      </c>
    </row>
    <row r="1196" spans="1:9" x14ac:dyDescent="0.35">
      <c r="A1196">
        <v>20260601</v>
      </c>
      <c r="B1196" t="s">
        <v>1164</v>
      </c>
      <c r="C1196">
        <v>5000</v>
      </c>
      <c r="D1196" t="s">
        <v>1131</v>
      </c>
      <c r="E1196">
        <v>473800</v>
      </c>
      <c r="F1196" t="s">
        <v>1453</v>
      </c>
      <c r="G1196">
        <v>0.88</v>
      </c>
      <c r="H1196" t="s">
        <v>1462</v>
      </c>
      <c r="I1196" t="s">
        <v>1463</v>
      </c>
    </row>
    <row r="1197" spans="1:9" x14ac:dyDescent="0.35">
      <c r="A1197">
        <v>20260601</v>
      </c>
      <c r="B1197" t="s">
        <v>1164</v>
      </c>
      <c r="C1197">
        <v>5400</v>
      </c>
      <c r="D1197" t="s">
        <v>1131</v>
      </c>
      <c r="E1197">
        <v>66805.8</v>
      </c>
      <c r="F1197" t="s">
        <v>1453</v>
      </c>
      <c r="G1197">
        <v>0.88</v>
      </c>
      <c r="H1197" t="s">
        <v>1462</v>
      </c>
      <c r="I1197" t="s">
        <v>1463</v>
      </c>
    </row>
    <row r="1198" spans="1:9" x14ac:dyDescent="0.35">
      <c r="A1198">
        <v>20260601</v>
      </c>
      <c r="B1198" t="s">
        <v>1164</v>
      </c>
      <c r="C1198">
        <v>6300</v>
      </c>
      <c r="D1198" t="s">
        <v>1131</v>
      </c>
      <c r="E1198">
        <v>87550</v>
      </c>
      <c r="F1198" t="s">
        <v>1453</v>
      </c>
      <c r="G1198">
        <v>0.88</v>
      </c>
      <c r="H1198" t="s">
        <v>1462</v>
      </c>
      <c r="I1198" t="s">
        <v>1463</v>
      </c>
    </row>
    <row r="1199" spans="1:9" x14ac:dyDescent="0.35">
      <c r="A1199">
        <v>20260601</v>
      </c>
      <c r="B1199" t="s">
        <v>1164</v>
      </c>
      <c r="C1199">
        <v>3900</v>
      </c>
      <c r="D1199" t="s">
        <v>1131</v>
      </c>
      <c r="E1199">
        <v>-669500</v>
      </c>
      <c r="F1199" t="s">
        <v>1453</v>
      </c>
      <c r="G1199">
        <v>0.88</v>
      </c>
      <c r="H1199" t="s">
        <v>1462</v>
      </c>
      <c r="I1199" t="s">
        <v>1463</v>
      </c>
    </row>
    <row r="1200" spans="1:9" x14ac:dyDescent="0.35">
      <c r="A1200">
        <v>20260601</v>
      </c>
      <c r="B1200" t="s">
        <v>1249</v>
      </c>
      <c r="C1200">
        <v>5100</v>
      </c>
      <c r="D1200" t="s">
        <v>485</v>
      </c>
      <c r="E1200">
        <v>92700</v>
      </c>
      <c r="F1200" t="s">
        <v>1453</v>
      </c>
      <c r="G1200">
        <v>0.88</v>
      </c>
      <c r="H1200" t="s">
        <v>1462</v>
      </c>
      <c r="I1200" t="s">
        <v>1463</v>
      </c>
    </row>
    <row r="1201" spans="1:9" x14ac:dyDescent="0.35">
      <c r="A1201">
        <v>20260601</v>
      </c>
      <c r="B1201" t="s">
        <v>1249</v>
      </c>
      <c r="C1201">
        <v>3400</v>
      </c>
      <c r="D1201" t="s">
        <v>485</v>
      </c>
      <c r="E1201">
        <v>-92700</v>
      </c>
      <c r="F1201" t="s">
        <v>1453</v>
      </c>
      <c r="G1201">
        <v>0.88</v>
      </c>
      <c r="H1201" t="s">
        <v>1462</v>
      </c>
      <c r="I1201" t="s">
        <v>1463</v>
      </c>
    </row>
    <row r="1202" spans="1:9" x14ac:dyDescent="0.35">
      <c r="A1202">
        <v>20260601</v>
      </c>
      <c r="B1202" t="s">
        <v>1169</v>
      </c>
      <c r="C1202">
        <v>5000</v>
      </c>
      <c r="D1202" t="s">
        <v>1131</v>
      </c>
      <c r="E1202">
        <v>473800</v>
      </c>
      <c r="F1202" t="s">
        <v>1453</v>
      </c>
      <c r="G1202">
        <v>0.88</v>
      </c>
      <c r="H1202" t="s">
        <v>1462</v>
      </c>
      <c r="I1202" t="s">
        <v>1463</v>
      </c>
    </row>
    <row r="1203" spans="1:9" x14ac:dyDescent="0.35">
      <c r="A1203">
        <v>20260601</v>
      </c>
      <c r="B1203" t="s">
        <v>1169</v>
      </c>
      <c r="C1203">
        <v>5400</v>
      </c>
      <c r="D1203" t="s">
        <v>1131</v>
      </c>
      <c r="E1203">
        <v>66805.8</v>
      </c>
      <c r="F1203" t="s">
        <v>1453</v>
      </c>
      <c r="G1203">
        <v>0.88</v>
      </c>
      <c r="H1203" t="s">
        <v>1462</v>
      </c>
      <c r="I1203" t="s">
        <v>1463</v>
      </c>
    </row>
    <row r="1204" spans="1:9" x14ac:dyDescent="0.35">
      <c r="A1204">
        <v>20260601</v>
      </c>
      <c r="B1204" t="s">
        <v>1169</v>
      </c>
      <c r="C1204">
        <v>6300</v>
      </c>
      <c r="D1204" t="s">
        <v>1131</v>
      </c>
      <c r="E1204">
        <v>87550</v>
      </c>
      <c r="F1204" t="s">
        <v>1453</v>
      </c>
      <c r="G1204">
        <v>0.88</v>
      </c>
      <c r="H1204" t="s">
        <v>1462</v>
      </c>
      <c r="I1204" t="s">
        <v>1463</v>
      </c>
    </row>
    <row r="1205" spans="1:9" x14ac:dyDescent="0.35">
      <c r="A1205">
        <v>20260601</v>
      </c>
      <c r="B1205" t="s">
        <v>1169</v>
      </c>
      <c r="C1205">
        <v>3900</v>
      </c>
      <c r="D1205" t="s">
        <v>1131</v>
      </c>
      <c r="E1205">
        <v>-669500</v>
      </c>
      <c r="F1205" t="s">
        <v>1453</v>
      </c>
      <c r="G1205">
        <v>0.88</v>
      </c>
      <c r="H1205" t="s">
        <v>1462</v>
      </c>
      <c r="I1205" t="s">
        <v>1463</v>
      </c>
    </row>
    <row r="1206" spans="1:9" x14ac:dyDescent="0.35">
      <c r="A1206">
        <v>20260601</v>
      </c>
      <c r="B1206" t="s">
        <v>1260</v>
      </c>
      <c r="C1206">
        <v>5100</v>
      </c>
      <c r="D1206" t="s">
        <v>485</v>
      </c>
      <c r="E1206">
        <v>92700</v>
      </c>
      <c r="F1206" t="s">
        <v>1453</v>
      </c>
      <c r="G1206">
        <v>0.88</v>
      </c>
      <c r="H1206" t="s">
        <v>1462</v>
      </c>
      <c r="I1206" t="s">
        <v>1463</v>
      </c>
    </row>
    <row r="1207" spans="1:9" x14ac:dyDescent="0.35">
      <c r="A1207">
        <v>20260601</v>
      </c>
      <c r="B1207" t="s">
        <v>1260</v>
      </c>
      <c r="C1207">
        <v>3400</v>
      </c>
      <c r="D1207" t="s">
        <v>485</v>
      </c>
      <c r="E1207">
        <v>-92700</v>
      </c>
      <c r="F1207" t="s">
        <v>1453</v>
      </c>
      <c r="G1207">
        <v>0.88</v>
      </c>
      <c r="H1207" t="s">
        <v>1462</v>
      </c>
      <c r="I1207" t="s">
        <v>1463</v>
      </c>
    </row>
    <row r="1208" spans="1:9" x14ac:dyDescent="0.35">
      <c r="A1208">
        <v>20260601</v>
      </c>
      <c r="B1208" t="s">
        <v>1175</v>
      </c>
      <c r="C1208">
        <v>5000</v>
      </c>
      <c r="D1208" t="s">
        <v>1131</v>
      </c>
      <c r="E1208">
        <v>473800</v>
      </c>
      <c r="F1208" t="s">
        <v>1453</v>
      </c>
      <c r="G1208">
        <v>0.88</v>
      </c>
      <c r="H1208" t="s">
        <v>1462</v>
      </c>
      <c r="I1208" t="s">
        <v>1463</v>
      </c>
    </row>
    <row r="1209" spans="1:9" x14ac:dyDescent="0.35">
      <c r="A1209">
        <v>20260601</v>
      </c>
      <c r="B1209" t="s">
        <v>1175</v>
      </c>
      <c r="C1209">
        <v>5400</v>
      </c>
      <c r="D1209" t="s">
        <v>1131</v>
      </c>
      <c r="E1209">
        <v>66805.8</v>
      </c>
      <c r="F1209" t="s">
        <v>1453</v>
      </c>
      <c r="G1209">
        <v>0.88</v>
      </c>
      <c r="H1209" t="s">
        <v>1462</v>
      </c>
      <c r="I1209" t="s">
        <v>1463</v>
      </c>
    </row>
    <row r="1210" spans="1:9" x14ac:dyDescent="0.35">
      <c r="A1210">
        <v>20260601</v>
      </c>
      <c r="B1210" t="s">
        <v>1175</v>
      </c>
      <c r="C1210">
        <v>6300</v>
      </c>
      <c r="D1210" t="s">
        <v>1131</v>
      </c>
      <c r="E1210">
        <v>87550</v>
      </c>
      <c r="F1210" t="s">
        <v>1453</v>
      </c>
      <c r="G1210">
        <v>0.88</v>
      </c>
      <c r="H1210" t="s">
        <v>1462</v>
      </c>
      <c r="I1210" t="s">
        <v>1463</v>
      </c>
    </row>
    <row r="1211" spans="1:9" x14ac:dyDescent="0.35">
      <c r="A1211">
        <v>20260601</v>
      </c>
      <c r="B1211" t="s">
        <v>1175</v>
      </c>
      <c r="C1211">
        <v>3900</v>
      </c>
      <c r="D1211" t="s">
        <v>1131</v>
      </c>
      <c r="E1211">
        <v>-669500</v>
      </c>
      <c r="F1211" t="s">
        <v>1453</v>
      </c>
      <c r="G1211">
        <v>0.88</v>
      </c>
      <c r="H1211" t="s">
        <v>1462</v>
      </c>
      <c r="I1211" t="s">
        <v>1463</v>
      </c>
    </row>
    <row r="1212" spans="1:9" x14ac:dyDescent="0.35">
      <c r="A1212">
        <v>20260601</v>
      </c>
      <c r="B1212" t="s">
        <v>1247</v>
      </c>
      <c r="C1212">
        <v>5100</v>
      </c>
      <c r="D1212" t="s">
        <v>485</v>
      </c>
      <c r="E1212">
        <v>92700</v>
      </c>
      <c r="F1212" t="s">
        <v>1453</v>
      </c>
      <c r="G1212">
        <v>0.88</v>
      </c>
      <c r="H1212" t="s">
        <v>1462</v>
      </c>
      <c r="I1212" t="s">
        <v>1463</v>
      </c>
    </row>
    <row r="1213" spans="1:9" x14ac:dyDescent="0.35">
      <c r="A1213">
        <v>20260601</v>
      </c>
      <c r="B1213" t="s">
        <v>1247</v>
      </c>
      <c r="C1213">
        <v>3400</v>
      </c>
      <c r="D1213" t="s">
        <v>485</v>
      </c>
      <c r="E1213">
        <v>-92700</v>
      </c>
      <c r="F1213" t="s">
        <v>1453</v>
      </c>
      <c r="G1213">
        <v>0.88</v>
      </c>
      <c r="H1213" t="s">
        <v>1462</v>
      </c>
      <c r="I1213" t="s">
        <v>1463</v>
      </c>
    </row>
    <row r="1214" spans="1:9" x14ac:dyDescent="0.35">
      <c r="A1214">
        <v>20260601</v>
      </c>
      <c r="B1214" t="s">
        <v>1130</v>
      </c>
      <c r="C1214">
        <v>5000</v>
      </c>
      <c r="D1214" t="s">
        <v>1131</v>
      </c>
      <c r="E1214">
        <v>473800</v>
      </c>
      <c r="F1214" t="s">
        <v>1453</v>
      </c>
      <c r="G1214">
        <v>0.88</v>
      </c>
      <c r="H1214" t="s">
        <v>1462</v>
      </c>
      <c r="I1214" t="s">
        <v>1463</v>
      </c>
    </row>
    <row r="1215" spans="1:9" x14ac:dyDescent="0.35">
      <c r="A1215">
        <v>20260601</v>
      </c>
      <c r="B1215" t="s">
        <v>1130</v>
      </c>
      <c r="C1215">
        <v>5400</v>
      </c>
      <c r="D1215" t="s">
        <v>1131</v>
      </c>
      <c r="E1215">
        <v>66805.8</v>
      </c>
      <c r="F1215" t="s">
        <v>1453</v>
      </c>
      <c r="G1215">
        <v>0.88</v>
      </c>
      <c r="H1215" t="s">
        <v>1462</v>
      </c>
      <c r="I1215" t="s">
        <v>1463</v>
      </c>
    </row>
    <row r="1216" spans="1:9" x14ac:dyDescent="0.35">
      <c r="A1216">
        <v>20260601</v>
      </c>
      <c r="B1216" t="s">
        <v>1130</v>
      </c>
      <c r="C1216">
        <v>6300</v>
      </c>
      <c r="D1216" t="s">
        <v>1131</v>
      </c>
      <c r="E1216">
        <v>87550</v>
      </c>
      <c r="F1216" t="s">
        <v>1453</v>
      </c>
      <c r="G1216">
        <v>0.88</v>
      </c>
      <c r="H1216" t="s">
        <v>1462</v>
      </c>
      <c r="I1216" t="s">
        <v>1463</v>
      </c>
    </row>
    <row r="1217" spans="1:9" x14ac:dyDescent="0.35">
      <c r="A1217">
        <v>20260601</v>
      </c>
      <c r="B1217" t="s">
        <v>1130</v>
      </c>
      <c r="C1217">
        <v>3900</v>
      </c>
      <c r="D1217" t="s">
        <v>1131</v>
      </c>
      <c r="E1217">
        <v>-669500</v>
      </c>
      <c r="F1217" t="s">
        <v>1453</v>
      </c>
      <c r="G1217">
        <v>0.88</v>
      </c>
      <c r="H1217" t="s">
        <v>1462</v>
      </c>
      <c r="I1217" t="s">
        <v>1463</v>
      </c>
    </row>
    <row r="1218" spans="1:9" x14ac:dyDescent="0.35">
      <c r="A1218">
        <v>20260601</v>
      </c>
      <c r="B1218" t="s">
        <v>1265</v>
      </c>
      <c r="C1218">
        <v>5100</v>
      </c>
      <c r="D1218" t="s">
        <v>485</v>
      </c>
      <c r="E1218">
        <v>92700</v>
      </c>
      <c r="F1218" t="s">
        <v>1453</v>
      </c>
      <c r="G1218">
        <v>0.88</v>
      </c>
      <c r="H1218" t="s">
        <v>1462</v>
      </c>
      <c r="I1218" t="s">
        <v>1463</v>
      </c>
    </row>
    <row r="1219" spans="1:9" x14ac:dyDescent="0.35">
      <c r="A1219">
        <v>20260601</v>
      </c>
      <c r="B1219" t="s">
        <v>1265</v>
      </c>
      <c r="C1219">
        <v>3400</v>
      </c>
      <c r="D1219" t="s">
        <v>485</v>
      </c>
      <c r="E1219">
        <v>-92700</v>
      </c>
      <c r="F1219" t="s">
        <v>1453</v>
      </c>
      <c r="G1219">
        <v>0.88</v>
      </c>
      <c r="H1219" t="s">
        <v>1462</v>
      </c>
      <c r="I1219" t="s">
        <v>1463</v>
      </c>
    </row>
    <row r="1220" spans="1:9" x14ac:dyDescent="0.35">
      <c r="A1220">
        <v>20260601</v>
      </c>
      <c r="B1220" t="s">
        <v>1173</v>
      </c>
      <c r="C1220">
        <v>5000</v>
      </c>
      <c r="D1220" t="s">
        <v>1131</v>
      </c>
      <c r="E1220">
        <v>473800</v>
      </c>
      <c r="F1220" t="s">
        <v>1453</v>
      </c>
      <c r="G1220">
        <v>0.88</v>
      </c>
      <c r="H1220" t="s">
        <v>1462</v>
      </c>
      <c r="I1220" t="s">
        <v>1463</v>
      </c>
    </row>
    <row r="1221" spans="1:9" x14ac:dyDescent="0.35">
      <c r="A1221">
        <v>20260601</v>
      </c>
      <c r="B1221" t="s">
        <v>1173</v>
      </c>
      <c r="C1221">
        <v>5400</v>
      </c>
      <c r="D1221" t="s">
        <v>1131</v>
      </c>
      <c r="E1221">
        <v>66805.8</v>
      </c>
      <c r="F1221" t="s">
        <v>1453</v>
      </c>
      <c r="G1221">
        <v>0.88</v>
      </c>
      <c r="H1221" t="s">
        <v>1462</v>
      </c>
      <c r="I1221" t="s">
        <v>1463</v>
      </c>
    </row>
    <row r="1222" spans="1:9" x14ac:dyDescent="0.35">
      <c r="A1222">
        <v>20260601</v>
      </c>
      <c r="B1222" t="s">
        <v>1173</v>
      </c>
      <c r="C1222">
        <v>6300</v>
      </c>
      <c r="D1222" t="s">
        <v>1131</v>
      </c>
      <c r="E1222">
        <v>87550</v>
      </c>
      <c r="F1222" t="s">
        <v>1453</v>
      </c>
      <c r="G1222">
        <v>0.88</v>
      </c>
      <c r="H1222" t="s">
        <v>1462</v>
      </c>
      <c r="I1222" t="s">
        <v>1463</v>
      </c>
    </row>
    <row r="1223" spans="1:9" x14ac:dyDescent="0.35">
      <c r="A1223">
        <v>20260601</v>
      </c>
      <c r="B1223" t="s">
        <v>1173</v>
      </c>
      <c r="C1223">
        <v>3900</v>
      </c>
      <c r="D1223" t="s">
        <v>1131</v>
      </c>
      <c r="E1223">
        <v>-669500</v>
      </c>
      <c r="F1223" t="s">
        <v>1453</v>
      </c>
      <c r="G1223">
        <v>0.88</v>
      </c>
      <c r="H1223" t="s">
        <v>1462</v>
      </c>
      <c r="I1223" t="s">
        <v>1463</v>
      </c>
    </row>
    <row r="1224" spans="1:9" x14ac:dyDescent="0.35">
      <c r="A1224">
        <v>20260601</v>
      </c>
      <c r="B1224" t="s">
        <v>1255</v>
      </c>
      <c r="C1224">
        <v>5100</v>
      </c>
      <c r="D1224" t="s">
        <v>485</v>
      </c>
      <c r="E1224">
        <v>92700</v>
      </c>
      <c r="F1224" t="s">
        <v>1453</v>
      </c>
      <c r="G1224">
        <v>0.88</v>
      </c>
      <c r="H1224" t="s">
        <v>1462</v>
      </c>
      <c r="I1224" t="s">
        <v>1463</v>
      </c>
    </row>
    <row r="1225" spans="1:9" x14ac:dyDescent="0.35">
      <c r="A1225">
        <v>20260601</v>
      </c>
      <c r="B1225" t="s">
        <v>1255</v>
      </c>
      <c r="C1225">
        <v>3400</v>
      </c>
      <c r="D1225" t="s">
        <v>485</v>
      </c>
      <c r="E1225">
        <v>-92700</v>
      </c>
      <c r="F1225" t="s">
        <v>1453</v>
      </c>
      <c r="G1225">
        <v>0.88</v>
      </c>
      <c r="H1225" t="s">
        <v>1462</v>
      </c>
      <c r="I1225" t="s">
        <v>1463</v>
      </c>
    </row>
    <row r="1226" spans="1:9" x14ac:dyDescent="0.35">
      <c r="A1226">
        <v>20260601</v>
      </c>
      <c r="B1226" t="s">
        <v>1155</v>
      </c>
      <c r="C1226">
        <v>5000</v>
      </c>
      <c r="D1226" t="s">
        <v>1131</v>
      </c>
      <c r="E1226">
        <v>473800</v>
      </c>
      <c r="F1226" t="s">
        <v>1453</v>
      </c>
      <c r="G1226">
        <v>0.88</v>
      </c>
      <c r="H1226" t="s">
        <v>1462</v>
      </c>
      <c r="I1226" t="s">
        <v>1463</v>
      </c>
    </row>
    <row r="1227" spans="1:9" x14ac:dyDescent="0.35">
      <c r="A1227">
        <v>20260601</v>
      </c>
      <c r="B1227" t="s">
        <v>1155</v>
      </c>
      <c r="C1227">
        <v>5400</v>
      </c>
      <c r="D1227" t="s">
        <v>1131</v>
      </c>
      <c r="E1227">
        <v>66805.8</v>
      </c>
      <c r="F1227" t="s">
        <v>1453</v>
      </c>
      <c r="G1227">
        <v>0.88</v>
      </c>
      <c r="H1227" t="s">
        <v>1462</v>
      </c>
      <c r="I1227" t="s">
        <v>1463</v>
      </c>
    </row>
    <row r="1228" spans="1:9" x14ac:dyDescent="0.35">
      <c r="A1228">
        <v>20260601</v>
      </c>
      <c r="B1228" t="s">
        <v>1155</v>
      </c>
      <c r="C1228">
        <v>6300</v>
      </c>
      <c r="D1228" t="s">
        <v>1131</v>
      </c>
      <c r="E1228">
        <v>87550</v>
      </c>
      <c r="F1228" t="s">
        <v>1453</v>
      </c>
      <c r="G1228">
        <v>0.88</v>
      </c>
      <c r="H1228" t="s">
        <v>1462</v>
      </c>
      <c r="I1228" t="s">
        <v>1463</v>
      </c>
    </row>
    <row r="1229" spans="1:9" x14ac:dyDescent="0.35">
      <c r="A1229">
        <v>20260601</v>
      </c>
      <c r="B1229" t="s">
        <v>1155</v>
      </c>
      <c r="C1229">
        <v>3900</v>
      </c>
      <c r="D1229" t="s">
        <v>1131</v>
      </c>
      <c r="E1229">
        <v>-669500</v>
      </c>
      <c r="F1229" t="s">
        <v>1453</v>
      </c>
      <c r="G1229">
        <v>0.88</v>
      </c>
      <c r="H1229" t="s">
        <v>1462</v>
      </c>
      <c r="I1229" t="s">
        <v>1463</v>
      </c>
    </row>
    <row r="1230" spans="1:9" x14ac:dyDescent="0.35">
      <c r="A1230">
        <v>20260601</v>
      </c>
      <c r="B1230" t="s">
        <v>1138</v>
      </c>
      <c r="C1230">
        <v>5000</v>
      </c>
      <c r="D1230" t="s">
        <v>1131</v>
      </c>
      <c r="E1230">
        <v>473800</v>
      </c>
      <c r="F1230" t="s">
        <v>1453</v>
      </c>
      <c r="G1230">
        <v>0.88</v>
      </c>
      <c r="H1230" t="s">
        <v>1462</v>
      </c>
      <c r="I1230" t="s">
        <v>1463</v>
      </c>
    </row>
    <row r="1231" spans="1:9" x14ac:dyDescent="0.35">
      <c r="A1231">
        <v>20260601</v>
      </c>
      <c r="B1231" t="s">
        <v>1138</v>
      </c>
      <c r="C1231">
        <v>5400</v>
      </c>
      <c r="D1231" t="s">
        <v>1131</v>
      </c>
      <c r="E1231">
        <v>66805.8</v>
      </c>
      <c r="F1231" t="s">
        <v>1453</v>
      </c>
      <c r="G1231">
        <v>0.88</v>
      </c>
      <c r="H1231" t="s">
        <v>1462</v>
      </c>
      <c r="I1231" t="s">
        <v>1463</v>
      </c>
    </row>
    <row r="1232" spans="1:9" x14ac:dyDescent="0.35">
      <c r="A1232">
        <v>20260601</v>
      </c>
      <c r="B1232" t="s">
        <v>1138</v>
      </c>
      <c r="C1232">
        <v>6300</v>
      </c>
      <c r="D1232" t="s">
        <v>1131</v>
      </c>
      <c r="E1232">
        <v>87550</v>
      </c>
      <c r="F1232" t="s">
        <v>1453</v>
      </c>
      <c r="G1232">
        <v>0.88</v>
      </c>
      <c r="H1232" t="s">
        <v>1462</v>
      </c>
      <c r="I1232" t="s">
        <v>1463</v>
      </c>
    </row>
    <row r="1233" spans="1:9" x14ac:dyDescent="0.35">
      <c r="A1233">
        <v>20260601</v>
      </c>
      <c r="B1233" t="s">
        <v>1138</v>
      </c>
      <c r="C1233">
        <v>3900</v>
      </c>
      <c r="D1233" t="s">
        <v>1131</v>
      </c>
      <c r="E1233">
        <v>-669500</v>
      </c>
      <c r="F1233" t="s">
        <v>1453</v>
      </c>
      <c r="G1233">
        <v>0.88</v>
      </c>
      <c r="H1233" t="s">
        <v>1462</v>
      </c>
      <c r="I1233" t="s">
        <v>1463</v>
      </c>
    </row>
    <row r="1234" spans="1:9" x14ac:dyDescent="0.35">
      <c r="A1234">
        <v>20260701</v>
      </c>
      <c r="B1234" t="s">
        <v>1150</v>
      </c>
      <c r="C1234">
        <v>5000</v>
      </c>
      <c r="D1234" t="s">
        <v>1131</v>
      </c>
      <c r="E1234">
        <v>473800</v>
      </c>
      <c r="F1234" t="s">
        <v>1453</v>
      </c>
      <c r="G1234">
        <v>0.88</v>
      </c>
      <c r="H1234" t="s">
        <v>1462</v>
      </c>
      <c r="I1234" t="s">
        <v>1463</v>
      </c>
    </row>
    <row r="1235" spans="1:9" x14ac:dyDescent="0.35">
      <c r="A1235">
        <v>20260701</v>
      </c>
      <c r="B1235" t="s">
        <v>1150</v>
      </c>
      <c r="C1235">
        <v>5400</v>
      </c>
      <c r="D1235" t="s">
        <v>1131</v>
      </c>
      <c r="E1235">
        <v>66805.8</v>
      </c>
      <c r="F1235" t="s">
        <v>1453</v>
      </c>
      <c r="G1235">
        <v>0.88</v>
      </c>
      <c r="H1235" t="s">
        <v>1462</v>
      </c>
      <c r="I1235" t="s">
        <v>1463</v>
      </c>
    </row>
    <row r="1236" spans="1:9" x14ac:dyDescent="0.35">
      <c r="A1236">
        <v>20260701</v>
      </c>
      <c r="B1236" t="s">
        <v>1150</v>
      </c>
      <c r="C1236">
        <v>6300</v>
      </c>
      <c r="D1236" t="s">
        <v>1131</v>
      </c>
      <c r="E1236">
        <v>87550</v>
      </c>
      <c r="F1236" t="s">
        <v>1453</v>
      </c>
      <c r="G1236">
        <v>0.88</v>
      </c>
      <c r="H1236" t="s">
        <v>1462</v>
      </c>
      <c r="I1236" t="s">
        <v>1463</v>
      </c>
    </row>
    <row r="1237" spans="1:9" x14ac:dyDescent="0.35">
      <c r="A1237">
        <v>20260701</v>
      </c>
      <c r="B1237" t="s">
        <v>1150</v>
      </c>
      <c r="C1237">
        <v>3900</v>
      </c>
      <c r="D1237" t="s">
        <v>1131</v>
      </c>
      <c r="E1237">
        <v>-669500</v>
      </c>
      <c r="F1237" t="s">
        <v>1453</v>
      </c>
      <c r="G1237">
        <v>0.88</v>
      </c>
      <c r="H1237" t="s">
        <v>1462</v>
      </c>
      <c r="I1237" t="s">
        <v>1463</v>
      </c>
    </row>
    <row r="1238" spans="1:9" x14ac:dyDescent="0.35">
      <c r="A1238">
        <v>20260701</v>
      </c>
      <c r="B1238" t="s">
        <v>1272</v>
      </c>
      <c r="C1238">
        <v>5100</v>
      </c>
      <c r="D1238" t="s">
        <v>485</v>
      </c>
      <c r="E1238">
        <v>92700</v>
      </c>
      <c r="F1238" t="s">
        <v>1453</v>
      </c>
      <c r="G1238">
        <v>0.88</v>
      </c>
      <c r="H1238" t="s">
        <v>1462</v>
      </c>
      <c r="I1238" t="s">
        <v>1463</v>
      </c>
    </row>
    <row r="1239" spans="1:9" x14ac:dyDescent="0.35">
      <c r="A1239">
        <v>20260701</v>
      </c>
      <c r="B1239" t="s">
        <v>1272</v>
      </c>
      <c r="C1239">
        <v>3400</v>
      </c>
      <c r="D1239" t="s">
        <v>485</v>
      </c>
      <c r="E1239">
        <v>-92700</v>
      </c>
      <c r="F1239" t="s">
        <v>1453</v>
      </c>
      <c r="G1239">
        <v>0.88</v>
      </c>
      <c r="H1239" t="s">
        <v>1462</v>
      </c>
      <c r="I1239" t="s">
        <v>1463</v>
      </c>
    </row>
    <row r="1240" spans="1:9" x14ac:dyDescent="0.35">
      <c r="A1240">
        <v>20260701</v>
      </c>
      <c r="B1240" t="s">
        <v>1158</v>
      </c>
      <c r="C1240">
        <v>5000</v>
      </c>
      <c r="D1240" t="s">
        <v>1131</v>
      </c>
      <c r="E1240">
        <v>473800</v>
      </c>
      <c r="F1240" t="s">
        <v>1453</v>
      </c>
      <c r="G1240">
        <v>0.88</v>
      </c>
      <c r="H1240" t="s">
        <v>1462</v>
      </c>
      <c r="I1240" t="s">
        <v>1463</v>
      </c>
    </row>
    <row r="1241" spans="1:9" x14ac:dyDescent="0.35">
      <c r="A1241">
        <v>20260701</v>
      </c>
      <c r="B1241" t="s">
        <v>1158</v>
      </c>
      <c r="C1241">
        <v>5400</v>
      </c>
      <c r="D1241" t="s">
        <v>1131</v>
      </c>
      <c r="E1241">
        <v>66805.8</v>
      </c>
      <c r="F1241" t="s">
        <v>1453</v>
      </c>
      <c r="G1241">
        <v>0.88</v>
      </c>
      <c r="H1241" t="s">
        <v>1462</v>
      </c>
      <c r="I1241" t="s">
        <v>1463</v>
      </c>
    </row>
    <row r="1242" spans="1:9" x14ac:dyDescent="0.35">
      <c r="A1242">
        <v>20260701</v>
      </c>
      <c r="B1242" t="s">
        <v>1158</v>
      </c>
      <c r="C1242">
        <v>6300</v>
      </c>
      <c r="D1242" t="s">
        <v>1131</v>
      </c>
      <c r="E1242">
        <v>87550</v>
      </c>
      <c r="F1242" t="s">
        <v>1453</v>
      </c>
      <c r="G1242">
        <v>0.88</v>
      </c>
      <c r="H1242" t="s">
        <v>1462</v>
      </c>
      <c r="I1242" t="s">
        <v>1463</v>
      </c>
    </row>
    <row r="1243" spans="1:9" x14ac:dyDescent="0.35">
      <c r="A1243">
        <v>20260701</v>
      </c>
      <c r="B1243" t="s">
        <v>1158</v>
      </c>
      <c r="C1243">
        <v>3900</v>
      </c>
      <c r="D1243" t="s">
        <v>1131</v>
      </c>
      <c r="E1243">
        <v>-669500</v>
      </c>
      <c r="F1243" t="s">
        <v>1453</v>
      </c>
      <c r="G1243">
        <v>0.88</v>
      </c>
      <c r="H1243" t="s">
        <v>1462</v>
      </c>
      <c r="I1243" t="s">
        <v>1463</v>
      </c>
    </row>
    <row r="1244" spans="1:9" x14ac:dyDescent="0.35">
      <c r="A1244">
        <v>20260701</v>
      </c>
      <c r="B1244" t="s">
        <v>1243</v>
      </c>
      <c r="C1244">
        <v>5100</v>
      </c>
      <c r="D1244" t="s">
        <v>485</v>
      </c>
      <c r="E1244">
        <v>92700</v>
      </c>
      <c r="F1244" t="s">
        <v>1453</v>
      </c>
      <c r="G1244">
        <v>0.88</v>
      </c>
      <c r="H1244" t="s">
        <v>1462</v>
      </c>
      <c r="I1244" t="s">
        <v>1463</v>
      </c>
    </row>
    <row r="1245" spans="1:9" x14ac:dyDescent="0.35">
      <c r="A1245">
        <v>20260701</v>
      </c>
      <c r="B1245" t="s">
        <v>1243</v>
      </c>
      <c r="C1245">
        <v>3400</v>
      </c>
      <c r="D1245" t="s">
        <v>485</v>
      </c>
      <c r="E1245">
        <v>-92700</v>
      </c>
      <c r="F1245" t="s">
        <v>1453</v>
      </c>
      <c r="G1245">
        <v>0.88</v>
      </c>
      <c r="H1245" t="s">
        <v>1462</v>
      </c>
      <c r="I1245" t="s">
        <v>1463</v>
      </c>
    </row>
    <row r="1246" spans="1:9" x14ac:dyDescent="0.35">
      <c r="A1246">
        <v>20260701</v>
      </c>
      <c r="B1246" t="s">
        <v>1205</v>
      </c>
      <c r="C1246">
        <v>5000</v>
      </c>
      <c r="D1246" t="s">
        <v>1131</v>
      </c>
      <c r="E1246">
        <v>473800</v>
      </c>
      <c r="F1246" t="s">
        <v>1453</v>
      </c>
      <c r="G1246">
        <v>0.88</v>
      </c>
      <c r="H1246" t="s">
        <v>1462</v>
      </c>
      <c r="I1246" t="s">
        <v>1463</v>
      </c>
    </row>
    <row r="1247" spans="1:9" x14ac:dyDescent="0.35">
      <c r="A1247">
        <v>20260701</v>
      </c>
      <c r="B1247" t="s">
        <v>1205</v>
      </c>
      <c r="C1247">
        <v>5400</v>
      </c>
      <c r="D1247" t="s">
        <v>1131</v>
      </c>
      <c r="E1247">
        <v>66805.8</v>
      </c>
      <c r="F1247" t="s">
        <v>1453</v>
      </c>
      <c r="G1247">
        <v>0.88</v>
      </c>
      <c r="H1247" t="s">
        <v>1462</v>
      </c>
      <c r="I1247" t="s">
        <v>1463</v>
      </c>
    </row>
    <row r="1248" spans="1:9" x14ac:dyDescent="0.35">
      <c r="A1248">
        <v>20260701</v>
      </c>
      <c r="B1248" t="s">
        <v>1205</v>
      </c>
      <c r="C1248">
        <v>6300</v>
      </c>
      <c r="D1248" t="s">
        <v>1131</v>
      </c>
      <c r="E1248">
        <v>87550</v>
      </c>
      <c r="F1248" t="s">
        <v>1453</v>
      </c>
      <c r="G1248">
        <v>0.88</v>
      </c>
      <c r="H1248" t="s">
        <v>1462</v>
      </c>
      <c r="I1248" t="s">
        <v>1463</v>
      </c>
    </row>
    <row r="1249" spans="1:9" x14ac:dyDescent="0.35">
      <c r="A1249">
        <v>20260701</v>
      </c>
      <c r="B1249" t="s">
        <v>1205</v>
      </c>
      <c r="C1249">
        <v>3900</v>
      </c>
      <c r="D1249" t="s">
        <v>1131</v>
      </c>
      <c r="E1249">
        <v>-669500</v>
      </c>
      <c r="F1249" t="s">
        <v>1453</v>
      </c>
      <c r="G1249">
        <v>0.88</v>
      </c>
      <c r="H1249" t="s">
        <v>1462</v>
      </c>
      <c r="I1249" t="s">
        <v>1463</v>
      </c>
    </row>
    <row r="1250" spans="1:9" x14ac:dyDescent="0.35">
      <c r="A1250">
        <v>20260701</v>
      </c>
      <c r="B1250" t="s">
        <v>1257</v>
      </c>
      <c r="C1250">
        <v>5100</v>
      </c>
      <c r="D1250" t="s">
        <v>485</v>
      </c>
      <c r="E1250">
        <v>92700</v>
      </c>
      <c r="F1250" t="s">
        <v>1453</v>
      </c>
      <c r="G1250">
        <v>0.88</v>
      </c>
      <c r="H1250" t="s">
        <v>1462</v>
      </c>
      <c r="I1250" t="s">
        <v>1463</v>
      </c>
    </row>
    <row r="1251" spans="1:9" x14ac:dyDescent="0.35">
      <c r="A1251">
        <v>20260701</v>
      </c>
      <c r="B1251" t="s">
        <v>1257</v>
      </c>
      <c r="C1251">
        <v>3400</v>
      </c>
      <c r="D1251" t="s">
        <v>485</v>
      </c>
      <c r="E1251">
        <v>-92700</v>
      </c>
      <c r="F1251" t="s">
        <v>1453</v>
      </c>
      <c r="G1251">
        <v>0.88</v>
      </c>
      <c r="H1251" t="s">
        <v>1462</v>
      </c>
      <c r="I1251" t="s">
        <v>1463</v>
      </c>
    </row>
    <row r="1252" spans="1:9" x14ac:dyDescent="0.35">
      <c r="A1252">
        <v>20260701</v>
      </c>
      <c r="B1252" t="s">
        <v>1164</v>
      </c>
      <c r="C1252">
        <v>5000</v>
      </c>
      <c r="D1252" t="s">
        <v>1131</v>
      </c>
      <c r="E1252">
        <v>473800</v>
      </c>
      <c r="F1252" t="s">
        <v>1453</v>
      </c>
      <c r="G1252">
        <v>0.88</v>
      </c>
      <c r="H1252" t="s">
        <v>1462</v>
      </c>
      <c r="I1252" t="s">
        <v>1463</v>
      </c>
    </row>
    <row r="1253" spans="1:9" x14ac:dyDescent="0.35">
      <c r="A1253">
        <v>20260701</v>
      </c>
      <c r="B1253" t="s">
        <v>1164</v>
      </c>
      <c r="C1253">
        <v>5400</v>
      </c>
      <c r="D1253" t="s">
        <v>1131</v>
      </c>
      <c r="E1253">
        <v>66805.8</v>
      </c>
      <c r="F1253" t="s">
        <v>1453</v>
      </c>
      <c r="G1253">
        <v>0.88</v>
      </c>
      <c r="H1253" t="s">
        <v>1462</v>
      </c>
      <c r="I1253" t="s">
        <v>1463</v>
      </c>
    </row>
    <row r="1254" spans="1:9" x14ac:dyDescent="0.35">
      <c r="A1254">
        <v>20260701</v>
      </c>
      <c r="B1254" t="s">
        <v>1164</v>
      </c>
      <c r="C1254">
        <v>6300</v>
      </c>
      <c r="D1254" t="s">
        <v>1131</v>
      </c>
      <c r="E1254">
        <v>87550</v>
      </c>
      <c r="F1254" t="s">
        <v>1453</v>
      </c>
      <c r="G1254">
        <v>0.88</v>
      </c>
      <c r="H1254" t="s">
        <v>1462</v>
      </c>
      <c r="I1254" t="s">
        <v>1463</v>
      </c>
    </row>
    <row r="1255" spans="1:9" x14ac:dyDescent="0.35">
      <c r="A1255">
        <v>20260701</v>
      </c>
      <c r="B1255" t="s">
        <v>1164</v>
      </c>
      <c r="C1255">
        <v>3900</v>
      </c>
      <c r="D1255" t="s">
        <v>1131</v>
      </c>
      <c r="E1255">
        <v>-669500</v>
      </c>
      <c r="F1255" t="s">
        <v>1453</v>
      </c>
      <c r="G1255">
        <v>0.88</v>
      </c>
      <c r="H1255" t="s">
        <v>1462</v>
      </c>
      <c r="I1255" t="s">
        <v>1463</v>
      </c>
    </row>
    <row r="1256" spans="1:9" x14ac:dyDescent="0.35">
      <c r="A1256">
        <v>20260701</v>
      </c>
      <c r="B1256" t="s">
        <v>1249</v>
      </c>
      <c r="C1256">
        <v>5100</v>
      </c>
      <c r="D1256" t="s">
        <v>485</v>
      </c>
      <c r="E1256">
        <v>92700</v>
      </c>
      <c r="F1256" t="s">
        <v>1453</v>
      </c>
      <c r="G1256">
        <v>0.88</v>
      </c>
      <c r="H1256" t="s">
        <v>1462</v>
      </c>
      <c r="I1256" t="s">
        <v>1463</v>
      </c>
    </row>
    <row r="1257" spans="1:9" x14ac:dyDescent="0.35">
      <c r="A1257">
        <v>20260701</v>
      </c>
      <c r="B1257" t="s">
        <v>1249</v>
      </c>
      <c r="C1257">
        <v>3400</v>
      </c>
      <c r="D1257" t="s">
        <v>485</v>
      </c>
      <c r="E1257">
        <v>-92700</v>
      </c>
      <c r="F1257" t="s">
        <v>1453</v>
      </c>
      <c r="G1257">
        <v>0.88</v>
      </c>
      <c r="H1257" t="s">
        <v>1462</v>
      </c>
      <c r="I1257" t="s">
        <v>1463</v>
      </c>
    </row>
    <row r="1258" spans="1:9" x14ac:dyDescent="0.35">
      <c r="A1258">
        <v>20260701</v>
      </c>
      <c r="B1258" t="s">
        <v>1169</v>
      </c>
      <c r="C1258">
        <v>5000</v>
      </c>
      <c r="D1258" t="s">
        <v>1131</v>
      </c>
      <c r="E1258">
        <v>473800</v>
      </c>
      <c r="F1258" t="s">
        <v>1453</v>
      </c>
      <c r="G1258">
        <v>0.88</v>
      </c>
      <c r="H1258" t="s">
        <v>1462</v>
      </c>
      <c r="I1258" t="s">
        <v>1463</v>
      </c>
    </row>
    <row r="1259" spans="1:9" x14ac:dyDescent="0.35">
      <c r="A1259">
        <v>20260701</v>
      </c>
      <c r="B1259" t="s">
        <v>1169</v>
      </c>
      <c r="C1259">
        <v>5400</v>
      </c>
      <c r="D1259" t="s">
        <v>1131</v>
      </c>
      <c r="E1259">
        <v>66805.8</v>
      </c>
      <c r="F1259" t="s">
        <v>1453</v>
      </c>
      <c r="G1259">
        <v>0.88</v>
      </c>
      <c r="H1259" t="s">
        <v>1462</v>
      </c>
      <c r="I1259" t="s">
        <v>1463</v>
      </c>
    </row>
    <row r="1260" spans="1:9" x14ac:dyDescent="0.35">
      <c r="A1260">
        <v>20260701</v>
      </c>
      <c r="B1260" t="s">
        <v>1169</v>
      </c>
      <c r="C1260">
        <v>6300</v>
      </c>
      <c r="D1260" t="s">
        <v>1131</v>
      </c>
      <c r="E1260">
        <v>87550</v>
      </c>
      <c r="F1260" t="s">
        <v>1453</v>
      </c>
      <c r="G1260">
        <v>0.88</v>
      </c>
      <c r="H1260" t="s">
        <v>1462</v>
      </c>
      <c r="I1260" t="s">
        <v>1463</v>
      </c>
    </row>
    <row r="1261" spans="1:9" x14ac:dyDescent="0.35">
      <c r="A1261">
        <v>20260701</v>
      </c>
      <c r="B1261" t="s">
        <v>1169</v>
      </c>
      <c r="C1261">
        <v>3900</v>
      </c>
      <c r="D1261" t="s">
        <v>1131</v>
      </c>
      <c r="E1261">
        <v>-669500</v>
      </c>
      <c r="F1261" t="s">
        <v>1453</v>
      </c>
      <c r="G1261">
        <v>0.88</v>
      </c>
      <c r="H1261" t="s">
        <v>1462</v>
      </c>
      <c r="I1261" t="s">
        <v>1463</v>
      </c>
    </row>
    <row r="1262" spans="1:9" x14ac:dyDescent="0.35">
      <c r="A1262">
        <v>20260701</v>
      </c>
      <c r="B1262" t="s">
        <v>1260</v>
      </c>
      <c r="C1262">
        <v>5100</v>
      </c>
      <c r="D1262" t="s">
        <v>485</v>
      </c>
      <c r="E1262">
        <v>92700</v>
      </c>
      <c r="F1262" t="s">
        <v>1453</v>
      </c>
      <c r="G1262">
        <v>0.88</v>
      </c>
      <c r="H1262" t="s">
        <v>1462</v>
      </c>
      <c r="I1262" t="s">
        <v>1463</v>
      </c>
    </row>
    <row r="1263" spans="1:9" x14ac:dyDescent="0.35">
      <c r="A1263">
        <v>20260701</v>
      </c>
      <c r="B1263" t="s">
        <v>1260</v>
      </c>
      <c r="C1263">
        <v>3400</v>
      </c>
      <c r="D1263" t="s">
        <v>485</v>
      </c>
      <c r="E1263">
        <v>-92700</v>
      </c>
      <c r="F1263" t="s">
        <v>1453</v>
      </c>
      <c r="G1263">
        <v>0.88</v>
      </c>
      <c r="H1263" t="s">
        <v>1462</v>
      </c>
      <c r="I1263" t="s">
        <v>1463</v>
      </c>
    </row>
    <row r="1264" spans="1:9" x14ac:dyDescent="0.35">
      <c r="A1264">
        <v>20260701</v>
      </c>
      <c r="B1264" t="s">
        <v>1175</v>
      </c>
      <c r="C1264">
        <v>5000</v>
      </c>
      <c r="D1264" t="s">
        <v>1131</v>
      </c>
      <c r="E1264">
        <v>473800</v>
      </c>
      <c r="F1264" t="s">
        <v>1453</v>
      </c>
      <c r="G1264">
        <v>0.88</v>
      </c>
      <c r="H1264" t="s">
        <v>1462</v>
      </c>
      <c r="I1264" t="s">
        <v>1463</v>
      </c>
    </row>
    <row r="1265" spans="1:9" x14ac:dyDescent="0.35">
      <c r="A1265">
        <v>20260701</v>
      </c>
      <c r="B1265" t="s">
        <v>1175</v>
      </c>
      <c r="C1265">
        <v>5400</v>
      </c>
      <c r="D1265" t="s">
        <v>1131</v>
      </c>
      <c r="E1265">
        <v>66805.8</v>
      </c>
      <c r="F1265" t="s">
        <v>1453</v>
      </c>
      <c r="G1265">
        <v>0.88</v>
      </c>
      <c r="H1265" t="s">
        <v>1462</v>
      </c>
      <c r="I1265" t="s">
        <v>1463</v>
      </c>
    </row>
    <row r="1266" spans="1:9" x14ac:dyDescent="0.35">
      <c r="A1266">
        <v>20260701</v>
      </c>
      <c r="B1266" t="s">
        <v>1175</v>
      </c>
      <c r="C1266">
        <v>6300</v>
      </c>
      <c r="D1266" t="s">
        <v>1131</v>
      </c>
      <c r="E1266">
        <v>87550</v>
      </c>
      <c r="F1266" t="s">
        <v>1453</v>
      </c>
      <c r="G1266">
        <v>0.88</v>
      </c>
      <c r="H1266" t="s">
        <v>1462</v>
      </c>
      <c r="I1266" t="s">
        <v>1463</v>
      </c>
    </row>
    <row r="1267" spans="1:9" x14ac:dyDescent="0.35">
      <c r="A1267">
        <v>20260701</v>
      </c>
      <c r="B1267" t="s">
        <v>1175</v>
      </c>
      <c r="C1267">
        <v>3900</v>
      </c>
      <c r="D1267" t="s">
        <v>1131</v>
      </c>
      <c r="E1267">
        <v>-669500</v>
      </c>
      <c r="F1267" t="s">
        <v>1453</v>
      </c>
      <c r="G1267">
        <v>0.88</v>
      </c>
      <c r="H1267" t="s">
        <v>1462</v>
      </c>
      <c r="I1267" t="s">
        <v>1463</v>
      </c>
    </row>
    <row r="1268" spans="1:9" x14ac:dyDescent="0.35">
      <c r="A1268">
        <v>20260701</v>
      </c>
      <c r="B1268" t="s">
        <v>1247</v>
      </c>
      <c r="C1268">
        <v>5100</v>
      </c>
      <c r="D1268" t="s">
        <v>485</v>
      </c>
      <c r="E1268">
        <v>92700</v>
      </c>
      <c r="F1268" t="s">
        <v>1453</v>
      </c>
      <c r="G1268">
        <v>0.88</v>
      </c>
      <c r="H1268" t="s">
        <v>1462</v>
      </c>
      <c r="I1268" t="s">
        <v>1463</v>
      </c>
    </row>
    <row r="1269" spans="1:9" x14ac:dyDescent="0.35">
      <c r="A1269">
        <v>20260701</v>
      </c>
      <c r="B1269" t="s">
        <v>1247</v>
      </c>
      <c r="C1269">
        <v>3400</v>
      </c>
      <c r="D1269" t="s">
        <v>485</v>
      </c>
      <c r="E1269">
        <v>-92700</v>
      </c>
      <c r="F1269" t="s">
        <v>1453</v>
      </c>
      <c r="G1269">
        <v>0.88</v>
      </c>
      <c r="H1269" t="s">
        <v>1462</v>
      </c>
      <c r="I1269" t="s">
        <v>1463</v>
      </c>
    </row>
    <row r="1270" spans="1:9" x14ac:dyDescent="0.35">
      <c r="A1270">
        <v>20260701</v>
      </c>
      <c r="B1270" t="s">
        <v>1130</v>
      </c>
      <c r="C1270">
        <v>5000</v>
      </c>
      <c r="D1270" t="s">
        <v>1131</v>
      </c>
      <c r="E1270">
        <v>473800</v>
      </c>
      <c r="F1270" t="s">
        <v>1453</v>
      </c>
      <c r="G1270">
        <v>0.88</v>
      </c>
      <c r="H1270" t="s">
        <v>1462</v>
      </c>
      <c r="I1270" t="s">
        <v>1463</v>
      </c>
    </row>
    <row r="1271" spans="1:9" x14ac:dyDescent="0.35">
      <c r="A1271">
        <v>20260701</v>
      </c>
      <c r="B1271" t="s">
        <v>1130</v>
      </c>
      <c r="C1271">
        <v>5400</v>
      </c>
      <c r="D1271" t="s">
        <v>1131</v>
      </c>
      <c r="E1271">
        <v>66805.8</v>
      </c>
      <c r="F1271" t="s">
        <v>1453</v>
      </c>
      <c r="G1271">
        <v>0.88</v>
      </c>
      <c r="H1271" t="s">
        <v>1462</v>
      </c>
      <c r="I1271" t="s">
        <v>1463</v>
      </c>
    </row>
    <row r="1272" spans="1:9" x14ac:dyDescent="0.35">
      <c r="A1272">
        <v>20260701</v>
      </c>
      <c r="B1272" t="s">
        <v>1130</v>
      </c>
      <c r="C1272">
        <v>6300</v>
      </c>
      <c r="D1272" t="s">
        <v>1131</v>
      </c>
      <c r="E1272">
        <v>87550</v>
      </c>
      <c r="F1272" t="s">
        <v>1453</v>
      </c>
      <c r="G1272">
        <v>0.88</v>
      </c>
      <c r="H1272" t="s">
        <v>1462</v>
      </c>
      <c r="I1272" t="s">
        <v>1463</v>
      </c>
    </row>
    <row r="1273" spans="1:9" x14ac:dyDescent="0.35">
      <c r="A1273">
        <v>20260701</v>
      </c>
      <c r="B1273" t="s">
        <v>1130</v>
      </c>
      <c r="C1273">
        <v>3900</v>
      </c>
      <c r="D1273" t="s">
        <v>1131</v>
      </c>
      <c r="E1273">
        <v>-669500</v>
      </c>
      <c r="F1273" t="s">
        <v>1453</v>
      </c>
      <c r="G1273">
        <v>0.88</v>
      </c>
      <c r="H1273" t="s">
        <v>1462</v>
      </c>
      <c r="I1273" t="s">
        <v>1463</v>
      </c>
    </row>
    <row r="1274" spans="1:9" x14ac:dyDescent="0.35">
      <c r="A1274">
        <v>20260701</v>
      </c>
      <c r="B1274" t="s">
        <v>1265</v>
      </c>
      <c r="C1274">
        <v>5100</v>
      </c>
      <c r="D1274" t="s">
        <v>485</v>
      </c>
      <c r="E1274">
        <v>92700</v>
      </c>
      <c r="F1274" t="s">
        <v>1453</v>
      </c>
      <c r="G1274">
        <v>0.88</v>
      </c>
      <c r="H1274" t="s">
        <v>1462</v>
      </c>
      <c r="I1274" t="s">
        <v>1463</v>
      </c>
    </row>
    <row r="1275" spans="1:9" x14ac:dyDescent="0.35">
      <c r="A1275">
        <v>20260701</v>
      </c>
      <c r="B1275" t="s">
        <v>1265</v>
      </c>
      <c r="C1275">
        <v>3400</v>
      </c>
      <c r="D1275" t="s">
        <v>485</v>
      </c>
      <c r="E1275">
        <v>-92700</v>
      </c>
      <c r="F1275" t="s">
        <v>1453</v>
      </c>
      <c r="G1275">
        <v>0.88</v>
      </c>
      <c r="H1275" t="s">
        <v>1462</v>
      </c>
      <c r="I1275" t="s">
        <v>1463</v>
      </c>
    </row>
    <row r="1276" spans="1:9" x14ac:dyDescent="0.35">
      <c r="A1276">
        <v>20260701</v>
      </c>
      <c r="B1276" t="s">
        <v>1173</v>
      </c>
      <c r="C1276">
        <v>5000</v>
      </c>
      <c r="D1276" t="s">
        <v>1131</v>
      </c>
      <c r="E1276">
        <v>473800</v>
      </c>
      <c r="F1276" t="s">
        <v>1453</v>
      </c>
      <c r="G1276">
        <v>0.88</v>
      </c>
      <c r="H1276" t="s">
        <v>1462</v>
      </c>
      <c r="I1276" t="s">
        <v>1463</v>
      </c>
    </row>
    <row r="1277" spans="1:9" x14ac:dyDescent="0.35">
      <c r="A1277">
        <v>20260701</v>
      </c>
      <c r="B1277" t="s">
        <v>1173</v>
      </c>
      <c r="C1277">
        <v>5400</v>
      </c>
      <c r="D1277" t="s">
        <v>1131</v>
      </c>
      <c r="E1277">
        <v>66805.8</v>
      </c>
      <c r="F1277" t="s">
        <v>1453</v>
      </c>
      <c r="G1277">
        <v>0.88</v>
      </c>
      <c r="H1277" t="s">
        <v>1462</v>
      </c>
      <c r="I1277" t="s">
        <v>1463</v>
      </c>
    </row>
    <row r="1278" spans="1:9" x14ac:dyDescent="0.35">
      <c r="A1278">
        <v>20260701</v>
      </c>
      <c r="B1278" t="s">
        <v>1173</v>
      </c>
      <c r="C1278">
        <v>6300</v>
      </c>
      <c r="D1278" t="s">
        <v>1131</v>
      </c>
      <c r="E1278">
        <v>87550</v>
      </c>
      <c r="F1278" t="s">
        <v>1453</v>
      </c>
      <c r="G1278">
        <v>0.88</v>
      </c>
      <c r="H1278" t="s">
        <v>1462</v>
      </c>
      <c r="I1278" t="s">
        <v>1463</v>
      </c>
    </row>
    <row r="1279" spans="1:9" x14ac:dyDescent="0.35">
      <c r="A1279">
        <v>20260701</v>
      </c>
      <c r="B1279" t="s">
        <v>1173</v>
      </c>
      <c r="C1279">
        <v>3900</v>
      </c>
      <c r="D1279" t="s">
        <v>1131</v>
      </c>
      <c r="E1279">
        <v>-669500</v>
      </c>
      <c r="F1279" t="s">
        <v>1453</v>
      </c>
      <c r="G1279">
        <v>0.88</v>
      </c>
      <c r="H1279" t="s">
        <v>1462</v>
      </c>
      <c r="I1279" t="s">
        <v>1463</v>
      </c>
    </row>
    <row r="1280" spans="1:9" x14ac:dyDescent="0.35">
      <c r="A1280">
        <v>20260701</v>
      </c>
      <c r="B1280" t="s">
        <v>1255</v>
      </c>
      <c r="C1280">
        <v>5100</v>
      </c>
      <c r="D1280" t="s">
        <v>485</v>
      </c>
      <c r="E1280">
        <v>92700</v>
      </c>
      <c r="F1280" t="s">
        <v>1453</v>
      </c>
      <c r="G1280">
        <v>0.88</v>
      </c>
      <c r="H1280" t="s">
        <v>1462</v>
      </c>
      <c r="I1280" t="s">
        <v>1463</v>
      </c>
    </row>
    <row r="1281" spans="1:9" x14ac:dyDescent="0.35">
      <c r="A1281">
        <v>20260701</v>
      </c>
      <c r="B1281" t="s">
        <v>1255</v>
      </c>
      <c r="C1281">
        <v>3400</v>
      </c>
      <c r="D1281" t="s">
        <v>485</v>
      </c>
      <c r="E1281">
        <v>-92700</v>
      </c>
      <c r="F1281" t="s">
        <v>1453</v>
      </c>
      <c r="G1281">
        <v>0.88</v>
      </c>
      <c r="H1281" t="s">
        <v>1462</v>
      </c>
      <c r="I1281" t="s">
        <v>1463</v>
      </c>
    </row>
    <row r="1282" spans="1:9" x14ac:dyDescent="0.35">
      <c r="A1282">
        <v>20260701</v>
      </c>
      <c r="B1282" t="s">
        <v>1155</v>
      </c>
      <c r="C1282">
        <v>5000</v>
      </c>
      <c r="D1282" t="s">
        <v>1131</v>
      </c>
      <c r="E1282">
        <v>473800</v>
      </c>
      <c r="F1282" t="s">
        <v>1453</v>
      </c>
      <c r="G1282">
        <v>0.88</v>
      </c>
      <c r="H1282" t="s">
        <v>1462</v>
      </c>
      <c r="I1282" t="s">
        <v>1463</v>
      </c>
    </row>
    <row r="1283" spans="1:9" x14ac:dyDescent="0.35">
      <c r="A1283">
        <v>20260701</v>
      </c>
      <c r="B1283" t="s">
        <v>1155</v>
      </c>
      <c r="C1283">
        <v>5400</v>
      </c>
      <c r="D1283" t="s">
        <v>1131</v>
      </c>
      <c r="E1283">
        <v>66805.8</v>
      </c>
      <c r="F1283" t="s">
        <v>1453</v>
      </c>
      <c r="G1283">
        <v>0.88</v>
      </c>
      <c r="H1283" t="s">
        <v>1462</v>
      </c>
      <c r="I1283" t="s">
        <v>1463</v>
      </c>
    </row>
    <row r="1284" spans="1:9" x14ac:dyDescent="0.35">
      <c r="A1284">
        <v>20260701</v>
      </c>
      <c r="B1284" t="s">
        <v>1155</v>
      </c>
      <c r="C1284">
        <v>6300</v>
      </c>
      <c r="D1284" t="s">
        <v>1131</v>
      </c>
      <c r="E1284">
        <v>87550</v>
      </c>
      <c r="F1284" t="s">
        <v>1453</v>
      </c>
      <c r="G1284">
        <v>0.88</v>
      </c>
      <c r="H1284" t="s">
        <v>1462</v>
      </c>
      <c r="I1284" t="s">
        <v>1463</v>
      </c>
    </row>
    <row r="1285" spans="1:9" x14ac:dyDescent="0.35">
      <c r="A1285">
        <v>20260701</v>
      </c>
      <c r="B1285" t="s">
        <v>1155</v>
      </c>
      <c r="C1285">
        <v>3900</v>
      </c>
      <c r="D1285" t="s">
        <v>1131</v>
      </c>
      <c r="E1285">
        <v>-669500</v>
      </c>
      <c r="F1285" t="s">
        <v>1453</v>
      </c>
      <c r="G1285">
        <v>0.88</v>
      </c>
      <c r="H1285" t="s">
        <v>1462</v>
      </c>
      <c r="I1285" t="s">
        <v>1463</v>
      </c>
    </row>
    <row r="1286" spans="1:9" x14ac:dyDescent="0.35">
      <c r="A1286">
        <v>20260701</v>
      </c>
      <c r="B1286" t="s">
        <v>1138</v>
      </c>
      <c r="C1286">
        <v>5000</v>
      </c>
      <c r="D1286" t="s">
        <v>1131</v>
      </c>
      <c r="E1286">
        <v>473800</v>
      </c>
      <c r="F1286" t="s">
        <v>1453</v>
      </c>
      <c r="G1286">
        <v>0.88</v>
      </c>
      <c r="H1286" t="s">
        <v>1462</v>
      </c>
      <c r="I1286" t="s">
        <v>1463</v>
      </c>
    </row>
    <row r="1287" spans="1:9" x14ac:dyDescent="0.35">
      <c r="A1287">
        <v>20260701</v>
      </c>
      <c r="B1287" t="s">
        <v>1138</v>
      </c>
      <c r="C1287">
        <v>5400</v>
      </c>
      <c r="D1287" t="s">
        <v>1131</v>
      </c>
      <c r="E1287">
        <v>66805.8</v>
      </c>
      <c r="F1287" t="s">
        <v>1453</v>
      </c>
      <c r="G1287">
        <v>0.88</v>
      </c>
      <c r="H1287" t="s">
        <v>1462</v>
      </c>
      <c r="I1287" t="s">
        <v>1463</v>
      </c>
    </row>
    <row r="1288" spans="1:9" x14ac:dyDescent="0.35">
      <c r="A1288">
        <v>20260701</v>
      </c>
      <c r="B1288" t="s">
        <v>1138</v>
      </c>
      <c r="C1288">
        <v>6300</v>
      </c>
      <c r="D1288" t="s">
        <v>1131</v>
      </c>
      <c r="E1288">
        <v>87550</v>
      </c>
      <c r="F1288" t="s">
        <v>1453</v>
      </c>
      <c r="G1288">
        <v>0.88</v>
      </c>
      <c r="H1288" t="s">
        <v>1462</v>
      </c>
      <c r="I1288" t="s">
        <v>1463</v>
      </c>
    </row>
    <row r="1289" spans="1:9" x14ac:dyDescent="0.35">
      <c r="A1289">
        <v>20260701</v>
      </c>
      <c r="B1289" t="s">
        <v>1138</v>
      </c>
      <c r="C1289">
        <v>3900</v>
      </c>
      <c r="D1289" t="s">
        <v>1131</v>
      </c>
      <c r="E1289">
        <v>-669500</v>
      </c>
      <c r="F1289" t="s">
        <v>1453</v>
      </c>
      <c r="G1289">
        <v>0.88</v>
      </c>
      <c r="H1289" t="s">
        <v>1462</v>
      </c>
      <c r="I1289" t="s">
        <v>1463</v>
      </c>
    </row>
    <row r="1290" spans="1:9" x14ac:dyDescent="0.35">
      <c r="A1290">
        <v>20260801</v>
      </c>
      <c r="B1290" t="s">
        <v>1150</v>
      </c>
      <c r="C1290">
        <v>5000</v>
      </c>
      <c r="D1290" t="s">
        <v>1131</v>
      </c>
      <c r="E1290">
        <v>473800</v>
      </c>
      <c r="F1290" t="s">
        <v>1453</v>
      </c>
      <c r="G1290">
        <v>0.88</v>
      </c>
      <c r="H1290" t="s">
        <v>1462</v>
      </c>
      <c r="I1290" t="s">
        <v>1463</v>
      </c>
    </row>
    <row r="1291" spans="1:9" x14ac:dyDescent="0.35">
      <c r="A1291">
        <v>20260801</v>
      </c>
      <c r="B1291" t="s">
        <v>1150</v>
      </c>
      <c r="C1291">
        <v>5400</v>
      </c>
      <c r="D1291" t="s">
        <v>1131</v>
      </c>
      <c r="E1291">
        <v>66805.8</v>
      </c>
      <c r="F1291" t="s">
        <v>1453</v>
      </c>
      <c r="G1291">
        <v>0.88</v>
      </c>
      <c r="H1291" t="s">
        <v>1462</v>
      </c>
      <c r="I1291" t="s">
        <v>1463</v>
      </c>
    </row>
    <row r="1292" spans="1:9" x14ac:dyDescent="0.35">
      <c r="A1292">
        <v>20260801</v>
      </c>
      <c r="B1292" t="s">
        <v>1150</v>
      </c>
      <c r="C1292">
        <v>6300</v>
      </c>
      <c r="D1292" t="s">
        <v>1131</v>
      </c>
      <c r="E1292">
        <v>87550</v>
      </c>
      <c r="F1292" t="s">
        <v>1453</v>
      </c>
      <c r="G1292">
        <v>0.88</v>
      </c>
      <c r="H1292" t="s">
        <v>1462</v>
      </c>
      <c r="I1292" t="s">
        <v>1463</v>
      </c>
    </row>
    <row r="1293" spans="1:9" x14ac:dyDescent="0.35">
      <c r="A1293">
        <v>20260801</v>
      </c>
      <c r="B1293" t="s">
        <v>1150</v>
      </c>
      <c r="C1293">
        <v>3900</v>
      </c>
      <c r="D1293" t="s">
        <v>1131</v>
      </c>
      <c r="E1293">
        <v>-669500</v>
      </c>
      <c r="F1293" t="s">
        <v>1453</v>
      </c>
      <c r="G1293">
        <v>0.88</v>
      </c>
      <c r="H1293" t="s">
        <v>1462</v>
      </c>
      <c r="I1293" t="s">
        <v>1463</v>
      </c>
    </row>
    <row r="1294" spans="1:9" x14ac:dyDescent="0.35">
      <c r="A1294">
        <v>20260801</v>
      </c>
      <c r="B1294" t="s">
        <v>1272</v>
      </c>
      <c r="C1294">
        <v>5100</v>
      </c>
      <c r="D1294" t="s">
        <v>485</v>
      </c>
      <c r="E1294">
        <v>92700</v>
      </c>
      <c r="F1294" t="s">
        <v>1453</v>
      </c>
      <c r="G1294">
        <v>0.88</v>
      </c>
      <c r="H1294" t="s">
        <v>1462</v>
      </c>
      <c r="I1294" t="s">
        <v>1463</v>
      </c>
    </row>
    <row r="1295" spans="1:9" x14ac:dyDescent="0.35">
      <c r="A1295">
        <v>20260801</v>
      </c>
      <c r="B1295" t="s">
        <v>1272</v>
      </c>
      <c r="C1295">
        <v>3400</v>
      </c>
      <c r="D1295" t="s">
        <v>485</v>
      </c>
      <c r="E1295">
        <v>-92700</v>
      </c>
      <c r="F1295" t="s">
        <v>1453</v>
      </c>
      <c r="G1295">
        <v>0.88</v>
      </c>
      <c r="H1295" t="s">
        <v>1462</v>
      </c>
      <c r="I1295" t="s">
        <v>1463</v>
      </c>
    </row>
    <row r="1296" spans="1:9" x14ac:dyDescent="0.35">
      <c r="A1296">
        <v>20260801</v>
      </c>
      <c r="B1296" t="s">
        <v>1158</v>
      </c>
      <c r="C1296">
        <v>5000</v>
      </c>
      <c r="D1296" t="s">
        <v>1131</v>
      </c>
      <c r="E1296">
        <v>473800</v>
      </c>
      <c r="F1296" t="s">
        <v>1453</v>
      </c>
      <c r="G1296">
        <v>0.88</v>
      </c>
      <c r="H1296" t="s">
        <v>1462</v>
      </c>
      <c r="I1296" t="s">
        <v>1463</v>
      </c>
    </row>
    <row r="1297" spans="1:9" x14ac:dyDescent="0.35">
      <c r="A1297">
        <v>20260801</v>
      </c>
      <c r="B1297" t="s">
        <v>1158</v>
      </c>
      <c r="C1297">
        <v>5400</v>
      </c>
      <c r="D1297" t="s">
        <v>1131</v>
      </c>
      <c r="E1297">
        <v>66805.8</v>
      </c>
      <c r="F1297" t="s">
        <v>1453</v>
      </c>
      <c r="G1297">
        <v>0.88</v>
      </c>
      <c r="H1297" t="s">
        <v>1462</v>
      </c>
      <c r="I1297" t="s">
        <v>1463</v>
      </c>
    </row>
    <row r="1298" spans="1:9" x14ac:dyDescent="0.35">
      <c r="A1298">
        <v>20260801</v>
      </c>
      <c r="B1298" t="s">
        <v>1158</v>
      </c>
      <c r="C1298">
        <v>6300</v>
      </c>
      <c r="D1298" t="s">
        <v>1131</v>
      </c>
      <c r="E1298">
        <v>87550</v>
      </c>
      <c r="F1298" t="s">
        <v>1453</v>
      </c>
      <c r="G1298">
        <v>0.88</v>
      </c>
      <c r="H1298" t="s">
        <v>1462</v>
      </c>
      <c r="I1298" t="s">
        <v>1463</v>
      </c>
    </row>
    <row r="1299" spans="1:9" x14ac:dyDescent="0.35">
      <c r="A1299">
        <v>20260801</v>
      </c>
      <c r="B1299" t="s">
        <v>1158</v>
      </c>
      <c r="C1299">
        <v>3900</v>
      </c>
      <c r="D1299" t="s">
        <v>1131</v>
      </c>
      <c r="E1299">
        <v>-669500</v>
      </c>
      <c r="F1299" t="s">
        <v>1453</v>
      </c>
      <c r="G1299">
        <v>0.88</v>
      </c>
      <c r="H1299" t="s">
        <v>1462</v>
      </c>
      <c r="I1299" t="s">
        <v>1463</v>
      </c>
    </row>
    <row r="1300" spans="1:9" x14ac:dyDescent="0.35">
      <c r="A1300">
        <v>20260801</v>
      </c>
      <c r="B1300" t="s">
        <v>1243</v>
      </c>
      <c r="C1300">
        <v>5100</v>
      </c>
      <c r="D1300" t="s">
        <v>485</v>
      </c>
      <c r="E1300">
        <v>92700</v>
      </c>
      <c r="F1300" t="s">
        <v>1453</v>
      </c>
      <c r="G1300">
        <v>0.88</v>
      </c>
      <c r="H1300" t="s">
        <v>1462</v>
      </c>
      <c r="I1300" t="s">
        <v>1463</v>
      </c>
    </row>
    <row r="1301" spans="1:9" x14ac:dyDescent="0.35">
      <c r="A1301">
        <v>20260801</v>
      </c>
      <c r="B1301" t="s">
        <v>1243</v>
      </c>
      <c r="C1301">
        <v>3400</v>
      </c>
      <c r="D1301" t="s">
        <v>485</v>
      </c>
      <c r="E1301">
        <v>-92700</v>
      </c>
      <c r="F1301" t="s">
        <v>1453</v>
      </c>
      <c r="G1301">
        <v>0.88</v>
      </c>
      <c r="H1301" t="s">
        <v>1462</v>
      </c>
      <c r="I1301" t="s">
        <v>1463</v>
      </c>
    </row>
    <row r="1302" spans="1:9" x14ac:dyDescent="0.35">
      <c r="A1302">
        <v>20260801</v>
      </c>
      <c r="B1302" t="s">
        <v>1205</v>
      </c>
      <c r="C1302">
        <v>5000</v>
      </c>
      <c r="D1302" t="s">
        <v>1131</v>
      </c>
      <c r="E1302">
        <v>473800</v>
      </c>
      <c r="F1302" t="s">
        <v>1453</v>
      </c>
      <c r="G1302">
        <v>0.88</v>
      </c>
      <c r="H1302" t="s">
        <v>1462</v>
      </c>
      <c r="I1302" t="s">
        <v>1463</v>
      </c>
    </row>
    <row r="1303" spans="1:9" x14ac:dyDescent="0.35">
      <c r="A1303">
        <v>20260801</v>
      </c>
      <c r="B1303" t="s">
        <v>1205</v>
      </c>
      <c r="C1303">
        <v>5400</v>
      </c>
      <c r="D1303" t="s">
        <v>1131</v>
      </c>
      <c r="E1303">
        <v>66805.8</v>
      </c>
      <c r="F1303" t="s">
        <v>1453</v>
      </c>
      <c r="G1303">
        <v>0.88</v>
      </c>
      <c r="H1303" t="s">
        <v>1462</v>
      </c>
      <c r="I1303" t="s">
        <v>1463</v>
      </c>
    </row>
    <row r="1304" spans="1:9" x14ac:dyDescent="0.35">
      <c r="A1304">
        <v>20260801</v>
      </c>
      <c r="B1304" t="s">
        <v>1205</v>
      </c>
      <c r="C1304">
        <v>6300</v>
      </c>
      <c r="D1304" t="s">
        <v>1131</v>
      </c>
      <c r="E1304">
        <v>87550</v>
      </c>
      <c r="F1304" t="s">
        <v>1453</v>
      </c>
      <c r="G1304">
        <v>0.88</v>
      </c>
      <c r="H1304" t="s">
        <v>1462</v>
      </c>
      <c r="I1304" t="s">
        <v>1463</v>
      </c>
    </row>
    <row r="1305" spans="1:9" x14ac:dyDescent="0.35">
      <c r="A1305">
        <v>20260801</v>
      </c>
      <c r="B1305" t="s">
        <v>1205</v>
      </c>
      <c r="C1305">
        <v>3900</v>
      </c>
      <c r="D1305" t="s">
        <v>1131</v>
      </c>
      <c r="E1305">
        <v>-669500</v>
      </c>
      <c r="F1305" t="s">
        <v>1453</v>
      </c>
      <c r="G1305">
        <v>0.88</v>
      </c>
      <c r="H1305" t="s">
        <v>1462</v>
      </c>
      <c r="I1305" t="s">
        <v>1463</v>
      </c>
    </row>
    <row r="1306" spans="1:9" x14ac:dyDescent="0.35">
      <c r="A1306">
        <v>20260801</v>
      </c>
      <c r="B1306" t="s">
        <v>1257</v>
      </c>
      <c r="C1306">
        <v>5100</v>
      </c>
      <c r="D1306" t="s">
        <v>485</v>
      </c>
      <c r="E1306">
        <v>92700</v>
      </c>
      <c r="F1306" t="s">
        <v>1453</v>
      </c>
      <c r="G1306">
        <v>0.88</v>
      </c>
      <c r="H1306" t="s">
        <v>1462</v>
      </c>
      <c r="I1306" t="s">
        <v>1463</v>
      </c>
    </row>
    <row r="1307" spans="1:9" x14ac:dyDescent="0.35">
      <c r="A1307">
        <v>20260801</v>
      </c>
      <c r="B1307" t="s">
        <v>1257</v>
      </c>
      <c r="C1307">
        <v>3400</v>
      </c>
      <c r="D1307" t="s">
        <v>485</v>
      </c>
      <c r="E1307">
        <v>-92700</v>
      </c>
      <c r="F1307" t="s">
        <v>1453</v>
      </c>
      <c r="G1307">
        <v>0.88</v>
      </c>
      <c r="H1307" t="s">
        <v>1462</v>
      </c>
      <c r="I1307" t="s">
        <v>1463</v>
      </c>
    </row>
    <row r="1308" spans="1:9" x14ac:dyDescent="0.35">
      <c r="A1308">
        <v>20260801</v>
      </c>
      <c r="B1308" t="s">
        <v>1164</v>
      </c>
      <c r="C1308">
        <v>5000</v>
      </c>
      <c r="D1308" t="s">
        <v>1131</v>
      </c>
      <c r="E1308">
        <v>473800</v>
      </c>
      <c r="F1308" t="s">
        <v>1453</v>
      </c>
      <c r="G1308">
        <v>0.88</v>
      </c>
      <c r="H1308" t="s">
        <v>1462</v>
      </c>
      <c r="I1308" t="s">
        <v>1463</v>
      </c>
    </row>
    <row r="1309" spans="1:9" x14ac:dyDescent="0.35">
      <c r="A1309">
        <v>20260801</v>
      </c>
      <c r="B1309" t="s">
        <v>1164</v>
      </c>
      <c r="C1309">
        <v>5400</v>
      </c>
      <c r="D1309" t="s">
        <v>1131</v>
      </c>
      <c r="E1309">
        <v>66805.8</v>
      </c>
      <c r="F1309" t="s">
        <v>1453</v>
      </c>
      <c r="G1309">
        <v>0.88</v>
      </c>
      <c r="H1309" t="s">
        <v>1462</v>
      </c>
      <c r="I1309" t="s">
        <v>1463</v>
      </c>
    </row>
    <row r="1310" spans="1:9" x14ac:dyDescent="0.35">
      <c r="A1310">
        <v>20260801</v>
      </c>
      <c r="B1310" t="s">
        <v>1164</v>
      </c>
      <c r="C1310">
        <v>6300</v>
      </c>
      <c r="D1310" t="s">
        <v>1131</v>
      </c>
      <c r="E1310">
        <v>87550</v>
      </c>
      <c r="F1310" t="s">
        <v>1453</v>
      </c>
      <c r="G1310">
        <v>0.88</v>
      </c>
      <c r="H1310" t="s">
        <v>1462</v>
      </c>
      <c r="I1310" t="s">
        <v>1463</v>
      </c>
    </row>
    <row r="1311" spans="1:9" x14ac:dyDescent="0.35">
      <c r="A1311">
        <v>20260801</v>
      </c>
      <c r="B1311" t="s">
        <v>1164</v>
      </c>
      <c r="C1311">
        <v>3900</v>
      </c>
      <c r="D1311" t="s">
        <v>1131</v>
      </c>
      <c r="E1311">
        <v>-669500</v>
      </c>
      <c r="F1311" t="s">
        <v>1453</v>
      </c>
      <c r="G1311">
        <v>0.88</v>
      </c>
      <c r="H1311" t="s">
        <v>1462</v>
      </c>
      <c r="I1311" t="s">
        <v>1463</v>
      </c>
    </row>
    <row r="1312" spans="1:9" x14ac:dyDescent="0.35">
      <c r="A1312">
        <v>20260801</v>
      </c>
      <c r="B1312" t="s">
        <v>1249</v>
      </c>
      <c r="C1312">
        <v>5100</v>
      </c>
      <c r="D1312" t="s">
        <v>485</v>
      </c>
      <c r="E1312">
        <v>92700</v>
      </c>
      <c r="F1312" t="s">
        <v>1453</v>
      </c>
      <c r="G1312">
        <v>0.88</v>
      </c>
      <c r="H1312" t="s">
        <v>1462</v>
      </c>
      <c r="I1312" t="s">
        <v>1463</v>
      </c>
    </row>
    <row r="1313" spans="1:9" x14ac:dyDescent="0.35">
      <c r="A1313">
        <v>20260801</v>
      </c>
      <c r="B1313" t="s">
        <v>1249</v>
      </c>
      <c r="C1313">
        <v>3400</v>
      </c>
      <c r="D1313" t="s">
        <v>485</v>
      </c>
      <c r="E1313">
        <v>-92700</v>
      </c>
      <c r="F1313" t="s">
        <v>1453</v>
      </c>
      <c r="G1313">
        <v>0.88</v>
      </c>
      <c r="H1313" t="s">
        <v>1462</v>
      </c>
      <c r="I1313" t="s">
        <v>1463</v>
      </c>
    </row>
    <row r="1314" spans="1:9" x14ac:dyDescent="0.35">
      <c r="A1314">
        <v>20260801</v>
      </c>
      <c r="B1314" t="s">
        <v>1169</v>
      </c>
      <c r="C1314">
        <v>5000</v>
      </c>
      <c r="D1314" t="s">
        <v>1131</v>
      </c>
      <c r="E1314">
        <v>473800</v>
      </c>
      <c r="F1314" t="s">
        <v>1453</v>
      </c>
      <c r="G1314">
        <v>0.88</v>
      </c>
      <c r="H1314" t="s">
        <v>1462</v>
      </c>
      <c r="I1314" t="s">
        <v>1463</v>
      </c>
    </row>
    <row r="1315" spans="1:9" x14ac:dyDescent="0.35">
      <c r="A1315">
        <v>20260801</v>
      </c>
      <c r="B1315" t="s">
        <v>1169</v>
      </c>
      <c r="C1315">
        <v>5400</v>
      </c>
      <c r="D1315" t="s">
        <v>1131</v>
      </c>
      <c r="E1315">
        <v>66805.8</v>
      </c>
      <c r="F1315" t="s">
        <v>1453</v>
      </c>
      <c r="G1315">
        <v>0.88</v>
      </c>
      <c r="H1315" t="s">
        <v>1462</v>
      </c>
      <c r="I1315" t="s">
        <v>1463</v>
      </c>
    </row>
    <row r="1316" spans="1:9" x14ac:dyDescent="0.35">
      <c r="A1316">
        <v>20260801</v>
      </c>
      <c r="B1316" t="s">
        <v>1169</v>
      </c>
      <c r="C1316">
        <v>6300</v>
      </c>
      <c r="D1316" t="s">
        <v>1131</v>
      </c>
      <c r="E1316">
        <v>87550</v>
      </c>
      <c r="F1316" t="s">
        <v>1453</v>
      </c>
      <c r="G1316">
        <v>0.88</v>
      </c>
      <c r="H1316" t="s">
        <v>1462</v>
      </c>
      <c r="I1316" t="s">
        <v>1463</v>
      </c>
    </row>
    <row r="1317" spans="1:9" x14ac:dyDescent="0.35">
      <c r="A1317">
        <v>20260801</v>
      </c>
      <c r="B1317" t="s">
        <v>1169</v>
      </c>
      <c r="C1317">
        <v>3900</v>
      </c>
      <c r="D1317" t="s">
        <v>1131</v>
      </c>
      <c r="E1317">
        <v>-669500</v>
      </c>
      <c r="F1317" t="s">
        <v>1453</v>
      </c>
      <c r="G1317">
        <v>0.88</v>
      </c>
      <c r="H1317" t="s">
        <v>1462</v>
      </c>
      <c r="I1317" t="s">
        <v>1463</v>
      </c>
    </row>
    <row r="1318" spans="1:9" x14ac:dyDescent="0.35">
      <c r="A1318">
        <v>20260801</v>
      </c>
      <c r="B1318" t="s">
        <v>1260</v>
      </c>
      <c r="C1318">
        <v>5100</v>
      </c>
      <c r="D1318" t="s">
        <v>485</v>
      </c>
      <c r="E1318">
        <v>92700</v>
      </c>
      <c r="F1318" t="s">
        <v>1453</v>
      </c>
      <c r="G1318">
        <v>0.88</v>
      </c>
      <c r="H1318" t="s">
        <v>1462</v>
      </c>
      <c r="I1318" t="s">
        <v>1463</v>
      </c>
    </row>
    <row r="1319" spans="1:9" x14ac:dyDescent="0.35">
      <c r="A1319">
        <v>20260801</v>
      </c>
      <c r="B1319" t="s">
        <v>1260</v>
      </c>
      <c r="C1319">
        <v>3400</v>
      </c>
      <c r="D1319" t="s">
        <v>485</v>
      </c>
      <c r="E1319">
        <v>-92700</v>
      </c>
      <c r="F1319" t="s">
        <v>1453</v>
      </c>
      <c r="G1319">
        <v>0.88</v>
      </c>
      <c r="H1319" t="s">
        <v>1462</v>
      </c>
      <c r="I1319" t="s">
        <v>1463</v>
      </c>
    </row>
    <row r="1320" spans="1:9" x14ac:dyDescent="0.35">
      <c r="A1320">
        <v>20260801</v>
      </c>
      <c r="B1320" t="s">
        <v>1175</v>
      </c>
      <c r="C1320">
        <v>5000</v>
      </c>
      <c r="D1320" t="s">
        <v>1131</v>
      </c>
      <c r="E1320">
        <v>473800</v>
      </c>
      <c r="F1320" t="s">
        <v>1453</v>
      </c>
      <c r="G1320">
        <v>0.88</v>
      </c>
      <c r="H1320" t="s">
        <v>1462</v>
      </c>
      <c r="I1320" t="s">
        <v>1463</v>
      </c>
    </row>
    <row r="1321" spans="1:9" x14ac:dyDescent="0.35">
      <c r="A1321">
        <v>20260801</v>
      </c>
      <c r="B1321" t="s">
        <v>1175</v>
      </c>
      <c r="C1321">
        <v>5400</v>
      </c>
      <c r="D1321" t="s">
        <v>1131</v>
      </c>
      <c r="E1321">
        <v>66805.8</v>
      </c>
      <c r="F1321" t="s">
        <v>1453</v>
      </c>
      <c r="G1321">
        <v>0.88</v>
      </c>
      <c r="H1321" t="s">
        <v>1462</v>
      </c>
      <c r="I1321" t="s">
        <v>1463</v>
      </c>
    </row>
    <row r="1322" spans="1:9" x14ac:dyDescent="0.35">
      <c r="A1322">
        <v>20260801</v>
      </c>
      <c r="B1322" t="s">
        <v>1175</v>
      </c>
      <c r="C1322">
        <v>6300</v>
      </c>
      <c r="D1322" t="s">
        <v>1131</v>
      </c>
      <c r="E1322">
        <v>87550</v>
      </c>
      <c r="F1322" t="s">
        <v>1453</v>
      </c>
      <c r="G1322">
        <v>0.88</v>
      </c>
      <c r="H1322" t="s">
        <v>1462</v>
      </c>
      <c r="I1322" t="s">
        <v>1463</v>
      </c>
    </row>
    <row r="1323" spans="1:9" x14ac:dyDescent="0.35">
      <c r="A1323">
        <v>20260801</v>
      </c>
      <c r="B1323" t="s">
        <v>1175</v>
      </c>
      <c r="C1323">
        <v>3900</v>
      </c>
      <c r="D1323" t="s">
        <v>1131</v>
      </c>
      <c r="E1323">
        <v>-669500</v>
      </c>
      <c r="F1323" t="s">
        <v>1453</v>
      </c>
      <c r="G1323">
        <v>0.88</v>
      </c>
      <c r="H1323" t="s">
        <v>1462</v>
      </c>
      <c r="I1323" t="s">
        <v>1463</v>
      </c>
    </row>
    <row r="1324" spans="1:9" x14ac:dyDescent="0.35">
      <c r="A1324">
        <v>20260801</v>
      </c>
      <c r="B1324" t="s">
        <v>1247</v>
      </c>
      <c r="C1324">
        <v>5100</v>
      </c>
      <c r="D1324" t="s">
        <v>485</v>
      </c>
      <c r="E1324">
        <v>92700</v>
      </c>
      <c r="F1324" t="s">
        <v>1453</v>
      </c>
      <c r="G1324">
        <v>0.88</v>
      </c>
      <c r="H1324" t="s">
        <v>1462</v>
      </c>
      <c r="I1324" t="s">
        <v>1463</v>
      </c>
    </row>
    <row r="1325" spans="1:9" x14ac:dyDescent="0.35">
      <c r="A1325">
        <v>20260801</v>
      </c>
      <c r="B1325" t="s">
        <v>1247</v>
      </c>
      <c r="C1325">
        <v>3400</v>
      </c>
      <c r="D1325" t="s">
        <v>485</v>
      </c>
      <c r="E1325">
        <v>-92700</v>
      </c>
      <c r="F1325" t="s">
        <v>1453</v>
      </c>
      <c r="G1325">
        <v>0.88</v>
      </c>
      <c r="H1325" t="s">
        <v>1462</v>
      </c>
      <c r="I1325" t="s">
        <v>1463</v>
      </c>
    </row>
    <row r="1326" spans="1:9" x14ac:dyDescent="0.35">
      <c r="A1326">
        <v>20260801</v>
      </c>
      <c r="B1326" t="s">
        <v>1130</v>
      </c>
      <c r="C1326">
        <v>5000</v>
      </c>
      <c r="D1326" t="s">
        <v>1131</v>
      </c>
      <c r="E1326">
        <v>473800</v>
      </c>
      <c r="F1326" t="s">
        <v>1453</v>
      </c>
      <c r="G1326">
        <v>0.88</v>
      </c>
      <c r="H1326" t="s">
        <v>1462</v>
      </c>
      <c r="I1326" t="s">
        <v>1463</v>
      </c>
    </row>
    <row r="1327" spans="1:9" x14ac:dyDescent="0.35">
      <c r="A1327">
        <v>20260801</v>
      </c>
      <c r="B1327" t="s">
        <v>1130</v>
      </c>
      <c r="C1327">
        <v>5400</v>
      </c>
      <c r="D1327" t="s">
        <v>1131</v>
      </c>
      <c r="E1327">
        <v>66805.8</v>
      </c>
      <c r="F1327" t="s">
        <v>1453</v>
      </c>
      <c r="G1327">
        <v>0.88</v>
      </c>
      <c r="H1327" t="s">
        <v>1462</v>
      </c>
      <c r="I1327" t="s">
        <v>1463</v>
      </c>
    </row>
    <row r="1328" spans="1:9" x14ac:dyDescent="0.35">
      <c r="A1328">
        <v>20260801</v>
      </c>
      <c r="B1328" t="s">
        <v>1130</v>
      </c>
      <c r="C1328">
        <v>6300</v>
      </c>
      <c r="D1328" t="s">
        <v>1131</v>
      </c>
      <c r="E1328">
        <v>87550</v>
      </c>
      <c r="F1328" t="s">
        <v>1453</v>
      </c>
      <c r="G1328">
        <v>0.88</v>
      </c>
      <c r="H1328" t="s">
        <v>1462</v>
      </c>
      <c r="I1328" t="s">
        <v>1463</v>
      </c>
    </row>
    <row r="1329" spans="1:9" x14ac:dyDescent="0.35">
      <c r="A1329">
        <v>20260801</v>
      </c>
      <c r="B1329" t="s">
        <v>1130</v>
      </c>
      <c r="C1329">
        <v>3900</v>
      </c>
      <c r="D1329" t="s">
        <v>1131</v>
      </c>
      <c r="E1329">
        <v>-669500</v>
      </c>
      <c r="F1329" t="s">
        <v>1453</v>
      </c>
      <c r="G1329">
        <v>0.88</v>
      </c>
      <c r="H1329" t="s">
        <v>1462</v>
      </c>
      <c r="I1329" t="s">
        <v>1463</v>
      </c>
    </row>
    <row r="1330" spans="1:9" x14ac:dyDescent="0.35">
      <c r="A1330">
        <v>20260801</v>
      </c>
      <c r="B1330" t="s">
        <v>1265</v>
      </c>
      <c r="C1330">
        <v>5100</v>
      </c>
      <c r="D1330" t="s">
        <v>485</v>
      </c>
      <c r="E1330">
        <v>92700</v>
      </c>
      <c r="F1330" t="s">
        <v>1453</v>
      </c>
      <c r="G1330">
        <v>0.88</v>
      </c>
      <c r="H1330" t="s">
        <v>1462</v>
      </c>
      <c r="I1330" t="s">
        <v>1463</v>
      </c>
    </row>
    <row r="1331" spans="1:9" x14ac:dyDescent="0.35">
      <c r="A1331">
        <v>20260801</v>
      </c>
      <c r="B1331" t="s">
        <v>1265</v>
      </c>
      <c r="C1331">
        <v>3400</v>
      </c>
      <c r="D1331" t="s">
        <v>485</v>
      </c>
      <c r="E1331">
        <v>-92700</v>
      </c>
      <c r="F1331" t="s">
        <v>1453</v>
      </c>
      <c r="G1331">
        <v>0.88</v>
      </c>
      <c r="H1331" t="s">
        <v>1462</v>
      </c>
      <c r="I1331" t="s">
        <v>1463</v>
      </c>
    </row>
    <row r="1332" spans="1:9" x14ac:dyDescent="0.35">
      <c r="A1332">
        <v>20260801</v>
      </c>
      <c r="B1332" t="s">
        <v>1173</v>
      </c>
      <c r="C1332">
        <v>5000</v>
      </c>
      <c r="D1332" t="s">
        <v>1131</v>
      </c>
      <c r="E1332">
        <v>473800</v>
      </c>
      <c r="F1332" t="s">
        <v>1453</v>
      </c>
      <c r="G1332">
        <v>0.88</v>
      </c>
      <c r="H1332" t="s">
        <v>1462</v>
      </c>
      <c r="I1332" t="s">
        <v>1463</v>
      </c>
    </row>
    <row r="1333" spans="1:9" x14ac:dyDescent="0.35">
      <c r="A1333">
        <v>20260801</v>
      </c>
      <c r="B1333" t="s">
        <v>1173</v>
      </c>
      <c r="C1333">
        <v>5400</v>
      </c>
      <c r="D1333" t="s">
        <v>1131</v>
      </c>
      <c r="E1333">
        <v>66805.8</v>
      </c>
      <c r="F1333" t="s">
        <v>1453</v>
      </c>
      <c r="G1333">
        <v>0.88</v>
      </c>
      <c r="H1333" t="s">
        <v>1462</v>
      </c>
      <c r="I1333" t="s">
        <v>1463</v>
      </c>
    </row>
    <row r="1334" spans="1:9" x14ac:dyDescent="0.35">
      <c r="A1334">
        <v>20260801</v>
      </c>
      <c r="B1334" t="s">
        <v>1173</v>
      </c>
      <c r="C1334">
        <v>6300</v>
      </c>
      <c r="D1334" t="s">
        <v>1131</v>
      </c>
      <c r="E1334">
        <v>87550</v>
      </c>
      <c r="F1334" t="s">
        <v>1453</v>
      </c>
      <c r="G1334">
        <v>0.88</v>
      </c>
      <c r="H1334" t="s">
        <v>1462</v>
      </c>
      <c r="I1334" t="s">
        <v>1463</v>
      </c>
    </row>
    <row r="1335" spans="1:9" x14ac:dyDescent="0.35">
      <c r="A1335">
        <v>20260801</v>
      </c>
      <c r="B1335" t="s">
        <v>1173</v>
      </c>
      <c r="C1335">
        <v>3900</v>
      </c>
      <c r="D1335" t="s">
        <v>1131</v>
      </c>
      <c r="E1335">
        <v>-669500</v>
      </c>
      <c r="F1335" t="s">
        <v>1453</v>
      </c>
      <c r="G1335">
        <v>0.88</v>
      </c>
      <c r="H1335" t="s">
        <v>1462</v>
      </c>
      <c r="I1335" t="s">
        <v>1463</v>
      </c>
    </row>
    <row r="1336" spans="1:9" x14ac:dyDescent="0.35">
      <c r="A1336">
        <v>20260801</v>
      </c>
      <c r="B1336" t="s">
        <v>1255</v>
      </c>
      <c r="C1336">
        <v>5100</v>
      </c>
      <c r="D1336" t="s">
        <v>485</v>
      </c>
      <c r="E1336">
        <v>92700</v>
      </c>
      <c r="F1336" t="s">
        <v>1453</v>
      </c>
      <c r="G1336">
        <v>0.88</v>
      </c>
      <c r="H1336" t="s">
        <v>1462</v>
      </c>
      <c r="I1336" t="s">
        <v>1463</v>
      </c>
    </row>
    <row r="1337" spans="1:9" x14ac:dyDescent="0.35">
      <c r="A1337">
        <v>20260801</v>
      </c>
      <c r="B1337" t="s">
        <v>1255</v>
      </c>
      <c r="C1337">
        <v>3400</v>
      </c>
      <c r="D1337" t="s">
        <v>485</v>
      </c>
      <c r="E1337">
        <v>-92700</v>
      </c>
      <c r="F1337" t="s">
        <v>1453</v>
      </c>
      <c r="G1337">
        <v>0.88</v>
      </c>
      <c r="H1337" t="s">
        <v>1462</v>
      </c>
      <c r="I1337" t="s">
        <v>1463</v>
      </c>
    </row>
    <row r="1338" spans="1:9" x14ac:dyDescent="0.35">
      <c r="A1338">
        <v>20260801</v>
      </c>
      <c r="B1338" t="s">
        <v>1155</v>
      </c>
      <c r="C1338">
        <v>5000</v>
      </c>
      <c r="D1338" t="s">
        <v>1131</v>
      </c>
      <c r="E1338">
        <v>473800</v>
      </c>
      <c r="F1338" t="s">
        <v>1453</v>
      </c>
      <c r="G1338">
        <v>0.88</v>
      </c>
      <c r="H1338" t="s">
        <v>1462</v>
      </c>
      <c r="I1338" t="s">
        <v>1463</v>
      </c>
    </row>
    <row r="1339" spans="1:9" x14ac:dyDescent="0.35">
      <c r="A1339">
        <v>20260801</v>
      </c>
      <c r="B1339" t="s">
        <v>1155</v>
      </c>
      <c r="C1339">
        <v>5400</v>
      </c>
      <c r="D1339" t="s">
        <v>1131</v>
      </c>
      <c r="E1339">
        <v>66805.8</v>
      </c>
      <c r="F1339" t="s">
        <v>1453</v>
      </c>
      <c r="G1339">
        <v>0.88</v>
      </c>
      <c r="H1339" t="s">
        <v>1462</v>
      </c>
      <c r="I1339" t="s">
        <v>1463</v>
      </c>
    </row>
    <row r="1340" spans="1:9" x14ac:dyDescent="0.35">
      <c r="A1340">
        <v>20260801</v>
      </c>
      <c r="B1340" t="s">
        <v>1155</v>
      </c>
      <c r="C1340">
        <v>6300</v>
      </c>
      <c r="D1340" t="s">
        <v>1131</v>
      </c>
      <c r="E1340">
        <v>87550</v>
      </c>
      <c r="F1340" t="s">
        <v>1453</v>
      </c>
      <c r="G1340">
        <v>0.88</v>
      </c>
      <c r="H1340" t="s">
        <v>1462</v>
      </c>
      <c r="I1340" t="s">
        <v>1463</v>
      </c>
    </row>
    <row r="1341" spans="1:9" x14ac:dyDescent="0.35">
      <c r="A1341">
        <v>20260801</v>
      </c>
      <c r="B1341" t="s">
        <v>1155</v>
      </c>
      <c r="C1341">
        <v>3900</v>
      </c>
      <c r="D1341" t="s">
        <v>1131</v>
      </c>
      <c r="E1341">
        <v>-669500</v>
      </c>
      <c r="F1341" t="s">
        <v>1453</v>
      </c>
      <c r="G1341">
        <v>0.88</v>
      </c>
      <c r="H1341" t="s">
        <v>1462</v>
      </c>
      <c r="I1341" t="s">
        <v>1463</v>
      </c>
    </row>
    <row r="1342" spans="1:9" x14ac:dyDescent="0.35">
      <c r="A1342">
        <v>20260801</v>
      </c>
      <c r="B1342" t="s">
        <v>1138</v>
      </c>
      <c r="C1342">
        <v>5000</v>
      </c>
      <c r="D1342" t="s">
        <v>1131</v>
      </c>
      <c r="E1342">
        <v>473800</v>
      </c>
      <c r="F1342" t="s">
        <v>1453</v>
      </c>
      <c r="G1342">
        <v>0.88</v>
      </c>
      <c r="H1342" t="s">
        <v>1462</v>
      </c>
      <c r="I1342" t="s">
        <v>1463</v>
      </c>
    </row>
    <row r="1343" spans="1:9" x14ac:dyDescent="0.35">
      <c r="A1343">
        <v>20260801</v>
      </c>
      <c r="B1343" t="s">
        <v>1138</v>
      </c>
      <c r="C1343">
        <v>5400</v>
      </c>
      <c r="D1343" t="s">
        <v>1131</v>
      </c>
      <c r="E1343">
        <v>66805.8</v>
      </c>
      <c r="F1343" t="s">
        <v>1453</v>
      </c>
      <c r="G1343">
        <v>0.88</v>
      </c>
      <c r="H1343" t="s">
        <v>1462</v>
      </c>
      <c r="I1343" t="s">
        <v>1463</v>
      </c>
    </row>
    <row r="1344" spans="1:9" x14ac:dyDescent="0.35">
      <c r="A1344">
        <v>20260801</v>
      </c>
      <c r="B1344" t="s">
        <v>1138</v>
      </c>
      <c r="C1344">
        <v>6300</v>
      </c>
      <c r="D1344" t="s">
        <v>1131</v>
      </c>
      <c r="E1344">
        <v>87550</v>
      </c>
      <c r="F1344" t="s">
        <v>1453</v>
      </c>
      <c r="G1344">
        <v>0.88</v>
      </c>
      <c r="H1344" t="s">
        <v>1462</v>
      </c>
      <c r="I1344" t="s">
        <v>1463</v>
      </c>
    </row>
    <row r="1345" spans="1:9" x14ac:dyDescent="0.35">
      <c r="A1345">
        <v>20260801</v>
      </c>
      <c r="B1345" t="s">
        <v>1138</v>
      </c>
      <c r="C1345">
        <v>3900</v>
      </c>
      <c r="D1345" t="s">
        <v>1131</v>
      </c>
      <c r="E1345">
        <v>-669500</v>
      </c>
      <c r="F1345" t="s">
        <v>1453</v>
      </c>
      <c r="G1345">
        <v>0.88</v>
      </c>
      <c r="H1345" t="s">
        <v>1462</v>
      </c>
      <c r="I1345" t="s">
        <v>1463</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64748B"/>
  </sheetPr>
  <dimension ref="A1:F1201"/>
  <sheetViews>
    <sheetView zoomScale="85" workbookViewId="0"/>
  </sheetViews>
  <sheetFormatPr defaultRowHeight="14.5" x14ac:dyDescent="0.35"/>
  <cols>
    <col min="1" max="1" width="13" customWidth="1"/>
    <col min="2" max="2" width="22" customWidth="1"/>
    <col min="3" max="3" width="18" customWidth="1"/>
    <col min="4" max="4" width="11" customWidth="1"/>
    <col min="5" max="5" width="18" customWidth="1"/>
    <col min="6" max="6" width="11" customWidth="1"/>
  </cols>
  <sheetData>
    <row r="1" spans="1:6" ht="20" customHeight="1" x14ac:dyDescent="0.35">
      <c r="A1" s="2" t="s">
        <v>1447</v>
      </c>
      <c r="B1" s="2" t="s">
        <v>1385</v>
      </c>
      <c r="C1" s="2" t="s">
        <v>1283</v>
      </c>
      <c r="D1" s="2" t="s">
        <v>1464</v>
      </c>
      <c r="E1" s="2" t="s">
        <v>1465</v>
      </c>
      <c r="F1" s="2" t="s">
        <v>1449</v>
      </c>
    </row>
    <row r="2" spans="1:6" x14ac:dyDescent="0.35">
      <c r="A2">
        <v>20260101</v>
      </c>
      <c r="B2" t="s">
        <v>1150</v>
      </c>
      <c r="C2" t="s">
        <v>1466</v>
      </c>
      <c r="D2">
        <v>6</v>
      </c>
      <c r="E2">
        <v>6</v>
      </c>
      <c r="F2" t="s">
        <v>692</v>
      </c>
    </row>
    <row r="3" spans="1:6" x14ac:dyDescent="0.35">
      <c r="A3">
        <v>20260101</v>
      </c>
      <c r="B3" t="s">
        <v>1150</v>
      </c>
      <c r="C3" t="s">
        <v>1467</v>
      </c>
      <c r="D3">
        <v>8.5</v>
      </c>
      <c r="E3">
        <v>8.5</v>
      </c>
      <c r="F3" t="s">
        <v>692</v>
      </c>
    </row>
    <row r="4" spans="1:6" x14ac:dyDescent="0.35">
      <c r="A4">
        <v>20260101</v>
      </c>
      <c r="B4" t="s">
        <v>1150</v>
      </c>
      <c r="C4" t="s">
        <v>1468</v>
      </c>
      <c r="D4">
        <v>4</v>
      </c>
      <c r="E4">
        <v>4</v>
      </c>
      <c r="F4" t="s">
        <v>692</v>
      </c>
    </row>
    <row r="5" spans="1:6" x14ac:dyDescent="0.35">
      <c r="A5">
        <v>20260101</v>
      </c>
      <c r="B5" t="s">
        <v>1150</v>
      </c>
      <c r="C5" t="s">
        <v>1469</v>
      </c>
      <c r="D5">
        <v>3</v>
      </c>
      <c r="E5">
        <v>0</v>
      </c>
      <c r="F5" t="s">
        <v>692</v>
      </c>
    </row>
    <row r="6" spans="1:6" x14ac:dyDescent="0.35">
      <c r="A6">
        <v>20260101</v>
      </c>
      <c r="B6" t="s">
        <v>1150</v>
      </c>
      <c r="C6" t="s">
        <v>1470</v>
      </c>
      <c r="D6">
        <v>1.5</v>
      </c>
      <c r="E6">
        <v>0</v>
      </c>
      <c r="F6" t="s">
        <v>692</v>
      </c>
    </row>
    <row r="7" spans="1:6" x14ac:dyDescent="0.35">
      <c r="A7">
        <v>20260101</v>
      </c>
      <c r="B7" t="s">
        <v>1158</v>
      </c>
      <c r="C7" t="s">
        <v>1466</v>
      </c>
      <c r="D7">
        <v>6</v>
      </c>
      <c r="E7">
        <v>6</v>
      </c>
      <c r="F7" t="s">
        <v>692</v>
      </c>
    </row>
    <row r="8" spans="1:6" x14ac:dyDescent="0.35">
      <c r="A8">
        <v>20260101</v>
      </c>
      <c r="B8" t="s">
        <v>1158</v>
      </c>
      <c r="C8" t="s">
        <v>1467</v>
      </c>
      <c r="D8">
        <v>8.5</v>
      </c>
      <c r="E8">
        <v>8.5</v>
      </c>
      <c r="F8" t="s">
        <v>692</v>
      </c>
    </row>
    <row r="9" spans="1:6" x14ac:dyDescent="0.35">
      <c r="A9">
        <v>20260101</v>
      </c>
      <c r="B9" t="s">
        <v>1158</v>
      </c>
      <c r="C9" t="s">
        <v>1468</v>
      </c>
      <c r="D9">
        <v>4</v>
      </c>
      <c r="E9">
        <v>4</v>
      </c>
      <c r="F9" t="s">
        <v>692</v>
      </c>
    </row>
    <row r="10" spans="1:6" x14ac:dyDescent="0.35">
      <c r="A10">
        <v>20260101</v>
      </c>
      <c r="B10" t="s">
        <v>1158</v>
      </c>
      <c r="C10" t="s">
        <v>1469</v>
      </c>
      <c r="D10">
        <v>3</v>
      </c>
      <c r="E10">
        <v>0</v>
      </c>
      <c r="F10" t="s">
        <v>692</v>
      </c>
    </row>
    <row r="11" spans="1:6" x14ac:dyDescent="0.35">
      <c r="A11">
        <v>20260101</v>
      </c>
      <c r="B11" t="s">
        <v>1158</v>
      </c>
      <c r="C11" t="s">
        <v>1470</v>
      </c>
      <c r="D11">
        <v>1.5</v>
      </c>
      <c r="E11">
        <v>0</v>
      </c>
      <c r="F11" t="s">
        <v>692</v>
      </c>
    </row>
    <row r="12" spans="1:6" x14ac:dyDescent="0.35">
      <c r="A12">
        <v>20260101</v>
      </c>
      <c r="B12" t="s">
        <v>1205</v>
      </c>
      <c r="C12" t="s">
        <v>1466</v>
      </c>
      <c r="D12">
        <v>6</v>
      </c>
      <c r="E12">
        <v>6</v>
      </c>
      <c r="F12" t="s">
        <v>692</v>
      </c>
    </row>
    <row r="13" spans="1:6" x14ac:dyDescent="0.35">
      <c r="A13">
        <v>20260101</v>
      </c>
      <c r="B13" t="s">
        <v>1205</v>
      </c>
      <c r="C13" t="s">
        <v>1467</v>
      </c>
      <c r="D13">
        <v>8.5</v>
      </c>
      <c r="E13">
        <v>8.5</v>
      </c>
      <c r="F13" t="s">
        <v>692</v>
      </c>
    </row>
    <row r="14" spans="1:6" x14ac:dyDescent="0.35">
      <c r="A14">
        <v>20260101</v>
      </c>
      <c r="B14" t="s">
        <v>1205</v>
      </c>
      <c r="C14" t="s">
        <v>1468</v>
      </c>
      <c r="D14">
        <v>4</v>
      </c>
      <c r="E14">
        <v>4</v>
      </c>
      <c r="F14" t="s">
        <v>692</v>
      </c>
    </row>
    <row r="15" spans="1:6" x14ac:dyDescent="0.35">
      <c r="A15">
        <v>20260101</v>
      </c>
      <c r="B15" t="s">
        <v>1205</v>
      </c>
      <c r="C15" t="s">
        <v>1469</v>
      </c>
      <c r="D15">
        <v>3</v>
      </c>
      <c r="E15">
        <v>0</v>
      </c>
      <c r="F15" t="s">
        <v>692</v>
      </c>
    </row>
    <row r="16" spans="1:6" x14ac:dyDescent="0.35">
      <c r="A16">
        <v>20260101</v>
      </c>
      <c r="B16" t="s">
        <v>1205</v>
      </c>
      <c r="C16" t="s">
        <v>1470</v>
      </c>
      <c r="D16">
        <v>1.5</v>
      </c>
      <c r="E16">
        <v>0</v>
      </c>
      <c r="F16" t="s">
        <v>692</v>
      </c>
    </row>
    <row r="17" spans="1:6" x14ac:dyDescent="0.35">
      <c r="A17">
        <v>20260101</v>
      </c>
      <c r="B17" t="s">
        <v>1164</v>
      </c>
      <c r="C17" t="s">
        <v>1466</v>
      </c>
      <c r="D17">
        <v>6</v>
      </c>
      <c r="E17">
        <v>6</v>
      </c>
      <c r="F17" t="s">
        <v>692</v>
      </c>
    </row>
    <row r="18" spans="1:6" x14ac:dyDescent="0.35">
      <c r="A18">
        <v>20260101</v>
      </c>
      <c r="B18" t="s">
        <v>1164</v>
      </c>
      <c r="C18" t="s">
        <v>1467</v>
      </c>
      <c r="D18">
        <v>8.5</v>
      </c>
      <c r="E18">
        <v>8.5</v>
      </c>
      <c r="F18" t="s">
        <v>692</v>
      </c>
    </row>
    <row r="19" spans="1:6" x14ac:dyDescent="0.35">
      <c r="A19">
        <v>20260101</v>
      </c>
      <c r="B19" t="s">
        <v>1164</v>
      </c>
      <c r="C19" t="s">
        <v>1468</v>
      </c>
      <c r="D19">
        <v>4</v>
      </c>
      <c r="E19">
        <v>4</v>
      </c>
      <c r="F19" t="s">
        <v>692</v>
      </c>
    </row>
    <row r="20" spans="1:6" x14ac:dyDescent="0.35">
      <c r="A20">
        <v>20260101</v>
      </c>
      <c r="B20" t="s">
        <v>1164</v>
      </c>
      <c r="C20" t="s">
        <v>1469</v>
      </c>
      <c r="D20">
        <v>3</v>
      </c>
      <c r="E20">
        <v>0</v>
      </c>
      <c r="F20" t="s">
        <v>692</v>
      </c>
    </row>
    <row r="21" spans="1:6" x14ac:dyDescent="0.35">
      <c r="A21">
        <v>20260101</v>
      </c>
      <c r="B21" t="s">
        <v>1164</v>
      </c>
      <c r="C21" t="s">
        <v>1470</v>
      </c>
      <c r="D21">
        <v>1.5</v>
      </c>
      <c r="E21">
        <v>0</v>
      </c>
      <c r="F21" t="s">
        <v>692</v>
      </c>
    </row>
    <row r="22" spans="1:6" x14ac:dyDescent="0.35">
      <c r="A22">
        <v>20260101</v>
      </c>
      <c r="B22" t="s">
        <v>1169</v>
      </c>
      <c r="C22" t="s">
        <v>1466</v>
      </c>
      <c r="D22">
        <v>6</v>
      </c>
      <c r="E22">
        <v>6</v>
      </c>
      <c r="F22" t="s">
        <v>692</v>
      </c>
    </row>
    <row r="23" spans="1:6" x14ac:dyDescent="0.35">
      <c r="A23">
        <v>20260101</v>
      </c>
      <c r="B23" t="s">
        <v>1169</v>
      </c>
      <c r="C23" t="s">
        <v>1467</v>
      </c>
      <c r="D23">
        <v>8.5</v>
      </c>
      <c r="E23">
        <v>8.5</v>
      </c>
      <c r="F23" t="s">
        <v>692</v>
      </c>
    </row>
    <row r="24" spans="1:6" x14ac:dyDescent="0.35">
      <c r="A24">
        <v>20260101</v>
      </c>
      <c r="B24" t="s">
        <v>1169</v>
      </c>
      <c r="C24" t="s">
        <v>1468</v>
      </c>
      <c r="D24">
        <v>4</v>
      </c>
      <c r="E24">
        <v>4</v>
      </c>
      <c r="F24" t="s">
        <v>692</v>
      </c>
    </row>
    <row r="25" spans="1:6" x14ac:dyDescent="0.35">
      <c r="A25">
        <v>20260101</v>
      </c>
      <c r="B25" t="s">
        <v>1169</v>
      </c>
      <c r="C25" t="s">
        <v>1469</v>
      </c>
      <c r="D25">
        <v>3</v>
      </c>
      <c r="E25">
        <v>0</v>
      </c>
      <c r="F25" t="s">
        <v>692</v>
      </c>
    </row>
    <row r="26" spans="1:6" x14ac:dyDescent="0.35">
      <c r="A26">
        <v>20260101</v>
      </c>
      <c r="B26" t="s">
        <v>1169</v>
      </c>
      <c r="C26" t="s">
        <v>1470</v>
      </c>
      <c r="D26">
        <v>1.5</v>
      </c>
      <c r="E26">
        <v>0</v>
      </c>
      <c r="F26" t="s">
        <v>692</v>
      </c>
    </row>
    <row r="27" spans="1:6" x14ac:dyDescent="0.35">
      <c r="A27">
        <v>20260101</v>
      </c>
      <c r="B27" t="s">
        <v>1175</v>
      </c>
      <c r="C27" t="s">
        <v>1466</v>
      </c>
      <c r="D27">
        <v>6</v>
      </c>
      <c r="E27">
        <v>6</v>
      </c>
      <c r="F27" t="s">
        <v>692</v>
      </c>
    </row>
    <row r="28" spans="1:6" x14ac:dyDescent="0.35">
      <c r="A28">
        <v>20260101</v>
      </c>
      <c r="B28" t="s">
        <v>1175</v>
      </c>
      <c r="C28" t="s">
        <v>1467</v>
      </c>
      <c r="D28">
        <v>8.5</v>
      </c>
      <c r="E28">
        <v>8.5</v>
      </c>
      <c r="F28" t="s">
        <v>692</v>
      </c>
    </row>
    <row r="29" spans="1:6" x14ac:dyDescent="0.35">
      <c r="A29">
        <v>20260101</v>
      </c>
      <c r="B29" t="s">
        <v>1175</v>
      </c>
      <c r="C29" t="s">
        <v>1468</v>
      </c>
      <c r="D29">
        <v>4</v>
      </c>
      <c r="E29">
        <v>4</v>
      </c>
      <c r="F29" t="s">
        <v>692</v>
      </c>
    </row>
    <row r="30" spans="1:6" x14ac:dyDescent="0.35">
      <c r="A30">
        <v>20260101</v>
      </c>
      <c r="B30" t="s">
        <v>1175</v>
      </c>
      <c r="C30" t="s">
        <v>1469</v>
      </c>
      <c r="D30">
        <v>3</v>
      </c>
      <c r="E30">
        <v>0</v>
      </c>
      <c r="F30" t="s">
        <v>692</v>
      </c>
    </row>
    <row r="31" spans="1:6" x14ac:dyDescent="0.35">
      <c r="A31">
        <v>20260101</v>
      </c>
      <c r="B31" t="s">
        <v>1175</v>
      </c>
      <c r="C31" t="s">
        <v>1470</v>
      </c>
      <c r="D31">
        <v>1.5</v>
      </c>
      <c r="E31">
        <v>0</v>
      </c>
      <c r="F31" t="s">
        <v>692</v>
      </c>
    </row>
    <row r="32" spans="1:6" x14ac:dyDescent="0.35">
      <c r="A32">
        <v>20260101</v>
      </c>
      <c r="B32" t="s">
        <v>1130</v>
      </c>
      <c r="C32" t="s">
        <v>1466</v>
      </c>
      <c r="D32">
        <v>6</v>
      </c>
      <c r="E32">
        <v>6</v>
      </c>
      <c r="F32" t="s">
        <v>692</v>
      </c>
    </row>
    <row r="33" spans="1:6" x14ac:dyDescent="0.35">
      <c r="A33">
        <v>20260101</v>
      </c>
      <c r="B33" t="s">
        <v>1130</v>
      </c>
      <c r="C33" t="s">
        <v>1467</v>
      </c>
      <c r="D33">
        <v>8.5</v>
      </c>
      <c r="E33">
        <v>8.5</v>
      </c>
      <c r="F33" t="s">
        <v>692</v>
      </c>
    </row>
    <row r="34" spans="1:6" x14ac:dyDescent="0.35">
      <c r="A34">
        <v>20260101</v>
      </c>
      <c r="B34" t="s">
        <v>1130</v>
      </c>
      <c r="C34" t="s">
        <v>1468</v>
      </c>
      <c r="D34">
        <v>4</v>
      </c>
      <c r="E34">
        <v>4</v>
      </c>
      <c r="F34" t="s">
        <v>692</v>
      </c>
    </row>
    <row r="35" spans="1:6" x14ac:dyDescent="0.35">
      <c r="A35">
        <v>20260101</v>
      </c>
      <c r="B35" t="s">
        <v>1130</v>
      </c>
      <c r="C35" t="s">
        <v>1469</v>
      </c>
      <c r="D35">
        <v>3</v>
      </c>
      <c r="E35">
        <v>0</v>
      </c>
      <c r="F35" t="s">
        <v>692</v>
      </c>
    </row>
    <row r="36" spans="1:6" x14ac:dyDescent="0.35">
      <c r="A36">
        <v>20260101</v>
      </c>
      <c r="B36" t="s">
        <v>1130</v>
      </c>
      <c r="C36" t="s">
        <v>1470</v>
      </c>
      <c r="D36">
        <v>1.5</v>
      </c>
      <c r="E36">
        <v>0</v>
      </c>
      <c r="F36" t="s">
        <v>692</v>
      </c>
    </row>
    <row r="37" spans="1:6" x14ac:dyDescent="0.35">
      <c r="A37">
        <v>20260101</v>
      </c>
      <c r="B37" t="s">
        <v>1173</v>
      </c>
      <c r="C37" t="s">
        <v>1466</v>
      </c>
      <c r="D37">
        <v>6</v>
      </c>
      <c r="E37">
        <v>6</v>
      </c>
      <c r="F37" t="s">
        <v>692</v>
      </c>
    </row>
    <row r="38" spans="1:6" x14ac:dyDescent="0.35">
      <c r="A38">
        <v>20260101</v>
      </c>
      <c r="B38" t="s">
        <v>1173</v>
      </c>
      <c r="C38" t="s">
        <v>1467</v>
      </c>
      <c r="D38">
        <v>8.5</v>
      </c>
      <c r="E38">
        <v>8.5</v>
      </c>
      <c r="F38" t="s">
        <v>692</v>
      </c>
    </row>
    <row r="39" spans="1:6" x14ac:dyDescent="0.35">
      <c r="A39">
        <v>20260101</v>
      </c>
      <c r="B39" t="s">
        <v>1173</v>
      </c>
      <c r="C39" t="s">
        <v>1468</v>
      </c>
      <c r="D39">
        <v>4</v>
      </c>
      <c r="E39">
        <v>4</v>
      </c>
      <c r="F39" t="s">
        <v>692</v>
      </c>
    </row>
    <row r="40" spans="1:6" x14ac:dyDescent="0.35">
      <c r="A40">
        <v>20260101</v>
      </c>
      <c r="B40" t="s">
        <v>1173</v>
      </c>
      <c r="C40" t="s">
        <v>1469</v>
      </c>
      <c r="D40">
        <v>3</v>
      </c>
      <c r="E40">
        <v>0</v>
      </c>
      <c r="F40" t="s">
        <v>692</v>
      </c>
    </row>
    <row r="41" spans="1:6" x14ac:dyDescent="0.35">
      <c r="A41">
        <v>20260101</v>
      </c>
      <c r="B41" t="s">
        <v>1173</v>
      </c>
      <c r="C41" t="s">
        <v>1470</v>
      </c>
      <c r="D41">
        <v>1.5</v>
      </c>
      <c r="E41">
        <v>0</v>
      </c>
      <c r="F41" t="s">
        <v>692</v>
      </c>
    </row>
    <row r="42" spans="1:6" x14ac:dyDescent="0.35">
      <c r="A42">
        <v>20260101</v>
      </c>
      <c r="B42" t="s">
        <v>1155</v>
      </c>
      <c r="C42" t="s">
        <v>1466</v>
      </c>
      <c r="D42">
        <v>6</v>
      </c>
      <c r="E42">
        <v>6</v>
      </c>
      <c r="F42" t="s">
        <v>692</v>
      </c>
    </row>
    <row r="43" spans="1:6" x14ac:dyDescent="0.35">
      <c r="A43">
        <v>20260101</v>
      </c>
      <c r="B43" t="s">
        <v>1155</v>
      </c>
      <c r="C43" t="s">
        <v>1467</v>
      </c>
      <c r="D43">
        <v>8.5</v>
      </c>
      <c r="E43">
        <v>8.5</v>
      </c>
      <c r="F43" t="s">
        <v>692</v>
      </c>
    </row>
    <row r="44" spans="1:6" x14ac:dyDescent="0.35">
      <c r="A44">
        <v>20260101</v>
      </c>
      <c r="B44" t="s">
        <v>1155</v>
      </c>
      <c r="C44" t="s">
        <v>1468</v>
      </c>
      <c r="D44">
        <v>4</v>
      </c>
      <c r="E44">
        <v>4</v>
      </c>
      <c r="F44" t="s">
        <v>692</v>
      </c>
    </row>
    <row r="45" spans="1:6" x14ac:dyDescent="0.35">
      <c r="A45">
        <v>20260101</v>
      </c>
      <c r="B45" t="s">
        <v>1155</v>
      </c>
      <c r="C45" t="s">
        <v>1469</v>
      </c>
      <c r="D45">
        <v>3</v>
      </c>
      <c r="E45">
        <v>0</v>
      </c>
      <c r="F45" t="s">
        <v>692</v>
      </c>
    </row>
    <row r="46" spans="1:6" x14ac:dyDescent="0.35">
      <c r="A46">
        <v>20260101</v>
      </c>
      <c r="B46" t="s">
        <v>1155</v>
      </c>
      <c r="C46" t="s">
        <v>1470</v>
      </c>
      <c r="D46">
        <v>1.5</v>
      </c>
      <c r="E46">
        <v>0</v>
      </c>
      <c r="F46" t="s">
        <v>692</v>
      </c>
    </row>
    <row r="47" spans="1:6" x14ac:dyDescent="0.35">
      <c r="A47">
        <v>20260101</v>
      </c>
      <c r="B47" t="s">
        <v>1138</v>
      </c>
      <c r="C47" t="s">
        <v>1466</v>
      </c>
      <c r="D47">
        <v>6</v>
      </c>
      <c r="E47">
        <v>6</v>
      </c>
      <c r="F47" t="s">
        <v>692</v>
      </c>
    </row>
    <row r="48" spans="1:6" x14ac:dyDescent="0.35">
      <c r="A48">
        <v>20260101</v>
      </c>
      <c r="B48" t="s">
        <v>1138</v>
      </c>
      <c r="C48" t="s">
        <v>1467</v>
      </c>
      <c r="D48">
        <v>8.5</v>
      </c>
      <c r="E48">
        <v>8.5</v>
      </c>
      <c r="F48" t="s">
        <v>692</v>
      </c>
    </row>
    <row r="49" spans="1:6" x14ac:dyDescent="0.35">
      <c r="A49">
        <v>20260101</v>
      </c>
      <c r="B49" t="s">
        <v>1138</v>
      </c>
      <c r="C49" t="s">
        <v>1468</v>
      </c>
      <c r="D49">
        <v>4</v>
      </c>
      <c r="E49">
        <v>4</v>
      </c>
      <c r="F49" t="s">
        <v>692</v>
      </c>
    </row>
    <row r="50" spans="1:6" x14ac:dyDescent="0.35">
      <c r="A50">
        <v>20260101</v>
      </c>
      <c r="B50" t="s">
        <v>1138</v>
      </c>
      <c r="C50" t="s">
        <v>1469</v>
      </c>
      <c r="D50">
        <v>3</v>
      </c>
      <c r="E50">
        <v>0</v>
      </c>
      <c r="F50" t="s">
        <v>692</v>
      </c>
    </row>
    <row r="51" spans="1:6" x14ac:dyDescent="0.35">
      <c r="A51">
        <v>20260101</v>
      </c>
      <c r="B51" t="s">
        <v>1138</v>
      </c>
      <c r="C51" t="s">
        <v>1470</v>
      </c>
      <c r="D51">
        <v>1.5</v>
      </c>
      <c r="E51">
        <v>0</v>
      </c>
      <c r="F51" t="s">
        <v>692</v>
      </c>
    </row>
    <row r="52" spans="1:6" x14ac:dyDescent="0.35">
      <c r="A52">
        <v>20260201</v>
      </c>
      <c r="B52" t="s">
        <v>1150</v>
      </c>
      <c r="C52" t="s">
        <v>1466</v>
      </c>
      <c r="D52">
        <v>6</v>
      </c>
      <c r="E52">
        <v>6</v>
      </c>
      <c r="F52" t="s">
        <v>692</v>
      </c>
    </row>
    <row r="53" spans="1:6" x14ac:dyDescent="0.35">
      <c r="A53">
        <v>20260201</v>
      </c>
      <c r="B53" t="s">
        <v>1150</v>
      </c>
      <c r="C53" t="s">
        <v>1467</v>
      </c>
      <c r="D53">
        <v>8.5</v>
      </c>
      <c r="E53">
        <v>8.5</v>
      </c>
      <c r="F53" t="s">
        <v>692</v>
      </c>
    </row>
    <row r="54" spans="1:6" x14ac:dyDescent="0.35">
      <c r="A54">
        <v>20260201</v>
      </c>
      <c r="B54" t="s">
        <v>1150</v>
      </c>
      <c r="C54" t="s">
        <v>1468</v>
      </c>
      <c r="D54">
        <v>4</v>
      </c>
      <c r="E54">
        <v>4</v>
      </c>
      <c r="F54" t="s">
        <v>692</v>
      </c>
    </row>
    <row r="55" spans="1:6" x14ac:dyDescent="0.35">
      <c r="A55">
        <v>20260201</v>
      </c>
      <c r="B55" t="s">
        <v>1150</v>
      </c>
      <c r="C55" t="s">
        <v>1469</v>
      </c>
      <c r="D55">
        <v>3</v>
      </c>
      <c r="E55">
        <v>0</v>
      </c>
      <c r="F55" t="s">
        <v>692</v>
      </c>
    </row>
    <row r="56" spans="1:6" x14ac:dyDescent="0.35">
      <c r="A56">
        <v>20260201</v>
      </c>
      <c r="B56" t="s">
        <v>1150</v>
      </c>
      <c r="C56" t="s">
        <v>1470</v>
      </c>
      <c r="D56">
        <v>1.5</v>
      </c>
      <c r="E56">
        <v>0</v>
      </c>
      <c r="F56" t="s">
        <v>692</v>
      </c>
    </row>
    <row r="57" spans="1:6" x14ac:dyDescent="0.35">
      <c r="A57">
        <v>20260201</v>
      </c>
      <c r="B57" t="s">
        <v>1158</v>
      </c>
      <c r="C57" t="s">
        <v>1466</v>
      </c>
      <c r="D57">
        <v>6</v>
      </c>
      <c r="E57">
        <v>6</v>
      </c>
      <c r="F57" t="s">
        <v>692</v>
      </c>
    </row>
    <row r="58" spans="1:6" x14ac:dyDescent="0.35">
      <c r="A58">
        <v>20260201</v>
      </c>
      <c r="B58" t="s">
        <v>1158</v>
      </c>
      <c r="C58" t="s">
        <v>1467</v>
      </c>
      <c r="D58">
        <v>8.5</v>
      </c>
      <c r="E58">
        <v>8.5</v>
      </c>
      <c r="F58" t="s">
        <v>692</v>
      </c>
    </row>
    <row r="59" spans="1:6" x14ac:dyDescent="0.35">
      <c r="A59">
        <v>20260201</v>
      </c>
      <c r="B59" t="s">
        <v>1158</v>
      </c>
      <c r="C59" t="s">
        <v>1468</v>
      </c>
      <c r="D59">
        <v>4</v>
      </c>
      <c r="E59">
        <v>4</v>
      </c>
      <c r="F59" t="s">
        <v>692</v>
      </c>
    </row>
    <row r="60" spans="1:6" x14ac:dyDescent="0.35">
      <c r="A60">
        <v>20260201</v>
      </c>
      <c r="B60" t="s">
        <v>1158</v>
      </c>
      <c r="C60" t="s">
        <v>1469</v>
      </c>
      <c r="D60">
        <v>3</v>
      </c>
      <c r="E60">
        <v>0</v>
      </c>
      <c r="F60" t="s">
        <v>692</v>
      </c>
    </row>
    <row r="61" spans="1:6" x14ac:dyDescent="0.35">
      <c r="A61">
        <v>20260201</v>
      </c>
      <c r="B61" t="s">
        <v>1158</v>
      </c>
      <c r="C61" t="s">
        <v>1470</v>
      </c>
      <c r="D61">
        <v>1.5</v>
      </c>
      <c r="E61">
        <v>0</v>
      </c>
      <c r="F61" t="s">
        <v>692</v>
      </c>
    </row>
    <row r="62" spans="1:6" x14ac:dyDescent="0.35">
      <c r="A62">
        <v>20260201</v>
      </c>
      <c r="B62" t="s">
        <v>1205</v>
      </c>
      <c r="C62" t="s">
        <v>1466</v>
      </c>
      <c r="D62">
        <v>6</v>
      </c>
      <c r="E62">
        <v>6</v>
      </c>
      <c r="F62" t="s">
        <v>692</v>
      </c>
    </row>
    <row r="63" spans="1:6" x14ac:dyDescent="0.35">
      <c r="A63">
        <v>20260201</v>
      </c>
      <c r="B63" t="s">
        <v>1205</v>
      </c>
      <c r="C63" t="s">
        <v>1467</v>
      </c>
      <c r="D63">
        <v>8.5</v>
      </c>
      <c r="E63">
        <v>8.5</v>
      </c>
      <c r="F63" t="s">
        <v>692</v>
      </c>
    </row>
    <row r="64" spans="1:6" x14ac:dyDescent="0.35">
      <c r="A64">
        <v>20260201</v>
      </c>
      <c r="B64" t="s">
        <v>1205</v>
      </c>
      <c r="C64" t="s">
        <v>1468</v>
      </c>
      <c r="D64">
        <v>4</v>
      </c>
      <c r="E64">
        <v>4</v>
      </c>
      <c r="F64" t="s">
        <v>692</v>
      </c>
    </row>
    <row r="65" spans="1:6" x14ac:dyDescent="0.35">
      <c r="A65">
        <v>20260201</v>
      </c>
      <c r="B65" t="s">
        <v>1205</v>
      </c>
      <c r="C65" t="s">
        <v>1469</v>
      </c>
      <c r="D65">
        <v>3</v>
      </c>
      <c r="E65">
        <v>0</v>
      </c>
      <c r="F65" t="s">
        <v>692</v>
      </c>
    </row>
    <row r="66" spans="1:6" x14ac:dyDescent="0.35">
      <c r="A66">
        <v>20260201</v>
      </c>
      <c r="B66" t="s">
        <v>1205</v>
      </c>
      <c r="C66" t="s">
        <v>1470</v>
      </c>
      <c r="D66">
        <v>1.5</v>
      </c>
      <c r="E66">
        <v>0</v>
      </c>
      <c r="F66" t="s">
        <v>692</v>
      </c>
    </row>
    <row r="67" spans="1:6" x14ac:dyDescent="0.35">
      <c r="A67">
        <v>20260201</v>
      </c>
      <c r="B67" t="s">
        <v>1164</v>
      </c>
      <c r="C67" t="s">
        <v>1466</v>
      </c>
      <c r="D67">
        <v>6</v>
      </c>
      <c r="E67">
        <v>6</v>
      </c>
      <c r="F67" t="s">
        <v>692</v>
      </c>
    </row>
    <row r="68" spans="1:6" x14ac:dyDescent="0.35">
      <c r="A68">
        <v>20260201</v>
      </c>
      <c r="B68" t="s">
        <v>1164</v>
      </c>
      <c r="C68" t="s">
        <v>1467</v>
      </c>
      <c r="D68">
        <v>8.5</v>
      </c>
      <c r="E68">
        <v>8.5</v>
      </c>
      <c r="F68" t="s">
        <v>692</v>
      </c>
    </row>
    <row r="69" spans="1:6" x14ac:dyDescent="0.35">
      <c r="A69">
        <v>20260201</v>
      </c>
      <c r="B69" t="s">
        <v>1164</v>
      </c>
      <c r="C69" t="s">
        <v>1468</v>
      </c>
      <c r="D69">
        <v>4</v>
      </c>
      <c r="E69">
        <v>4</v>
      </c>
      <c r="F69" t="s">
        <v>692</v>
      </c>
    </row>
    <row r="70" spans="1:6" x14ac:dyDescent="0.35">
      <c r="A70">
        <v>20260201</v>
      </c>
      <c r="B70" t="s">
        <v>1164</v>
      </c>
      <c r="C70" t="s">
        <v>1469</v>
      </c>
      <c r="D70">
        <v>3</v>
      </c>
      <c r="E70">
        <v>0</v>
      </c>
      <c r="F70" t="s">
        <v>692</v>
      </c>
    </row>
    <row r="71" spans="1:6" x14ac:dyDescent="0.35">
      <c r="A71">
        <v>20260201</v>
      </c>
      <c r="B71" t="s">
        <v>1164</v>
      </c>
      <c r="C71" t="s">
        <v>1470</v>
      </c>
      <c r="D71">
        <v>1.5</v>
      </c>
      <c r="E71">
        <v>0</v>
      </c>
      <c r="F71" t="s">
        <v>692</v>
      </c>
    </row>
    <row r="72" spans="1:6" x14ac:dyDescent="0.35">
      <c r="A72">
        <v>20260201</v>
      </c>
      <c r="B72" t="s">
        <v>1169</v>
      </c>
      <c r="C72" t="s">
        <v>1466</v>
      </c>
      <c r="D72">
        <v>6</v>
      </c>
      <c r="E72">
        <v>6</v>
      </c>
      <c r="F72" t="s">
        <v>692</v>
      </c>
    </row>
    <row r="73" spans="1:6" x14ac:dyDescent="0.35">
      <c r="A73">
        <v>20260201</v>
      </c>
      <c r="B73" t="s">
        <v>1169</v>
      </c>
      <c r="C73" t="s">
        <v>1467</v>
      </c>
      <c r="D73">
        <v>8.5</v>
      </c>
      <c r="E73">
        <v>8.5</v>
      </c>
      <c r="F73" t="s">
        <v>692</v>
      </c>
    </row>
    <row r="74" spans="1:6" x14ac:dyDescent="0.35">
      <c r="A74">
        <v>20260201</v>
      </c>
      <c r="B74" t="s">
        <v>1169</v>
      </c>
      <c r="C74" t="s">
        <v>1468</v>
      </c>
      <c r="D74">
        <v>4</v>
      </c>
      <c r="E74">
        <v>4</v>
      </c>
      <c r="F74" t="s">
        <v>692</v>
      </c>
    </row>
    <row r="75" spans="1:6" x14ac:dyDescent="0.35">
      <c r="A75">
        <v>20260201</v>
      </c>
      <c r="B75" t="s">
        <v>1169</v>
      </c>
      <c r="C75" t="s">
        <v>1469</v>
      </c>
      <c r="D75">
        <v>3</v>
      </c>
      <c r="E75">
        <v>0</v>
      </c>
      <c r="F75" t="s">
        <v>692</v>
      </c>
    </row>
    <row r="76" spans="1:6" x14ac:dyDescent="0.35">
      <c r="A76">
        <v>20260201</v>
      </c>
      <c r="B76" t="s">
        <v>1169</v>
      </c>
      <c r="C76" t="s">
        <v>1470</v>
      </c>
      <c r="D76">
        <v>1.5</v>
      </c>
      <c r="E76">
        <v>0</v>
      </c>
      <c r="F76" t="s">
        <v>692</v>
      </c>
    </row>
    <row r="77" spans="1:6" x14ac:dyDescent="0.35">
      <c r="A77">
        <v>20260201</v>
      </c>
      <c r="B77" t="s">
        <v>1175</v>
      </c>
      <c r="C77" t="s">
        <v>1466</v>
      </c>
      <c r="D77">
        <v>6</v>
      </c>
      <c r="E77">
        <v>6</v>
      </c>
      <c r="F77" t="s">
        <v>692</v>
      </c>
    </row>
    <row r="78" spans="1:6" x14ac:dyDescent="0.35">
      <c r="A78">
        <v>20260201</v>
      </c>
      <c r="B78" t="s">
        <v>1175</v>
      </c>
      <c r="C78" t="s">
        <v>1467</v>
      </c>
      <c r="D78">
        <v>8.5</v>
      </c>
      <c r="E78">
        <v>8.5</v>
      </c>
      <c r="F78" t="s">
        <v>692</v>
      </c>
    </row>
    <row r="79" spans="1:6" x14ac:dyDescent="0.35">
      <c r="A79">
        <v>20260201</v>
      </c>
      <c r="B79" t="s">
        <v>1175</v>
      </c>
      <c r="C79" t="s">
        <v>1468</v>
      </c>
      <c r="D79">
        <v>4</v>
      </c>
      <c r="E79">
        <v>4</v>
      </c>
      <c r="F79" t="s">
        <v>692</v>
      </c>
    </row>
    <row r="80" spans="1:6" x14ac:dyDescent="0.35">
      <c r="A80">
        <v>20260201</v>
      </c>
      <c r="B80" t="s">
        <v>1175</v>
      </c>
      <c r="C80" t="s">
        <v>1469</v>
      </c>
      <c r="D80">
        <v>3</v>
      </c>
      <c r="E80">
        <v>0</v>
      </c>
      <c r="F80" t="s">
        <v>692</v>
      </c>
    </row>
    <row r="81" spans="1:6" x14ac:dyDescent="0.35">
      <c r="A81">
        <v>20260201</v>
      </c>
      <c r="B81" t="s">
        <v>1175</v>
      </c>
      <c r="C81" t="s">
        <v>1470</v>
      </c>
      <c r="D81">
        <v>1.5</v>
      </c>
      <c r="E81">
        <v>0</v>
      </c>
      <c r="F81" t="s">
        <v>692</v>
      </c>
    </row>
    <row r="82" spans="1:6" x14ac:dyDescent="0.35">
      <c r="A82">
        <v>20260201</v>
      </c>
      <c r="B82" t="s">
        <v>1130</v>
      </c>
      <c r="C82" t="s">
        <v>1466</v>
      </c>
      <c r="D82">
        <v>6</v>
      </c>
      <c r="E82">
        <v>6</v>
      </c>
      <c r="F82" t="s">
        <v>692</v>
      </c>
    </row>
    <row r="83" spans="1:6" x14ac:dyDescent="0.35">
      <c r="A83">
        <v>20260201</v>
      </c>
      <c r="B83" t="s">
        <v>1130</v>
      </c>
      <c r="C83" t="s">
        <v>1467</v>
      </c>
      <c r="D83">
        <v>8.5</v>
      </c>
      <c r="E83">
        <v>8.5</v>
      </c>
      <c r="F83" t="s">
        <v>692</v>
      </c>
    </row>
    <row r="84" spans="1:6" x14ac:dyDescent="0.35">
      <c r="A84">
        <v>20260201</v>
      </c>
      <c r="B84" t="s">
        <v>1130</v>
      </c>
      <c r="C84" t="s">
        <v>1468</v>
      </c>
      <c r="D84">
        <v>4</v>
      </c>
      <c r="E84">
        <v>4</v>
      </c>
      <c r="F84" t="s">
        <v>692</v>
      </c>
    </row>
    <row r="85" spans="1:6" x14ac:dyDescent="0.35">
      <c r="A85">
        <v>20260201</v>
      </c>
      <c r="B85" t="s">
        <v>1130</v>
      </c>
      <c r="C85" t="s">
        <v>1469</v>
      </c>
      <c r="D85">
        <v>3</v>
      </c>
      <c r="E85">
        <v>0</v>
      </c>
      <c r="F85" t="s">
        <v>692</v>
      </c>
    </row>
    <row r="86" spans="1:6" x14ac:dyDescent="0.35">
      <c r="A86">
        <v>20260201</v>
      </c>
      <c r="B86" t="s">
        <v>1130</v>
      </c>
      <c r="C86" t="s">
        <v>1470</v>
      </c>
      <c r="D86">
        <v>1.5</v>
      </c>
      <c r="E86">
        <v>0</v>
      </c>
      <c r="F86" t="s">
        <v>692</v>
      </c>
    </row>
    <row r="87" spans="1:6" x14ac:dyDescent="0.35">
      <c r="A87">
        <v>20260201</v>
      </c>
      <c r="B87" t="s">
        <v>1173</v>
      </c>
      <c r="C87" t="s">
        <v>1466</v>
      </c>
      <c r="D87">
        <v>6</v>
      </c>
      <c r="E87">
        <v>6</v>
      </c>
      <c r="F87" t="s">
        <v>692</v>
      </c>
    </row>
    <row r="88" spans="1:6" x14ac:dyDescent="0.35">
      <c r="A88">
        <v>20260201</v>
      </c>
      <c r="B88" t="s">
        <v>1173</v>
      </c>
      <c r="C88" t="s">
        <v>1467</v>
      </c>
      <c r="D88">
        <v>8.5</v>
      </c>
      <c r="E88">
        <v>8.5</v>
      </c>
      <c r="F88" t="s">
        <v>692</v>
      </c>
    </row>
    <row r="89" spans="1:6" x14ac:dyDescent="0.35">
      <c r="A89">
        <v>20260201</v>
      </c>
      <c r="B89" t="s">
        <v>1173</v>
      </c>
      <c r="C89" t="s">
        <v>1468</v>
      </c>
      <c r="D89">
        <v>4</v>
      </c>
      <c r="E89">
        <v>4</v>
      </c>
      <c r="F89" t="s">
        <v>692</v>
      </c>
    </row>
    <row r="90" spans="1:6" x14ac:dyDescent="0.35">
      <c r="A90">
        <v>20260201</v>
      </c>
      <c r="B90" t="s">
        <v>1173</v>
      </c>
      <c r="C90" t="s">
        <v>1469</v>
      </c>
      <c r="D90">
        <v>3</v>
      </c>
      <c r="E90">
        <v>0</v>
      </c>
      <c r="F90" t="s">
        <v>692</v>
      </c>
    </row>
    <row r="91" spans="1:6" x14ac:dyDescent="0.35">
      <c r="A91">
        <v>20260201</v>
      </c>
      <c r="B91" t="s">
        <v>1173</v>
      </c>
      <c r="C91" t="s">
        <v>1470</v>
      </c>
      <c r="D91">
        <v>1.5</v>
      </c>
      <c r="E91">
        <v>0</v>
      </c>
      <c r="F91" t="s">
        <v>692</v>
      </c>
    </row>
    <row r="92" spans="1:6" x14ac:dyDescent="0.35">
      <c r="A92">
        <v>20260201</v>
      </c>
      <c r="B92" t="s">
        <v>1155</v>
      </c>
      <c r="C92" t="s">
        <v>1466</v>
      </c>
      <c r="D92">
        <v>6</v>
      </c>
      <c r="E92">
        <v>6</v>
      </c>
      <c r="F92" t="s">
        <v>692</v>
      </c>
    </row>
    <row r="93" spans="1:6" x14ac:dyDescent="0.35">
      <c r="A93">
        <v>20260201</v>
      </c>
      <c r="B93" t="s">
        <v>1155</v>
      </c>
      <c r="C93" t="s">
        <v>1467</v>
      </c>
      <c r="D93">
        <v>8.5</v>
      </c>
      <c r="E93">
        <v>8.5</v>
      </c>
      <c r="F93" t="s">
        <v>692</v>
      </c>
    </row>
    <row r="94" spans="1:6" x14ac:dyDescent="0.35">
      <c r="A94">
        <v>20260201</v>
      </c>
      <c r="B94" t="s">
        <v>1155</v>
      </c>
      <c r="C94" t="s">
        <v>1468</v>
      </c>
      <c r="D94">
        <v>4</v>
      </c>
      <c r="E94">
        <v>4</v>
      </c>
      <c r="F94" t="s">
        <v>692</v>
      </c>
    </row>
    <row r="95" spans="1:6" x14ac:dyDescent="0.35">
      <c r="A95">
        <v>20260201</v>
      </c>
      <c r="B95" t="s">
        <v>1155</v>
      </c>
      <c r="C95" t="s">
        <v>1469</v>
      </c>
      <c r="D95">
        <v>3</v>
      </c>
      <c r="E95">
        <v>0</v>
      </c>
      <c r="F95" t="s">
        <v>692</v>
      </c>
    </row>
    <row r="96" spans="1:6" x14ac:dyDescent="0.35">
      <c r="A96">
        <v>20260201</v>
      </c>
      <c r="B96" t="s">
        <v>1155</v>
      </c>
      <c r="C96" t="s">
        <v>1470</v>
      </c>
      <c r="D96">
        <v>1.5</v>
      </c>
      <c r="E96">
        <v>0</v>
      </c>
      <c r="F96" t="s">
        <v>692</v>
      </c>
    </row>
    <row r="97" spans="1:6" x14ac:dyDescent="0.35">
      <c r="A97">
        <v>20260201</v>
      </c>
      <c r="B97" t="s">
        <v>1138</v>
      </c>
      <c r="C97" t="s">
        <v>1466</v>
      </c>
      <c r="D97">
        <v>6</v>
      </c>
      <c r="E97">
        <v>6</v>
      </c>
      <c r="F97" t="s">
        <v>692</v>
      </c>
    </row>
    <row r="98" spans="1:6" x14ac:dyDescent="0.35">
      <c r="A98">
        <v>20260201</v>
      </c>
      <c r="B98" t="s">
        <v>1138</v>
      </c>
      <c r="C98" t="s">
        <v>1467</v>
      </c>
      <c r="D98">
        <v>8.5</v>
      </c>
      <c r="E98">
        <v>8.5</v>
      </c>
      <c r="F98" t="s">
        <v>692</v>
      </c>
    </row>
    <row r="99" spans="1:6" x14ac:dyDescent="0.35">
      <c r="A99">
        <v>20260201</v>
      </c>
      <c r="B99" t="s">
        <v>1138</v>
      </c>
      <c r="C99" t="s">
        <v>1468</v>
      </c>
      <c r="D99">
        <v>4</v>
      </c>
      <c r="E99">
        <v>4</v>
      </c>
      <c r="F99" t="s">
        <v>692</v>
      </c>
    </row>
    <row r="100" spans="1:6" x14ac:dyDescent="0.35">
      <c r="A100">
        <v>20260201</v>
      </c>
      <c r="B100" t="s">
        <v>1138</v>
      </c>
      <c r="C100" t="s">
        <v>1469</v>
      </c>
      <c r="D100">
        <v>3</v>
      </c>
      <c r="E100">
        <v>0</v>
      </c>
      <c r="F100" t="s">
        <v>692</v>
      </c>
    </row>
    <row r="101" spans="1:6" x14ac:dyDescent="0.35">
      <c r="A101">
        <v>20260201</v>
      </c>
      <c r="B101" t="s">
        <v>1138</v>
      </c>
      <c r="C101" t="s">
        <v>1470</v>
      </c>
      <c r="D101">
        <v>1.5</v>
      </c>
      <c r="E101">
        <v>0</v>
      </c>
      <c r="F101" t="s">
        <v>692</v>
      </c>
    </row>
    <row r="102" spans="1:6" x14ac:dyDescent="0.35">
      <c r="A102">
        <v>20260301</v>
      </c>
      <c r="B102" t="s">
        <v>1150</v>
      </c>
      <c r="C102" t="s">
        <v>1466</v>
      </c>
      <c r="D102">
        <v>6</v>
      </c>
      <c r="E102">
        <v>6</v>
      </c>
      <c r="F102" t="s">
        <v>692</v>
      </c>
    </row>
    <row r="103" spans="1:6" x14ac:dyDescent="0.35">
      <c r="A103">
        <v>20260301</v>
      </c>
      <c r="B103" t="s">
        <v>1150</v>
      </c>
      <c r="C103" t="s">
        <v>1467</v>
      </c>
      <c r="D103">
        <v>8.5</v>
      </c>
      <c r="E103">
        <v>8.5</v>
      </c>
      <c r="F103" t="s">
        <v>692</v>
      </c>
    </row>
    <row r="104" spans="1:6" x14ac:dyDescent="0.35">
      <c r="A104">
        <v>20260301</v>
      </c>
      <c r="B104" t="s">
        <v>1150</v>
      </c>
      <c r="C104" t="s">
        <v>1468</v>
      </c>
      <c r="D104">
        <v>4</v>
      </c>
      <c r="E104">
        <v>4</v>
      </c>
      <c r="F104" t="s">
        <v>692</v>
      </c>
    </row>
    <row r="105" spans="1:6" x14ac:dyDescent="0.35">
      <c r="A105">
        <v>20260301</v>
      </c>
      <c r="B105" t="s">
        <v>1150</v>
      </c>
      <c r="C105" t="s">
        <v>1469</v>
      </c>
      <c r="D105">
        <v>3</v>
      </c>
      <c r="E105">
        <v>0</v>
      </c>
      <c r="F105" t="s">
        <v>692</v>
      </c>
    </row>
    <row r="106" spans="1:6" x14ac:dyDescent="0.35">
      <c r="A106">
        <v>20260301</v>
      </c>
      <c r="B106" t="s">
        <v>1150</v>
      </c>
      <c r="C106" t="s">
        <v>1470</v>
      </c>
      <c r="D106">
        <v>1.5</v>
      </c>
      <c r="E106">
        <v>0</v>
      </c>
      <c r="F106" t="s">
        <v>692</v>
      </c>
    </row>
    <row r="107" spans="1:6" x14ac:dyDescent="0.35">
      <c r="A107">
        <v>20260301</v>
      </c>
      <c r="B107" t="s">
        <v>1158</v>
      </c>
      <c r="C107" t="s">
        <v>1466</v>
      </c>
      <c r="D107">
        <v>6</v>
      </c>
      <c r="E107">
        <v>6</v>
      </c>
      <c r="F107" t="s">
        <v>692</v>
      </c>
    </row>
    <row r="108" spans="1:6" x14ac:dyDescent="0.35">
      <c r="A108">
        <v>20260301</v>
      </c>
      <c r="B108" t="s">
        <v>1158</v>
      </c>
      <c r="C108" t="s">
        <v>1467</v>
      </c>
      <c r="D108">
        <v>8.5</v>
      </c>
      <c r="E108">
        <v>8.5</v>
      </c>
      <c r="F108" t="s">
        <v>692</v>
      </c>
    </row>
    <row r="109" spans="1:6" x14ac:dyDescent="0.35">
      <c r="A109">
        <v>20260301</v>
      </c>
      <c r="B109" t="s">
        <v>1158</v>
      </c>
      <c r="C109" t="s">
        <v>1468</v>
      </c>
      <c r="D109">
        <v>4</v>
      </c>
      <c r="E109">
        <v>4</v>
      </c>
      <c r="F109" t="s">
        <v>692</v>
      </c>
    </row>
    <row r="110" spans="1:6" x14ac:dyDescent="0.35">
      <c r="A110">
        <v>20260301</v>
      </c>
      <c r="B110" t="s">
        <v>1158</v>
      </c>
      <c r="C110" t="s">
        <v>1469</v>
      </c>
      <c r="D110">
        <v>3</v>
      </c>
      <c r="E110">
        <v>0</v>
      </c>
      <c r="F110" t="s">
        <v>692</v>
      </c>
    </row>
    <row r="111" spans="1:6" x14ac:dyDescent="0.35">
      <c r="A111">
        <v>20260301</v>
      </c>
      <c r="B111" t="s">
        <v>1158</v>
      </c>
      <c r="C111" t="s">
        <v>1470</v>
      </c>
      <c r="D111">
        <v>1.5</v>
      </c>
      <c r="E111">
        <v>0</v>
      </c>
      <c r="F111" t="s">
        <v>692</v>
      </c>
    </row>
    <row r="112" spans="1:6" x14ac:dyDescent="0.35">
      <c r="A112">
        <v>20260301</v>
      </c>
      <c r="B112" t="s">
        <v>1205</v>
      </c>
      <c r="C112" t="s">
        <v>1466</v>
      </c>
      <c r="D112">
        <v>6</v>
      </c>
      <c r="E112">
        <v>6</v>
      </c>
      <c r="F112" t="s">
        <v>692</v>
      </c>
    </row>
    <row r="113" spans="1:6" x14ac:dyDescent="0.35">
      <c r="A113">
        <v>20260301</v>
      </c>
      <c r="B113" t="s">
        <v>1205</v>
      </c>
      <c r="C113" t="s">
        <v>1467</v>
      </c>
      <c r="D113">
        <v>8.5</v>
      </c>
      <c r="E113">
        <v>8.5</v>
      </c>
      <c r="F113" t="s">
        <v>692</v>
      </c>
    </row>
    <row r="114" spans="1:6" x14ac:dyDescent="0.35">
      <c r="A114">
        <v>20260301</v>
      </c>
      <c r="B114" t="s">
        <v>1205</v>
      </c>
      <c r="C114" t="s">
        <v>1468</v>
      </c>
      <c r="D114">
        <v>4</v>
      </c>
      <c r="E114">
        <v>4</v>
      </c>
      <c r="F114" t="s">
        <v>692</v>
      </c>
    </row>
    <row r="115" spans="1:6" x14ac:dyDescent="0.35">
      <c r="A115">
        <v>20260301</v>
      </c>
      <c r="B115" t="s">
        <v>1205</v>
      </c>
      <c r="C115" t="s">
        <v>1469</v>
      </c>
      <c r="D115">
        <v>3</v>
      </c>
      <c r="E115">
        <v>0</v>
      </c>
      <c r="F115" t="s">
        <v>692</v>
      </c>
    </row>
    <row r="116" spans="1:6" x14ac:dyDescent="0.35">
      <c r="A116">
        <v>20260301</v>
      </c>
      <c r="B116" t="s">
        <v>1205</v>
      </c>
      <c r="C116" t="s">
        <v>1470</v>
      </c>
      <c r="D116">
        <v>1.5</v>
      </c>
      <c r="E116">
        <v>0</v>
      </c>
      <c r="F116" t="s">
        <v>692</v>
      </c>
    </row>
    <row r="117" spans="1:6" x14ac:dyDescent="0.35">
      <c r="A117">
        <v>20260301</v>
      </c>
      <c r="B117" t="s">
        <v>1164</v>
      </c>
      <c r="C117" t="s">
        <v>1466</v>
      </c>
      <c r="D117">
        <v>6</v>
      </c>
      <c r="E117">
        <v>6</v>
      </c>
      <c r="F117" t="s">
        <v>692</v>
      </c>
    </row>
    <row r="118" spans="1:6" x14ac:dyDescent="0.35">
      <c r="A118">
        <v>20260301</v>
      </c>
      <c r="B118" t="s">
        <v>1164</v>
      </c>
      <c r="C118" t="s">
        <v>1467</v>
      </c>
      <c r="D118">
        <v>8.5</v>
      </c>
      <c r="E118">
        <v>8.5</v>
      </c>
      <c r="F118" t="s">
        <v>692</v>
      </c>
    </row>
    <row r="119" spans="1:6" x14ac:dyDescent="0.35">
      <c r="A119">
        <v>20260301</v>
      </c>
      <c r="B119" t="s">
        <v>1164</v>
      </c>
      <c r="C119" t="s">
        <v>1468</v>
      </c>
      <c r="D119">
        <v>4</v>
      </c>
      <c r="E119">
        <v>4</v>
      </c>
      <c r="F119" t="s">
        <v>692</v>
      </c>
    </row>
    <row r="120" spans="1:6" x14ac:dyDescent="0.35">
      <c r="A120">
        <v>20260301</v>
      </c>
      <c r="B120" t="s">
        <v>1164</v>
      </c>
      <c r="C120" t="s">
        <v>1469</v>
      </c>
      <c r="D120">
        <v>3</v>
      </c>
      <c r="E120">
        <v>0</v>
      </c>
      <c r="F120" t="s">
        <v>692</v>
      </c>
    </row>
    <row r="121" spans="1:6" x14ac:dyDescent="0.35">
      <c r="A121">
        <v>20260301</v>
      </c>
      <c r="B121" t="s">
        <v>1164</v>
      </c>
      <c r="C121" t="s">
        <v>1470</v>
      </c>
      <c r="D121">
        <v>1.5</v>
      </c>
      <c r="E121">
        <v>0</v>
      </c>
      <c r="F121" t="s">
        <v>692</v>
      </c>
    </row>
    <row r="122" spans="1:6" x14ac:dyDescent="0.35">
      <c r="A122">
        <v>20260301</v>
      </c>
      <c r="B122" t="s">
        <v>1169</v>
      </c>
      <c r="C122" t="s">
        <v>1466</v>
      </c>
      <c r="D122">
        <v>6</v>
      </c>
      <c r="E122">
        <v>6</v>
      </c>
      <c r="F122" t="s">
        <v>692</v>
      </c>
    </row>
    <row r="123" spans="1:6" x14ac:dyDescent="0.35">
      <c r="A123">
        <v>20260301</v>
      </c>
      <c r="B123" t="s">
        <v>1169</v>
      </c>
      <c r="C123" t="s">
        <v>1467</v>
      </c>
      <c r="D123">
        <v>8.5</v>
      </c>
      <c r="E123">
        <v>8.5</v>
      </c>
      <c r="F123" t="s">
        <v>692</v>
      </c>
    </row>
    <row r="124" spans="1:6" x14ac:dyDescent="0.35">
      <c r="A124">
        <v>20260301</v>
      </c>
      <c r="B124" t="s">
        <v>1169</v>
      </c>
      <c r="C124" t="s">
        <v>1468</v>
      </c>
      <c r="D124">
        <v>4</v>
      </c>
      <c r="E124">
        <v>4</v>
      </c>
      <c r="F124" t="s">
        <v>692</v>
      </c>
    </row>
    <row r="125" spans="1:6" x14ac:dyDescent="0.35">
      <c r="A125">
        <v>20260301</v>
      </c>
      <c r="B125" t="s">
        <v>1169</v>
      </c>
      <c r="C125" t="s">
        <v>1469</v>
      </c>
      <c r="D125">
        <v>3</v>
      </c>
      <c r="E125">
        <v>0</v>
      </c>
      <c r="F125" t="s">
        <v>692</v>
      </c>
    </row>
    <row r="126" spans="1:6" x14ac:dyDescent="0.35">
      <c r="A126">
        <v>20260301</v>
      </c>
      <c r="B126" t="s">
        <v>1169</v>
      </c>
      <c r="C126" t="s">
        <v>1470</v>
      </c>
      <c r="D126">
        <v>1.5</v>
      </c>
      <c r="E126">
        <v>0</v>
      </c>
      <c r="F126" t="s">
        <v>692</v>
      </c>
    </row>
    <row r="127" spans="1:6" x14ac:dyDescent="0.35">
      <c r="A127">
        <v>20260301</v>
      </c>
      <c r="B127" t="s">
        <v>1175</v>
      </c>
      <c r="C127" t="s">
        <v>1466</v>
      </c>
      <c r="D127">
        <v>6</v>
      </c>
      <c r="E127">
        <v>6</v>
      </c>
      <c r="F127" t="s">
        <v>692</v>
      </c>
    </row>
    <row r="128" spans="1:6" x14ac:dyDescent="0.35">
      <c r="A128">
        <v>20260301</v>
      </c>
      <c r="B128" t="s">
        <v>1175</v>
      </c>
      <c r="C128" t="s">
        <v>1467</v>
      </c>
      <c r="D128">
        <v>8.5</v>
      </c>
      <c r="E128">
        <v>8.5</v>
      </c>
      <c r="F128" t="s">
        <v>692</v>
      </c>
    </row>
    <row r="129" spans="1:6" x14ac:dyDescent="0.35">
      <c r="A129">
        <v>20260301</v>
      </c>
      <c r="B129" t="s">
        <v>1175</v>
      </c>
      <c r="C129" t="s">
        <v>1468</v>
      </c>
      <c r="D129">
        <v>4</v>
      </c>
      <c r="E129">
        <v>4</v>
      </c>
      <c r="F129" t="s">
        <v>692</v>
      </c>
    </row>
    <row r="130" spans="1:6" x14ac:dyDescent="0.35">
      <c r="A130">
        <v>20260301</v>
      </c>
      <c r="B130" t="s">
        <v>1175</v>
      </c>
      <c r="C130" t="s">
        <v>1469</v>
      </c>
      <c r="D130">
        <v>3</v>
      </c>
      <c r="E130">
        <v>0</v>
      </c>
      <c r="F130" t="s">
        <v>692</v>
      </c>
    </row>
    <row r="131" spans="1:6" x14ac:dyDescent="0.35">
      <c r="A131">
        <v>20260301</v>
      </c>
      <c r="B131" t="s">
        <v>1175</v>
      </c>
      <c r="C131" t="s">
        <v>1470</v>
      </c>
      <c r="D131">
        <v>1.5</v>
      </c>
      <c r="E131">
        <v>0</v>
      </c>
      <c r="F131" t="s">
        <v>692</v>
      </c>
    </row>
    <row r="132" spans="1:6" x14ac:dyDescent="0.35">
      <c r="A132">
        <v>20260301</v>
      </c>
      <c r="B132" t="s">
        <v>1130</v>
      </c>
      <c r="C132" t="s">
        <v>1466</v>
      </c>
      <c r="D132">
        <v>6</v>
      </c>
      <c r="E132">
        <v>6</v>
      </c>
      <c r="F132" t="s">
        <v>692</v>
      </c>
    </row>
    <row r="133" spans="1:6" x14ac:dyDescent="0.35">
      <c r="A133">
        <v>20260301</v>
      </c>
      <c r="B133" t="s">
        <v>1130</v>
      </c>
      <c r="C133" t="s">
        <v>1467</v>
      </c>
      <c r="D133">
        <v>8.5</v>
      </c>
      <c r="E133">
        <v>8.5</v>
      </c>
      <c r="F133" t="s">
        <v>692</v>
      </c>
    </row>
    <row r="134" spans="1:6" x14ac:dyDescent="0.35">
      <c r="A134">
        <v>20260301</v>
      </c>
      <c r="B134" t="s">
        <v>1130</v>
      </c>
      <c r="C134" t="s">
        <v>1468</v>
      </c>
      <c r="D134">
        <v>4</v>
      </c>
      <c r="E134">
        <v>4</v>
      </c>
      <c r="F134" t="s">
        <v>692</v>
      </c>
    </row>
    <row r="135" spans="1:6" x14ac:dyDescent="0.35">
      <c r="A135">
        <v>20260301</v>
      </c>
      <c r="B135" t="s">
        <v>1130</v>
      </c>
      <c r="C135" t="s">
        <v>1469</v>
      </c>
      <c r="D135">
        <v>3</v>
      </c>
      <c r="E135">
        <v>0</v>
      </c>
      <c r="F135" t="s">
        <v>692</v>
      </c>
    </row>
    <row r="136" spans="1:6" x14ac:dyDescent="0.35">
      <c r="A136">
        <v>20260301</v>
      </c>
      <c r="B136" t="s">
        <v>1130</v>
      </c>
      <c r="C136" t="s">
        <v>1470</v>
      </c>
      <c r="D136">
        <v>1.5</v>
      </c>
      <c r="E136">
        <v>0</v>
      </c>
      <c r="F136" t="s">
        <v>692</v>
      </c>
    </row>
    <row r="137" spans="1:6" x14ac:dyDescent="0.35">
      <c r="A137">
        <v>20260301</v>
      </c>
      <c r="B137" t="s">
        <v>1173</v>
      </c>
      <c r="C137" t="s">
        <v>1466</v>
      </c>
      <c r="D137">
        <v>6</v>
      </c>
      <c r="E137">
        <v>6</v>
      </c>
      <c r="F137" t="s">
        <v>692</v>
      </c>
    </row>
    <row r="138" spans="1:6" x14ac:dyDescent="0.35">
      <c r="A138">
        <v>20260301</v>
      </c>
      <c r="B138" t="s">
        <v>1173</v>
      </c>
      <c r="C138" t="s">
        <v>1467</v>
      </c>
      <c r="D138">
        <v>8.5</v>
      </c>
      <c r="E138">
        <v>8.5</v>
      </c>
      <c r="F138" t="s">
        <v>692</v>
      </c>
    </row>
    <row r="139" spans="1:6" x14ac:dyDescent="0.35">
      <c r="A139">
        <v>20260301</v>
      </c>
      <c r="B139" t="s">
        <v>1173</v>
      </c>
      <c r="C139" t="s">
        <v>1468</v>
      </c>
      <c r="D139">
        <v>4</v>
      </c>
      <c r="E139">
        <v>4</v>
      </c>
      <c r="F139" t="s">
        <v>692</v>
      </c>
    </row>
    <row r="140" spans="1:6" x14ac:dyDescent="0.35">
      <c r="A140">
        <v>20260301</v>
      </c>
      <c r="B140" t="s">
        <v>1173</v>
      </c>
      <c r="C140" t="s">
        <v>1469</v>
      </c>
      <c r="D140">
        <v>3</v>
      </c>
      <c r="E140">
        <v>0</v>
      </c>
      <c r="F140" t="s">
        <v>692</v>
      </c>
    </row>
    <row r="141" spans="1:6" x14ac:dyDescent="0.35">
      <c r="A141">
        <v>20260301</v>
      </c>
      <c r="B141" t="s">
        <v>1173</v>
      </c>
      <c r="C141" t="s">
        <v>1470</v>
      </c>
      <c r="D141">
        <v>1.5</v>
      </c>
      <c r="E141">
        <v>0</v>
      </c>
      <c r="F141" t="s">
        <v>692</v>
      </c>
    </row>
    <row r="142" spans="1:6" x14ac:dyDescent="0.35">
      <c r="A142">
        <v>20260301</v>
      </c>
      <c r="B142" t="s">
        <v>1155</v>
      </c>
      <c r="C142" t="s">
        <v>1466</v>
      </c>
      <c r="D142">
        <v>6</v>
      </c>
      <c r="E142">
        <v>6</v>
      </c>
      <c r="F142" t="s">
        <v>692</v>
      </c>
    </row>
    <row r="143" spans="1:6" x14ac:dyDescent="0.35">
      <c r="A143">
        <v>20260301</v>
      </c>
      <c r="B143" t="s">
        <v>1155</v>
      </c>
      <c r="C143" t="s">
        <v>1467</v>
      </c>
      <c r="D143">
        <v>8.5</v>
      </c>
      <c r="E143">
        <v>8.5</v>
      </c>
      <c r="F143" t="s">
        <v>692</v>
      </c>
    </row>
    <row r="144" spans="1:6" x14ac:dyDescent="0.35">
      <c r="A144">
        <v>20260301</v>
      </c>
      <c r="B144" t="s">
        <v>1155</v>
      </c>
      <c r="C144" t="s">
        <v>1468</v>
      </c>
      <c r="D144">
        <v>4</v>
      </c>
      <c r="E144">
        <v>4</v>
      </c>
      <c r="F144" t="s">
        <v>692</v>
      </c>
    </row>
    <row r="145" spans="1:6" x14ac:dyDescent="0.35">
      <c r="A145">
        <v>20260301</v>
      </c>
      <c r="B145" t="s">
        <v>1155</v>
      </c>
      <c r="C145" t="s">
        <v>1469</v>
      </c>
      <c r="D145">
        <v>3</v>
      </c>
      <c r="E145">
        <v>0</v>
      </c>
      <c r="F145" t="s">
        <v>692</v>
      </c>
    </row>
    <row r="146" spans="1:6" x14ac:dyDescent="0.35">
      <c r="A146">
        <v>20260301</v>
      </c>
      <c r="B146" t="s">
        <v>1155</v>
      </c>
      <c r="C146" t="s">
        <v>1470</v>
      </c>
      <c r="D146">
        <v>1.5</v>
      </c>
      <c r="E146">
        <v>0</v>
      </c>
      <c r="F146" t="s">
        <v>692</v>
      </c>
    </row>
    <row r="147" spans="1:6" x14ac:dyDescent="0.35">
      <c r="A147">
        <v>20260301</v>
      </c>
      <c r="B147" t="s">
        <v>1138</v>
      </c>
      <c r="C147" t="s">
        <v>1466</v>
      </c>
      <c r="D147">
        <v>6</v>
      </c>
      <c r="E147">
        <v>6</v>
      </c>
      <c r="F147" t="s">
        <v>692</v>
      </c>
    </row>
    <row r="148" spans="1:6" x14ac:dyDescent="0.35">
      <c r="A148">
        <v>20260301</v>
      </c>
      <c r="B148" t="s">
        <v>1138</v>
      </c>
      <c r="C148" t="s">
        <v>1467</v>
      </c>
      <c r="D148">
        <v>8.5</v>
      </c>
      <c r="E148">
        <v>8.5</v>
      </c>
      <c r="F148" t="s">
        <v>692</v>
      </c>
    </row>
    <row r="149" spans="1:6" x14ac:dyDescent="0.35">
      <c r="A149">
        <v>20260301</v>
      </c>
      <c r="B149" t="s">
        <v>1138</v>
      </c>
      <c r="C149" t="s">
        <v>1468</v>
      </c>
      <c r="D149">
        <v>4</v>
      </c>
      <c r="E149">
        <v>4</v>
      </c>
      <c r="F149" t="s">
        <v>692</v>
      </c>
    </row>
    <row r="150" spans="1:6" x14ac:dyDescent="0.35">
      <c r="A150">
        <v>20260301</v>
      </c>
      <c r="B150" t="s">
        <v>1138</v>
      </c>
      <c r="C150" t="s">
        <v>1469</v>
      </c>
      <c r="D150">
        <v>3</v>
      </c>
      <c r="E150">
        <v>0</v>
      </c>
      <c r="F150" t="s">
        <v>692</v>
      </c>
    </row>
    <row r="151" spans="1:6" x14ac:dyDescent="0.35">
      <c r="A151">
        <v>20260301</v>
      </c>
      <c r="B151" t="s">
        <v>1138</v>
      </c>
      <c r="C151" t="s">
        <v>1470</v>
      </c>
      <c r="D151">
        <v>1.5</v>
      </c>
      <c r="E151">
        <v>0</v>
      </c>
      <c r="F151" t="s">
        <v>692</v>
      </c>
    </row>
    <row r="152" spans="1:6" x14ac:dyDescent="0.35">
      <c r="A152">
        <v>20260401</v>
      </c>
      <c r="B152" t="s">
        <v>1150</v>
      </c>
      <c r="C152" t="s">
        <v>1466</v>
      </c>
      <c r="D152">
        <v>6</v>
      </c>
      <c r="E152">
        <v>6</v>
      </c>
      <c r="F152" t="s">
        <v>692</v>
      </c>
    </row>
    <row r="153" spans="1:6" x14ac:dyDescent="0.35">
      <c r="A153">
        <v>20260401</v>
      </c>
      <c r="B153" t="s">
        <v>1150</v>
      </c>
      <c r="C153" t="s">
        <v>1467</v>
      </c>
      <c r="D153">
        <v>8.5</v>
      </c>
      <c r="E153">
        <v>8.5</v>
      </c>
      <c r="F153" t="s">
        <v>692</v>
      </c>
    </row>
    <row r="154" spans="1:6" x14ac:dyDescent="0.35">
      <c r="A154">
        <v>20260401</v>
      </c>
      <c r="B154" t="s">
        <v>1150</v>
      </c>
      <c r="C154" t="s">
        <v>1468</v>
      </c>
      <c r="D154">
        <v>4</v>
      </c>
      <c r="E154">
        <v>4</v>
      </c>
      <c r="F154" t="s">
        <v>692</v>
      </c>
    </row>
    <row r="155" spans="1:6" x14ac:dyDescent="0.35">
      <c r="A155">
        <v>20260401</v>
      </c>
      <c r="B155" t="s">
        <v>1150</v>
      </c>
      <c r="C155" t="s">
        <v>1469</v>
      </c>
      <c r="D155">
        <v>3</v>
      </c>
      <c r="E155">
        <v>0</v>
      </c>
      <c r="F155" t="s">
        <v>692</v>
      </c>
    </row>
    <row r="156" spans="1:6" x14ac:dyDescent="0.35">
      <c r="A156">
        <v>20260401</v>
      </c>
      <c r="B156" t="s">
        <v>1150</v>
      </c>
      <c r="C156" t="s">
        <v>1470</v>
      </c>
      <c r="D156">
        <v>1.5</v>
      </c>
      <c r="E156">
        <v>0</v>
      </c>
      <c r="F156" t="s">
        <v>692</v>
      </c>
    </row>
    <row r="157" spans="1:6" x14ac:dyDescent="0.35">
      <c r="A157">
        <v>20260401</v>
      </c>
      <c r="B157" t="s">
        <v>1158</v>
      </c>
      <c r="C157" t="s">
        <v>1466</v>
      </c>
      <c r="D157">
        <v>6</v>
      </c>
      <c r="E157">
        <v>6</v>
      </c>
      <c r="F157" t="s">
        <v>692</v>
      </c>
    </row>
    <row r="158" spans="1:6" x14ac:dyDescent="0.35">
      <c r="A158">
        <v>20260401</v>
      </c>
      <c r="B158" t="s">
        <v>1158</v>
      </c>
      <c r="C158" t="s">
        <v>1467</v>
      </c>
      <c r="D158">
        <v>8.5</v>
      </c>
      <c r="E158">
        <v>8.5</v>
      </c>
      <c r="F158" t="s">
        <v>692</v>
      </c>
    </row>
    <row r="159" spans="1:6" x14ac:dyDescent="0.35">
      <c r="A159">
        <v>20260401</v>
      </c>
      <c r="B159" t="s">
        <v>1158</v>
      </c>
      <c r="C159" t="s">
        <v>1468</v>
      </c>
      <c r="D159">
        <v>4</v>
      </c>
      <c r="E159">
        <v>4</v>
      </c>
      <c r="F159" t="s">
        <v>692</v>
      </c>
    </row>
    <row r="160" spans="1:6" x14ac:dyDescent="0.35">
      <c r="A160">
        <v>20260401</v>
      </c>
      <c r="B160" t="s">
        <v>1158</v>
      </c>
      <c r="C160" t="s">
        <v>1469</v>
      </c>
      <c r="D160">
        <v>3</v>
      </c>
      <c r="E160">
        <v>0</v>
      </c>
      <c r="F160" t="s">
        <v>692</v>
      </c>
    </row>
    <row r="161" spans="1:6" x14ac:dyDescent="0.35">
      <c r="A161">
        <v>20260401</v>
      </c>
      <c r="B161" t="s">
        <v>1158</v>
      </c>
      <c r="C161" t="s">
        <v>1470</v>
      </c>
      <c r="D161">
        <v>1.5</v>
      </c>
      <c r="E161">
        <v>0</v>
      </c>
      <c r="F161" t="s">
        <v>692</v>
      </c>
    </row>
    <row r="162" spans="1:6" x14ac:dyDescent="0.35">
      <c r="A162">
        <v>20260401</v>
      </c>
      <c r="B162" t="s">
        <v>1205</v>
      </c>
      <c r="C162" t="s">
        <v>1466</v>
      </c>
      <c r="D162">
        <v>6</v>
      </c>
      <c r="E162">
        <v>6</v>
      </c>
      <c r="F162" t="s">
        <v>692</v>
      </c>
    </row>
    <row r="163" spans="1:6" x14ac:dyDescent="0.35">
      <c r="A163">
        <v>20260401</v>
      </c>
      <c r="B163" t="s">
        <v>1205</v>
      </c>
      <c r="C163" t="s">
        <v>1467</v>
      </c>
      <c r="D163">
        <v>8.5</v>
      </c>
      <c r="E163">
        <v>8.5</v>
      </c>
      <c r="F163" t="s">
        <v>692</v>
      </c>
    </row>
    <row r="164" spans="1:6" x14ac:dyDescent="0.35">
      <c r="A164">
        <v>20260401</v>
      </c>
      <c r="B164" t="s">
        <v>1205</v>
      </c>
      <c r="C164" t="s">
        <v>1468</v>
      </c>
      <c r="D164">
        <v>4</v>
      </c>
      <c r="E164">
        <v>4</v>
      </c>
      <c r="F164" t="s">
        <v>692</v>
      </c>
    </row>
    <row r="165" spans="1:6" x14ac:dyDescent="0.35">
      <c r="A165">
        <v>20260401</v>
      </c>
      <c r="B165" t="s">
        <v>1205</v>
      </c>
      <c r="C165" t="s">
        <v>1469</v>
      </c>
      <c r="D165">
        <v>3</v>
      </c>
      <c r="E165">
        <v>0</v>
      </c>
      <c r="F165" t="s">
        <v>692</v>
      </c>
    </row>
    <row r="166" spans="1:6" x14ac:dyDescent="0.35">
      <c r="A166">
        <v>20260401</v>
      </c>
      <c r="B166" t="s">
        <v>1205</v>
      </c>
      <c r="C166" t="s">
        <v>1470</v>
      </c>
      <c r="D166">
        <v>1.5</v>
      </c>
      <c r="E166">
        <v>0</v>
      </c>
      <c r="F166" t="s">
        <v>692</v>
      </c>
    </row>
    <row r="167" spans="1:6" x14ac:dyDescent="0.35">
      <c r="A167">
        <v>20260401</v>
      </c>
      <c r="B167" t="s">
        <v>1164</v>
      </c>
      <c r="C167" t="s">
        <v>1466</v>
      </c>
      <c r="D167">
        <v>6</v>
      </c>
      <c r="E167">
        <v>6</v>
      </c>
      <c r="F167" t="s">
        <v>692</v>
      </c>
    </row>
    <row r="168" spans="1:6" x14ac:dyDescent="0.35">
      <c r="A168">
        <v>20260401</v>
      </c>
      <c r="B168" t="s">
        <v>1164</v>
      </c>
      <c r="C168" t="s">
        <v>1467</v>
      </c>
      <c r="D168">
        <v>8.5</v>
      </c>
      <c r="E168">
        <v>8.5</v>
      </c>
      <c r="F168" t="s">
        <v>692</v>
      </c>
    </row>
    <row r="169" spans="1:6" x14ac:dyDescent="0.35">
      <c r="A169">
        <v>20260401</v>
      </c>
      <c r="B169" t="s">
        <v>1164</v>
      </c>
      <c r="C169" t="s">
        <v>1468</v>
      </c>
      <c r="D169">
        <v>4</v>
      </c>
      <c r="E169">
        <v>4</v>
      </c>
      <c r="F169" t="s">
        <v>692</v>
      </c>
    </row>
    <row r="170" spans="1:6" x14ac:dyDescent="0.35">
      <c r="A170">
        <v>20260401</v>
      </c>
      <c r="B170" t="s">
        <v>1164</v>
      </c>
      <c r="C170" t="s">
        <v>1469</v>
      </c>
      <c r="D170">
        <v>3</v>
      </c>
      <c r="E170">
        <v>0</v>
      </c>
      <c r="F170" t="s">
        <v>692</v>
      </c>
    </row>
    <row r="171" spans="1:6" x14ac:dyDescent="0.35">
      <c r="A171">
        <v>20260401</v>
      </c>
      <c r="B171" t="s">
        <v>1164</v>
      </c>
      <c r="C171" t="s">
        <v>1470</v>
      </c>
      <c r="D171">
        <v>1.5</v>
      </c>
      <c r="E171">
        <v>0</v>
      </c>
      <c r="F171" t="s">
        <v>692</v>
      </c>
    </row>
    <row r="172" spans="1:6" x14ac:dyDescent="0.35">
      <c r="A172">
        <v>20260401</v>
      </c>
      <c r="B172" t="s">
        <v>1169</v>
      </c>
      <c r="C172" t="s">
        <v>1466</v>
      </c>
      <c r="D172">
        <v>6</v>
      </c>
      <c r="E172">
        <v>6</v>
      </c>
      <c r="F172" t="s">
        <v>692</v>
      </c>
    </row>
    <row r="173" spans="1:6" x14ac:dyDescent="0.35">
      <c r="A173">
        <v>20260401</v>
      </c>
      <c r="B173" t="s">
        <v>1169</v>
      </c>
      <c r="C173" t="s">
        <v>1467</v>
      </c>
      <c r="D173">
        <v>8.5</v>
      </c>
      <c r="E173">
        <v>8.5</v>
      </c>
      <c r="F173" t="s">
        <v>692</v>
      </c>
    </row>
    <row r="174" spans="1:6" x14ac:dyDescent="0.35">
      <c r="A174">
        <v>20260401</v>
      </c>
      <c r="B174" t="s">
        <v>1169</v>
      </c>
      <c r="C174" t="s">
        <v>1468</v>
      </c>
      <c r="D174">
        <v>4</v>
      </c>
      <c r="E174">
        <v>4</v>
      </c>
      <c r="F174" t="s">
        <v>692</v>
      </c>
    </row>
    <row r="175" spans="1:6" x14ac:dyDescent="0.35">
      <c r="A175">
        <v>20260401</v>
      </c>
      <c r="B175" t="s">
        <v>1169</v>
      </c>
      <c r="C175" t="s">
        <v>1469</v>
      </c>
      <c r="D175">
        <v>3</v>
      </c>
      <c r="E175">
        <v>0</v>
      </c>
      <c r="F175" t="s">
        <v>692</v>
      </c>
    </row>
    <row r="176" spans="1:6" x14ac:dyDescent="0.35">
      <c r="A176">
        <v>20260401</v>
      </c>
      <c r="B176" t="s">
        <v>1169</v>
      </c>
      <c r="C176" t="s">
        <v>1470</v>
      </c>
      <c r="D176">
        <v>1.5</v>
      </c>
      <c r="E176">
        <v>0</v>
      </c>
      <c r="F176" t="s">
        <v>692</v>
      </c>
    </row>
    <row r="177" spans="1:6" x14ac:dyDescent="0.35">
      <c r="A177">
        <v>20260401</v>
      </c>
      <c r="B177" t="s">
        <v>1175</v>
      </c>
      <c r="C177" t="s">
        <v>1466</v>
      </c>
      <c r="D177">
        <v>6</v>
      </c>
      <c r="E177">
        <v>6</v>
      </c>
      <c r="F177" t="s">
        <v>692</v>
      </c>
    </row>
    <row r="178" spans="1:6" x14ac:dyDescent="0.35">
      <c r="A178">
        <v>20260401</v>
      </c>
      <c r="B178" t="s">
        <v>1175</v>
      </c>
      <c r="C178" t="s">
        <v>1467</v>
      </c>
      <c r="D178">
        <v>8.5</v>
      </c>
      <c r="E178">
        <v>8.5</v>
      </c>
      <c r="F178" t="s">
        <v>692</v>
      </c>
    </row>
    <row r="179" spans="1:6" x14ac:dyDescent="0.35">
      <c r="A179">
        <v>20260401</v>
      </c>
      <c r="B179" t="s">
        <v>1175</v>
      </c>
      <c r="C179" t="s">
        <v>1468</v>
      </c>
      <c r="D179">
        <v>4</v>
      </c>
      <c r="E179">
        <v>4</v>
      </c>
      <c r="F179" t="s">
        <v>692</v>
      </c>
    </row>
    <row r="180" spans="1:6" x14ac:dyDescent="0.35">
      <c r="A180">
        <v>20260401</v>
      </c>
      <c r="B180" t="s">
        <v>1175</v>
      </c>
      <c r="C180" t="s">
        <v>1469</v>
      </c>
      <c r="D180">
        <v>3</v>
      </c>
      <c r="E180">
        <v>0</v>
      </c>
      <c r="F180" t="s">
        <v>692</v>
      </c>
    </row>
    <row r="181" spans="1:6" x14ac:dyDescent="0.35">
      <c r="A181">
        <v>20260401</v>
      </c>
      <c r="B181" t="s">
        <v>1175</v>
      </c>
      <c r="C181" t="s">
        <v>1470</v>
      </c>
      <c r="D181">
        <v>1.5</v>
      </c>
      <c r="E181">
        <v>0</v>
      </c>
      <c r="F181" t="s">
        <v>692</v>
      </c>
    </row>
    <row r="182" spans="1:6" x14ac:dyDescent="0.35">
      <c r="A182">
        <v>20260401</v>
      </c>
      <c r="B182" t="s">
        <v>1130</v>
      </c>
      <c r="C182" t="s">
        <v>1466</v>
      </c>
      <c r="D182">
        <v>6</v>
      </c>
      <c r="E182">
        <v>6</v>
      </c>
      <c r="F182" t="s">
        <v>692</v>
      </c>
    </row>
    <row r="183" spans="1:6" x14ac:dyDescent="0.35">
      <c r="A183">
        <v>20260401</v>
      </c>
      <c r="B183" t="s">
        <v>1130</v>
      </c>
      <c r="C183" t="s">
        <v>1467</v>
      </c>
      <c r="D183">
        <v>8.5</v>
      </c>
      <c r="E183">
        <v>8.5</v>
      </c>
      <c r="F183" t="s">
        <v>692</v>
      </c>
    </row>
    <row r="184" spans="1:6" x14ac:dyDescent="0.35">
      <c r="A184">
        <v>20260401</v>
      </c>
      <c r="B184" t="s">
        <v>1130</v>
      </c>
      <c r="C184" t="s">
        <v>1468</v>
      </c>
      <c r="D184">
        <v>4</v>
      </c>
      <c r="E184">
        <v>4</v>
      </c>
      <c r="F184" t="s">
        <v>692</v>
      </c>
    </row>
    <row r="185" spans="1:6" x14ac:dyDescent="0.35">
      <c r="A185">
        <v>20260401</v>
      </c>
      <c r="B185" t="s">
        <v>1130</v>
      </c>
      <c r="C185" t="s">
        <v>1469</v>
      </c>
      <c r="D185">
        <v>3</v>
      </c>
      <c r="E185">
        <v>0</v>
      </c>
      <c r="F185" t="s">
        <v>692</v>
      </c>
    </row>
    <row r="186" spans="1:6" x14ac:dyDescent="0.35">
      <c r="A186">
        <v>20260401</v>
      </c>
      <c r="B186" t="s">
        <v>1130</v>
      </c>
      <c r="C186" t="s">
        <v>1470</v>
      </c>
      <c r="D186">
        <v>1.5</v>
      </c>
      <c r="E186">
        <v>0</v>
      </c>
      <c r="F186" t="s">
        <v>692</v>
      </c>
    </row>
    <row r="187" spans="1:6" x14ac:dyDescent="0.35">
      <c r="A187">
        <v>20260401</v>
      </c>
      <c r="B187" t="s">
        <v>1173</v>
      </c>
      <c r="C187" t="s">
        <v>1466</v>
      </c>
      <c r="D187">
        <v>6</v>
      </c>
      <c r="E187">
        <v>6</v>
      </c>
      <c r="F187" t="s">
        <v>692</v>
      </c>
    </row>
    <row r="188" spans="1:6" x14ac:dyDescent="0.35">
      <c r="A188">
        <v>20260401</v>
      </c>
      <c r="B188" t="s">
        <v>1173</v>
      </c>
      <c r="C188" t="s">
        <v>1467</v>
      </c>
      <c r="D188">
        <v>8.5</v>
      </c>
      <c r="E188">
        <v>8.5</v>
      </c>
      <c r="F188" t="s">
        <v>692</v>
      </c>
    </row>
    <row r="189" spans="1:6" x14ac:dyDescent="0.35">
      <c r="A189">
        <v>20260401</v>
      </c>
      <c r="B189" t="s">
        <v>1173</v>
      </c>
      <c r="C189" t="s">
        <v>1468</v>
      </c>
      <c r="D189">
        <v>4</v>
      </c>
      <c r="E189">
        <v>4</v>
      </c>
      <c r="F189" t="s">
        <v>692</v>
      </c>
    </row>
    <row r="190" spans="1:6" x14ac:dyDescent="0.35">
      <c r="A190">
        <v>20260401</v>
      </c>
      <c r="B190" t="s">
        <v>1173</v>
      </c>
      <c r="C190" t="s">
        <v>1469</v>
      </c>
      <c r="D190">
        <v>3</v>
      </c>
      <c r="E190">
        <v>0</v>
      </c>
      <c r="F190" t="s">
        <v>692</v>
      </c>
    </row>
    <row r="191" spans="1:6" x14ac:dyDescent="0.35">
      <c r="A191">
        <v>20260401</v>
      </c>
      <c r="B191" t="s">
        <v>1173</v>
      </c>
      <c r="C191" t="s">
        <v>1470</v>
      </c>
      <c r="D191">
        <v>1.5</v>
      </c>
      <c r="E191">
        <v>0</v>
      </c>
      <c r="F191" t="s">
        <v>692</v>
      </c>
    </row>
    <row r="192" spans="1:6" x14ac:dyDescent="0.35">
      <c r="A192">
        <v>20260401</v>
      </c>
      <c r="B192" t="s">
        <v>1155</v>
      </c>
      <c r="C192" t="s">
        <v>1466</v>
      </c>
      <c r="D192">
        <v>6</v>
      </c>
      <c r="E192">
        <v>6</v>
      </c>
      <c r="F192" t="s">
        <v>692</v>
      </c>
    </row>
    <row r="193" spans="1:6" x14ac:dyDescent="0.35">
      <c r="A193">
        <v>20260401</v>
      </c>
      <c r="B193" t="s">
        <v>1155</v>
      </c>
      <c r="C193" t="s">
        <v>1467</v>
      </c>
      <c r="D193">
        <v>8.5</v>
      </c>
      <c r="E193">
        <v>8.5</v>
      </c>
      <c r="F193" t="s">
        <v>692</v>
      </c>
    </row>
    <row r="194" spans="1:6" x14ac:dyDescent="0.35">
      <c r="A194">
        <v>20260401</v>
      </c>
      <c r="B194" t="s">
        <v>1155</v>
      </c>
      <c r="C194" t="s">
        <v>1468</v>
      </c>
      <c r="D194">
        <v>4</v>
      </c>
      <c r="E194">
        <v>4</v>
      </c>
      <c r="F194" t="s">
        <v>692</v>
      </c>
    </row>
    <row r="195" spans="1:6" x14ac:dyDescent="0.35">
      <c r="A195">
        <v>20260401</v>
      </c>
      <c r="B195" t="s">
        <v>1155</v>
      </c>
      <c r="C195" t="s">
        <v>1469</v>
      </c>
      <c r="D195">
        <v>3</v>
      </c>
      <c r="E195">
        <v>0</v>
      </c>
      <c r="F195" t="s">
        <v>692</v>
      </c>
    </row>
    <row r="196" spans="1:6" x14ac:dyDescent="0.35">
      <c r="A196">
        <v>20260401</v>
      </c>
      <c r="B196" t="s">
        <v>1155</v>
      </c>
      <c r="C196" t="s">
        <v>1470</v>
      </c>
      <c r="D196">
        <v>1.5</v>
      </c>
      <c r="E196">
        <v>0</v>
      </c>
      <c r="F196" t="s">
        <v>692</v>
      </c>
    </row>
    <row r="197" spans="1:6" x14ac:dyDescent="0.35">
      <c r="A197">
        <v>20260401</v>
      </c>
      <c r="B197" t="s">
        <v>1138</v>
      </c>
      <c r="C197" t="s">
        <v>1466</v>
      </c>
      <c r="D197">
        <v>6</v>
      </c>
      <c r="E197">
        <v>6</v>
      </c>
      <c r="F197" t="s">
        <v>692</v>
      </c>
    </row>
    <row r="198" spans="1:6" x14ac:dyDescent="0.35">
      <c r="A198">
        <v>20260401</v>
      </c>
      <c r="B198" t="s">
        <v>1138</v>
      </c>
      <c r="C198" t="s">
        <v>1467</v>
      </c>
      <c r="D198">
        <v>8.5</v>
      </c>
      <c r="E198">
        <v>8.5</v>
      </c>
      <c r="F198" t="s">
        <v>692</v>
      </c>
    </row>
    <row r="199" spans="1:6" x14ac:dyDescent="0.35">
      <c r="A199">
        <v>20260401</v>
      </c>
      <c r="B199" t="s">
        <v>1138</v>
      </c>
      <c r="C199" t="s">
        <v>1468</v>
      </c>
      <c r="D199">
        <v>4</v>
      </c>
      <c r="E199">
        <v>4</v>
      </c>
      <c r="F199" t="s">
        <v>692</v>
      </c>
    </row>
    <row r="200" spans="1:6" x14ac:dyDescent="0.35">
      <c r="A200">
        <v>20260401</v>
      </c>
      <c r="B200" t="s">
        <v>1138</v>
      </c>
      <c r="C200" t="s">
        <v>1469</v>
      </c>
      <c r="D200">
        <v>3</v>
      </c>
      <c r="E200">
        <v>0</v>
      </c>
      <c r="F200" t="s">
        <v>692</v>
      </c>
    </row>
    <row r="201" spans="1:6" x14ac:dyDescent="0.35">
      <c r="A201">
        <v>20260401</v>
      </c>
      <c r="B201" t="s">
        <v>1138</v>
      </c>
      <c r="C201" t="s">
        <v>1470</v>
      </c>
      <c r="D201">
        <v>1.5</v>
      </c>
      <c r="E201">
        <v>0</v>
      </c>
      <c r="F201" t="s">
        <v>692</v>
      </c>
    </row>
    <row r="202" spans="1:6" x14ac:dyDescent="0.35">
      <c r="A202">
        <v>20260501</v>
      </c>
      <c r="B202" t="s">
        <v>1150</v>
      </c>
      <c r="C202" t="s">
        <v>1466</v>
      </c>
      <c r="D202">
        <v>6</v>
      </c>
      <c r="E202">
        <v>6</v>
      </c>
      <c r="F202" t="s">
        <v>692</v>
      </c>
    </row>
    <row r="203" spans="1:6" x14ac:dyDescent="0.35">
      <c r="A203">
        <v>20260501</v>
      </c>
      <c r="B203" t="s">
        <v>1150</v>
      </c>
      <c r="C203" t="s">
        <v>1467</v>
      </c>
      <c r="D203">
        <v>8.5</v>
      </c>
      <c r="E203">
        <v>8.5</v>
      </c>
      <c r="F203" t="s">
        <v>692</v>
      </c>
    </row>
    <row r="204" spans="1:6" x14ac:dyDescent="0.35">
      <c r="A204">
        <v>20260501</v>
      </c>
      <c r="B204" t="s">
        <v>1150</v>
      </c>
      <c r="C204" t="s">
        <v>1468</v>
      </c>
      <c r="D204">
        <v>4</v>
      </c>
      <c r="E204">
        <v>4</v>
      </c>
      <c r="F204" t="s">
        <v>692</v>
      </c>
    </row>
    <row r="205" spans="1:6" x14ac:dyDescent="0.35">
      <c r="A205">
        <v>20260501</v>
      </c>
      <c r="B205" t="s">
        <v>1150</v>
      </c>
      <c r="C205" t="s">
        <v>1469</v>
      </c>
      <c r="D205">
        <v>3</v>
      </c>
      <c r="E205">
        <v>0</v>
      </c>
      <c r="F205" t="s">
        <v>692</v>
      </c>
    </row>
    <row r="206" spans="1:6" x14ac:dyDescent="0.35">
      <c r="A206">
        <v>20260501</v>
      </c>
      <c r="B206" t="s">
        <v>1150</v>
      </c>
      <c r="C206" t="s">
        <v>1470</v>
      </c>
      <c r="D206">
        <v>1.5</v>
      </c>
      <c r="E206">
        <v>0</v>
      </c>
      <c r="F206" t="s">
        <v>692</v>
      </c>
    </row>
    <row r="207" spans="1:6" x14ac:dyDescent="0.35">
      <c r="A207">
        <v>20260501</v>
      </c>
      <c r="B207" t="s">
        <v>1158</v>
      </c>
      <c r="C207" t="s">
        <v>1466</v>
      </c>
      <c r="D207">
        <v>6</v>
      </c>
      <c r="E207">
        <v>6</v>
      </c>
      <c r="F207" t="s">
        <v>692</v>
      </c>
    </row>
    <row r="208" spans="1:6" x14ac:dyDescent="0.35">
      <c r="A208">
        <v>20260501</v>
      </c>
      <c r="B208" t="s">
        <v>1158</v>
      </c>
      <c r="C208" t="s">
        <v>1467</v>
      </c>
      <c r="D208">
        <v>8.5</v>
      </c>
      <c r="E208">
        <v>8.5</v>
      </c>
      <c r="F208" t="s">
        <v>692</v>
      </c>
    </row>
    <row r="209" spans="1:6" x14ac:dyDescent="0.35">
      <c r="A209">
        <v>20260501</v>
      </c>
      <c r="B209" t="s">
        <v>1158</v>
      </c>
      <c r="C209" t="s">
        <v>1468</v>
      </c>
      <c r="D209">
        <v>4</v>
      </c>
      <c r="E209">
        <v>4</v>
      </c>
      <c r="F209" t="s">
        <v>692</v>
      </c>
    </row>
    <row r="210" spans="1:6" x14ac:dyDescent="0.35">
      <c r="A210">
        <v>20260501</v>
      </c>
      <c r="B210" t="s">
        <v>1158</v>
      </c>
      <c r="C210" t="s">
        <v>1469</v>
      </c>
      <c r="D210">
        <v>3</v>
      </c>
      <c r="E210">
        <v>0</v>
      </c>
      <c r="F210" t="s">
        <v>692</v>
      </c>
    </row>
    <row r="211" spans="1:6" x14ac:dyDescent="0.35">
      <c r="A211">
        <v>20260501</v>
      </c>
      <c r="B211" t="s">
        <v>1158</v>
      </c>
      <c r="C211" t="s">
        <v>1470</v>
      </c>
      <c r="D211">
        <v>1.5</v>
      </c>
      <c r="E211">
        <v>0</v>
      </c>
      <c r="F211" t="s">
        <v>692</v>
      </c>
    </row>
    <row r="212" spans="1:6" x14ac:dyDescent="0.35">
      <c r="A212">
        <v>20260501</v>
      </c>
      <c r="B212" t="s">
        <v>1205</v>
      </c>
      <c r="C212" t="s">
        <v>1466</v>
      </c>
      <c r="D212">
        <v>6</v>
      </c>
      <c r="E212">
        <v>6</v>
      </c>
      <c r="F212" t="s">
        <v>692</v>
      </c>
    </row>
    <row r="213" spans="1:6" x14ac:dyDescent="0.35">
      <c r="A213">
        <v>20260501</v>
      </c>
      <c r="B213" t="s">
        <v>1205</v>
      </c>
      <c r="C213" t="s">
        <v>1467</v>
      </c>
      <c r="D213">
        <v>8.5</v>
      </c>
      <c r="E213">
        <v>8.5</v>
      </c>
      <c r="F213" t="s">
        <v>692</v>
      </c>
    </row>
    <row r="214" spans="1:6" x14ac:dyDescent="0.35">
      <c r="A214">
        <v>20260501</v>
      </c>
      <c r="B214" t="s">
        <v>1205</v>
      </c>
      <c r="C214" t="s">
        <v>1468</v>
      </c>
      <c r="D214">
        <v>4</v>
      </c>
      <c r="E214">
        <v>4</v>
      </c>
      <c r="F214" t="s">
        <v>692</v>
      </c>
    </row>
    <row r="215" spans="1:6" x14ac:dyDescent="0.35">
      <c r="A215">
        <v>20260501</v>
      </c>
      <c r="B215" t="s">
        <v>1205</v>
      </c>
      <c r="C215" t="s">
        <v>1469</v>
      </c>
      <c r="D215">
        <v>3</v>
      </c>
      <c r="E215">
        <v>0</v>
      </c>
      <c r="F215" t="s">
        <v>692</v>
      </c>
    </row>
    <row r="216" spans="1:6" x14ac:dyDescent="0.35">
      <c r="A216">
        <v>20260501</v>
      </c>
      <c r="B216" t="s">
        <v>1205</v>
      </c>
      <c r="C216" t="s">
        <v>1470</v>
      </c>
      <c r="D216">
        <v>1.5</v>
      </c>
      <c r="E216">
        <v>0</v>
      </c>
      <c r="F216" t="s">
        <v>692</v>
      </c>
    </row>
    <row r="217" spans="1:6" x14ac:dyDescent="0.35">
      <c r="A217">
        <v>20260501</v>
      </c>
      <c r="B217" t="s">
        <v>1164</v>
      </c>
      <c r="C217" t="s">
        <v>1466</v>
      </c>
      <c r="D217">
        <v>6</v>
      </c>
      <c r="E217">
        <v>6</v>
      </c>
      <c r="F217" t="s">
        <v>692</v>
      </c>
    </row>
    <row r="218" spans="1:6" x14ac:dyDescent="0.35">
      <c r="A218">
        <v>20260501</v>
      </c>
      <c r="B218" t="s">
        <v>1164</v>
      </c>
      <c r="C218" t="s">
        <v>1467</v>
      </c>
      <c r="D218">
        <v>8.5</v>
      </c>
      <c r="E218">
        <v>8.5</v>
      </c>
      <c r="F218" t="s">
        <v>692</v>
      </c>
    </row>
    <row r="219" spans="1:6" x14ac:dyDescent="0.35">
      <c r="A219">
        <v>20260501</v>
      </c>
      <c r="B219" t="s">
        <v>1164</v>
      </c>
      <c r="C219" t="s">
        <v>1468</v>
      </c>
      <c r="D219">
        <v>4</v>
      </c>
      <c r="E219">
        <v>4</v>
      </c>
      <c r="F219" t="s">
        <v>692</v>
      </c>
    </row>
    <row r="220" spans="1:6" x14ac:dyDescent="0.35">
      <c r="A220">
        <v>20260501</v>
      </c>
      <c r="B220" t="s">
        <v>1164</v>
      </c>
      <c r="C220" t="s">
        <v>1469</v>
      </c>
      <c r="D220">
        <v>3</v>
      </c>
      <c r="E220">
        <v>0</v>
      </c>
      <c r="F220" t="s">
        <v>692</v>
      </c>
    </row>
    <row r="221" spans="1:6" x14ac:dyDescent="0.35">
      <c r="A221">
        <v>20260501</v>
      </c>
      <c r="B221" t="s">
        <v>1164</v>
      </c>
      <c r="C221" t="s">
        <v>1470</v>
      </c>
      <c r="D221">
        <v>1.5</v>
      </c>
      <c r="E221">
        <v>0</v>
      </c>
      <c r="F221" t="s">
        <v>692</v>
      </c>
    </row>
    <row r="222" spans="1:6" x14ac:dyDescent="0.35">
      <c r="A222">
        <v>20260501</v>
      </c>
      <c r="B222" t="s">
        <v>1169</v>
      </c>
      <c r="C222" t="s">
        <v>1466</v>
      </c>
      <c r="D222">
        <v>6</v>
      </c>
      <c r="E222">
        <v>6</v>
      </c>
      <c r="F222" t="s">
        <v>692</v>
      </c>
    </row>
    <row r="223" spans="1:6" x14ac:dyDescent="0.35">
      <c r="A223">
        <v>20260501</v>
      </c>
      <c r="B223" t="s">
        <v>1169</v>
      </c>
      <c r="C223" t="s">
        <v>1467</v>
      </c>
      <c r="D223">
        <v>8.5</v>
      </c>
      <c r="E223">
        <v>8.5</v>
      </c>
      <c r="F223" t="s">
        <v>692</v>
      </c>
    </row>
    <row r="224" spans="1:6" x14ac:dyDescent="0.35">
      <c r="A224">
        <v>20260501</v>
      </c>
      <c r="B224" t="s">
        <v>1169</v>
      </c>
      <c r="C224" t="s">
        <v>1468</v>
      </c>
      <c r="D224">
        <v>4</v>
      </c>
      <c r="E224">
        <v>4</v>
      </c>
      <c r="F224" t="s">
        <v>692</v>
      </c>
    </row>
    <row r="225" spans="1:6" x14ac:dyDescent="0.35">
      <c r="A225">
        <v>20260501</v>
      </c>
      <c r="B225" t="s">
        <v>1169</v>
      </c>
      <c r="C225" t="s">
        <v>1469</v>
      </c>
      <c r="D225">
        <v>3</v>
      </c>
      <c r="E225">
        <v>0</v>
      </c>
      <c r="F225" t="s">
        <v>692</v>
      </c>
    </row>
    <row r="226" spans="1:6" x14ac:dyDescent="0.35">
      <c r="A226">
        <v>20260501</v>
      </c>
      <c r="B226" t="s">
        <v>1169</v>
      </c>
      <c r="C226" t="s">
        <v>1470</v>
      </c>
      <c r="D226">
        <v>1.5</v>
      </c>
      <c r="E226">
        <v>0</v>
      </c>
      <c r="F226" t="s">
        <v>692</v>
      </c>
    </row>
    <row r="227" spans="1:6" x14ac:dyDescent="0.35">
      <c r="A227">
        <v>20260501</v>
      </c>
      <c r="B227" t="s">
        <v>1175</v>
      </c>
      <c r="C227" t="s">
        <v>1466</v>
      </c>
      <c r="D227">
        <v>6</v>
      </c>
      <c r="E227">
        <v>6</v>
      </c>
      <c r="F227" t="s">
        <v>692</v>
      </c>
    </row>
    <row r="228" spans="1:6" x14ac:dyDescent="0.35">
      <c r="A228">
        <v>20260501</v>
      </c>
      <c r="B228" t="s">
        <v>1175</v>
      </c>
      <c r="C228" t="s">
        <v>1467</v>
      </c>
      <c r="D228">
        <v>8.5</v>
      </c>
      <c r="E228">
        <v>8.5</v>
      </c>
      <c r="F228" t="s">
        <v>692</v>
      </c>
    </row>
    <row r="229" spans="1:6" x14ac:dyDescent="0.35">
      <c r="A229">
        <v>20260501</v>
      </c>
      <c r="B229" t="s">
        <v>1175</v>
      </c>
      <c r="C229" t="s">
        <v>1468</v>
      </c>
      <c r="D229">
        <v>4</v>
      </c>
      <c r="E229">
        <v>4</v>
      </c>
      <c r="F229" t="s">
        <v>692</v>
      </c>
    </row>
    <row r="230" spans="1:6" x14ac:dyDescent="0.35">
      <c r="A230">
        <v>20260501</v>
      </c>
      <c r="B230" t="s">
        <v>1175</v>
      </c>
      <c r="C230" t="s">
        <v>1469</v>
      </c>
      <c r="D230">
        <v>3</v>
      </c>
      <c r="E230">
        <v>0</v>
      </c>
      <c r="F230" t="s">
        <v>692</v>
      </c>
    </row>
    <row r="231" spans="1:6" x14ac:dyDescent="0.35">
      <c r="A231">
        <v>20260501</v>
      </c>
      <c r="B231" t="s">
        <v>1175</v>
      </c>
      <c r="C231" t="s">
        <v>1470</v>
      </c>
      <c r="D231">
        <v>1.5</v>
      </c>
      <c r="E231">
        <v>0</v>
      </c>
      <c r="F231" t="s">
        <v>692</v>
      </c>
    </row>
    <row r="232" spans="1:6" x14ac:dyDescent="0.35">
      <c r="A232">
        <v>20260501</v>
      </c>
      <c r="B232" t="s">
        <v>1130</v>
      </c>
      <c r="C232" t="s">
        <v>1466</v>
      </c>
      <c r="D232">
        <v>6</v>
      </c>
      <c r="E232">
        <v>6</v>
      </c>
      <c r="F232" t="s">
        <v>692</v>
      </c>
    </row>
    <row r="233" spans="1:6" x14ac:dyDescent="0.35">
      <c r="A233">
        <v>20260501</v>
      </c>
      <c r="B233" t="s">
        <v>1130</v>
      </c>
      <c r="C233" t="s">
        <v>1467</v>
      </c>
      <c r="D233">
        <v>8.5</v>
      </c>
      <c r="E233">
        <v>8.5</v>
      </c>
      <c r="F233" t="s">
        <v>692</v>
      </c>
    </row>
    <row r="234" spans="1:6" x14ac:dyDescent="0.35">
      <c r="A234">
        <v>20260501</v>
      </c>
      <c r="B234" t="s">
        <v>1130</v>
      </c>
      <c r="C234" t="s">
        <v>1468</v>
      </c>
      <c r="D234">
        <v>4</v>
      </c>
      <c r="E234">
        <v>4</v>
      </c>
      <c r="F234" t="s">
        <v>692</v>
      </c>
    </row>
    <row r="235" spans="1:6" x14ac:dyDescent="0.35">
      <c r="A235">
        <v>20260501</v>
      </c>
      <c r="B235" t="s">
        <v>1130</v>
      </c>
      <c r="C235" t="s">
        <v>1469</v>
      </c>
      <c r="D235">
        <v>3</v>
      </c>
      <c r="E235">
        <v>0</v>
      </c>
      <c r="F235" t="s">
        <v>692</v>
      </c>
    </row>
    <row r="236" spans="1:6" x14ac:dyDescent="0.35">
      <c r="A236">
        <v>20260501</v>
      </c>
      <c r="B236" t="s">
        <v>1130</v>
      </c>
      <c r="C236" t="s">
        <v>1470</v>
      </c>
      <c r="D236">
        <v>1.5</v>
      </c>
      <c r="E236">
        <v>0</v>
      </c>
      <c r="F236" t="s">
        <v>692</v>
      </c>
    </row>
    <row r="237" spans="1:6" x14ac:dyDescent="0.35">
      <c r="A237">
        <v>20260501</v>
      </c>
      <c r="B237" t="s">
        <v>1173</v>
      </c>
      <c r="C237" t="s">
        <v>1466</v>
      </c>
      <c r="D237">
        <v>6</v>
      </c>
      <c r="E237">
        <v>6</v>
      </c>
      <c r="F237" t="s">
        <v>692</v>
      </c>
    </row>
    <row r="238" spans="1:6" x14ac:dyDescent="0.35">
      <c r="A238">
        <v>20260501</v>
      </c>
      <c r="B238" t="s">
        <v>1173</v>
      </c>
      <c r="C238" t="s">
        <v>1467</v>
      </c>
      <c r="D238">
        <v>8.5</v>
      </c>
      <c r="E238">
        <v>8.5</v>
      </c>
      <c r="F238" t="s">
        <v>692</v>
      </c>
    </row>
    <row r="239" spans="1:6" x14ac:dyDescent="0.35">
      <c r="A239">
        <v>20260501</v>
      </c>
      <c r="B239" t="s">
        <v>1173</v>
      </c>
      <c r="C239" t="s">
        <v>1468</v>
      </c>
      <c r="D239">
        <v>4</v>
      </c>
      <c r="E239">
        <v>4</v>
      </c>
      <c r="F239" t="s">
        <v>692</v>
      </c>
    </row>
    <row r="240" spans="1:6" x14ac:dyDescent="0.35">
      <c r="A240">
        <v>20260501</v>
      </c>
      <c r="B240" t="s">
        <v>1173</v>
      </c>
      <c r="C240" t="s">
        <v>1469</v>
      </c>
      <c r="D240">
        <v>3</v>
      </c>
      <c r="E240">
        <v>0</v>
      </c>
      <c r="F240" t="s">
        <v>692</v>
      </c>
    </row>
    <row r="241" spans="1:6" x14ac:dyDescent="0.35">
      <c r="A241">
        <v>20260501</v>
      </c>
      <c r="B241" t="s">
        <v>1173</v>
      </c>
      <c r="C241" t="s">
        <v>1470</v>
      </c>
      <c r="D241">
        <v>1.5</v>
      </c>
      <c r="E241">
        <v>0</v>
      </c>
      <c r="F241" t="s">
        <v>692</v>
      </c>
    </row>
    <row r="242" spans="1:6" x14ac:dyDescent="0.35">
      <c r="A242">
        <v>20260501</v>
      </c>
      <c r="B242" t="s">
        <v>1155</v>
      </c>
      <c r="C242" t="s">
        <v>1466</v>
      </c>
      <c r="D242">
        <v>6</v>
      </c>
      <c r="E242">
        <v>6</v>
      </c>
      <c r="F242" t="s">
        <v>692</v>
      </c>
    </row>
    <row r="243" spans="1:6" x14ac:dyDescent="0.35">
      <c r="A243">
        <v>20260501</v>
      </c>
      <c r="B243" t="s">
        <v>1155</v>
      </c>
      <c r="C243" t="s">
        <v>1467</v>
      </c>
      <c r="D243">
        <v>8.5</v>
      </c>
      <c r="E243">
        <v>8.5</v>
      </c>
      <c r="F243" t="s">
        <v>692</v>
      </c>
    </row>
    <row r="244" spans="1:6" x14ac:dyDescent="0.35">
      <c r="A244">
        <v>20260501</v>
      </c>
      <c r="B244" t="s">
        <v>1155</v>
      </c>
      <c r="C244" t="s">
        <v>1468</v>
      </c>
      <c r="D244">
        <v>4</v>
      </c>
      <c r="E244">
        <v>4</v>
      </c>
      <c r="F244" t="s">
        <v>692</v>
      </c>
    </row>
    <row r="245" spans="1:6" x14ac:dyDescent="0.35">
      <c r="A245">
        <v>20260501</v>
      </c>
      <c r="B245" t="s">
        <v>1155</v>
      </c>
      <c r="C245" t="s">
        <v>1469</v>
      </c>
      <c r="D245">
        <v>3</v>
      </c>
      <c r="E245">
        <v>0</v>
      </c>
      <c r="F245" t="s">
        <v>692</v>
      </c>
    </row>
    <row r="246" spans="1:6" x14ac:dyDescent="0.35">
      <c r="A246">
        <v>20260501</v>
      </c>
      <c r="B246" t="s">
        <v>1155</v>
      </c>
      <c r="C246" t="s">
        <v>1470</v>
      </c>
      <c r="D246">
        <v>1.5</v>
      </c>
      <c r="E246">
        <v>0</v>
      </c>
      <c r="F246" t="s">
        <v>692</v>
      </c>
    </row>
    <row r="247" spans="1:6" x14ac:dyDescent="0.35">
      <c r="A247">
        <v>20260501</v>
      </c>
      <c r="B247" t="s">
        <v>1138</v>
      </c>
      <c r="C247" t="s">
        <v>1466</v>
      </c>
      <c r="D247">
        <v>6</v>
      </c>
      <c r="E247">
        <v>6</v>
      </c>
      <c r="F247" t="s">
        <v>692</v>
      </c>
    </row>
    <row r="248" spans="1:6" x14ac:dyDescent="0.35">
      <c r="A248">
        <v>20260501</v>
      </c>
      <c r="B248" t="s">
        <v>1138</v>
      </c>
      <c r="C248" t="s">
        <v>1467</v>
      </c>
      <c r="D248">
        <v>8.5</v>
      </c>
      <c r="E248">
        <v>8.5</v>
      </c>
      <c r="F248" t="s">
        <v>692</v>
      </c>
    </row>
    <row r="249" spans="1:6" x14ac:dyDescent="0.35">
      <c r="A249">
        <v>20260501</v>
      </c>
      <c r="B249" t="s">
        <v>1138</v>
      </c>
      <c r="C249" t="s">
        <v>1468</v>
      </c>
      <c r="D249">
        <v>4</v>
      </c>
      <c r="E249">
        <v>4</v>
      </c>
      <c r="F249" t="s">
        <v>692</v>
      </c>
    </row>
    <row r="250" spans="1:6" x14ac:dyDescent="0.35">
      <c r="A250">
        <v>20260501</v>
      </c>
      <c r="B250" t="s">
        <v>1138</v>
      </c>
      <c r="C250" t="s">
        <v>1469</v>
      </c>
      <c r="D250">
        <v>3</v>
      </c>
      <c r="E250">
        <v>0</v>
      </c>
      <c r="F250" t="s">
        <v>692</v>
      </c>
    </row>
    <row r="251" spans="1:6" x14ac:dyDescent="0.35">
      <c r="A251">
        <v>20260501</v>
      </c>
      <c r="B251" t="s">
        <v>1138</v>
      </c>
      <c r="C251" t="s">
        <v>1470</v>
      </c>
      <c r="D251">
        <v>1.5</v>
      </c>
      <c r="E251">
        <v>0</v>
      </c>
      <c r="F251" t="s">
        <v>692</v>
      </c>
    </row>
    <row r="252" spans="1:6" x14ac:dyDescent="0.35">
      <c r="A252">
        <v>20260601</v>
      </c>
      <c r="B252" t="s">
        <v>1150</v>
      </c>
      <c r="C252" t="s">
        <v>1466</v>
      </c>
      <c r="D252">
        <v>6</v>
      </c>
      <c r="E252">
        <v>6</v>
      </c>
      <c r="F252" t="s">
        <v>692</v>
      </c>
    </row>
    <row r="253" spans="1:6" x14ac:dyDescent="0.35">
      <c r="A253">
        <v>20260601</v>
      </c>
      <c r="B253" t="s">
        <v>1150</v>
      </c>
      <c r="C253" t="s">
        <v>1467</v>
      </c>
      <c r="D253">
        <v>8.5</v>
      </c>
      <c r="E253">
        <v>8.5</v>
      </c>
      <c r="F253" t="s">
        <v>692</v>
      </c>
    </row>
    <row r="254" spans="1:6" x14ac:dyDescent="0.35">
      <c r="A254">
        <v>20260601</v>
      </c>
      <c r="B254" t="s">
        <v>1150</v>
      </c>
      <c r="C254" t="s">
        <v>1468</v>
      </c>
      <c r="D254">
        <v>4</v>
      </c>
      <c r="E254">
        <v>4</v>
      </c>
      <c r="F254" t="s">
        <v>692</v>
      </c>
    </row>
    <row r="255" spans="1:6" x14ac:dyDescent="0.35">
      <c r="A255">
        <v>20260601</v>
      </c>
      <c r="B255" t="s">
        <v>1150</v>
      </c>
      <c r="C255" t="s">
        <v>1469</v>
      </c>
      <c r="D255">
        <v>3</v>
      </c>
      <c r="E255">
        <v>0</v>
      </c>
      <c r="F255" t="s">
        <v>692</v>
      </c>
    </row>
    <row r="256" spans="1:6" x14ac:dyDescent="0.35">
      <c r="A256">
        <v>20260601</v>
      </c>
      <c r="B256" t="s">
        <v>1150</v>
      </c>
      <c r="C256" t="s">
        <v>1470</v>
      </c>
      <c r="D256">
        <v>1.5</v>
      </c>
      <c r="E256">
        <v>0</v>
      </c>
      <c r="F256" t="s">
        <v>692</v>
      </c>
    </row>
    <row r="257" spans="1:6" x14ac:dyDescent="0.35">
      <c r="A257">
        <v>20260601</v>
      </c>
      <c r="B257" t="s">
        <v>1158</v>
      </c>
      <c r="C257" t="s">
        <v>1466</v>
      </c>
      <c r="D257">
        <v>6</v>
      </c>
      <c r="E257">
        <v>6</v>
      </c>
      <c r="F257" t="s">
        <v>692</v>
      </c>
    </row>
    <row r="258" spans="1:6" x14ac:dyDescent="0.35">
      <c r="A258">
        <v>20260601</v>
      </c>
      <c r="B258" t="s">
        <v>1158</v>
      </c>
      <c r="C258" t="s">
        <v>1467</v>
      </c>
      <c r="D258">
        <v>8.5</v>
      </c>
      <c r="E258">
        <v>8.5</v>
      </c>
      <c r="F258" t="s">
        <v>692</v>
      </c>
    </row>
    <row r="259" spans="1:6" x14ac:dyDescent="0.35">
      <c r="A259">
        <v>20260601</v>
      </c>
      <c r="B259" t="s">
        <v>1158</v>
      </c>
      <c r="C259" t="s">
        <v>1468</v>
      </c>
      <c r="D259">
        <v>4</v>
      </c>
      <c r="E259">
        <v>4</v>
      </c>
      <c r="F259" t="s">
        <v>692</v>
      </c>
    </row>
    <row r="260" spans="1:6" x14ac:dyDescent="0.35">
      <c r="A260">
        <v>20260601</v>
      </c>
      <c r="B260" t="s">
        <v>1158</v>
      </c>
      <c r="C260" t="s">
        <v>1469</v>
      </c>
      <c r="D260">
        <v>3</v>
      </c>
      <c r="E260">
        <v>0</v>
      </c>
      <c r="F260" t="s">
        <v>692</v>
      </c>
    </row>
    <row r="261" spans="1:6" x14ac:dyDescent="0.35">
      <c r="A261">
        <v>20260601</v>
      </c>
      <c r="B261" t="s">
        <v>1158</v>
      </c>
      <c r="C261" t="s">
        <v>1470</v>
      </c>
      <c r="D261">
        <v>1.5</v>
      </c>
      <c r="E261">
        <v>0</v>
      </c>
      <c r="F261" t="s">
        <v>692</v>
      </c>
    </row>
    <row r="262" spans="1:6" x14ac:dyDescent="0.35">
      <c r="A262">
        <v>20260601</v>
      </c>
      <c r="B262" t="s">
        <v>1205</v>
      </c>
      <c r="C262" t="s">
        <v>1466</v>
      </c>
      <c r="D262">
        <v>6</v>
      </c>
      <c r="E262">
        <v>6</v>
      </c>
      <c r="F262" t="s">
        <v>692</v>
      </c>
    </row>
    <row r="263" spans="1:6" x14ac:dyDescent="0.35">
      <c r="A263">
        <v>20260601</v>
      </c>
      <c r="B263" t="s">
        <v>1205</v>
      </c>
      <c r="C263" t="s">
        <v>1467</v>
      </c>
      <c r="D263">
        <v>8.5</v>
      </c>
      <c r="E263">
        <v>8.5</v>
      </c>
      <c r="F263" t="s">
        <v>692</v>
      </c>
    </row>
    <row r="264" spans="1:6" x14ac:dyDescent="0.35">
      <c r="A264">
        <v>20260601</v>
      </c>
      <c r="B264" t="s">
        <v>1205</v>
      </c>
      <c r="C264" t="s">
        <v>1468</v>
      </c>
      <c r="D264">
        <v>4</v>
      </c>
      <c r="E264">
        <v>4</v>
      </c>
      <c r="F264" t="s">
        <v>692</v>
      </c>
    </row>
    <row r="265" spans="1:6" x14ac:dyDescent="0.35">
      <c r="A265">
        <v>20260601</v>
      </c>
      <c r="B265" t="s">
        <v>1205</v>
      </c>
      <c r="C265" t="s">
        <v>1469</v>
      </c>
      <c r="D265">
        <v>3</v>
      </c>
      <c r="E265">
        <v>0</v>
      </c>
      <c r="F265" t="s">
        <v>692</v>
      </c>
    </row>
    <row r="266" spans="1:6" x14ac:dyDescent="0.35">
      <c r="A266">
        <v>20260601</v>
      </c>
      <c r="B266" t="s">
        <v>1205</v>
      </c>
      <c r="C266" t="s">
        <v>1470</v>
      </c>
      <c r="D266">
        <v>1.5</v>
      </c>
      <c r="E266">
        <v>0</v>
      </c>
      <c r="F266" t="s">
        <v>692</v>
      </c>
    </row>
    <row r="267" spans="1:6" x14ac:dyDescent="0.35">
      <c r="A267">
        <v>20260601</v>
      </c>
      <c r="B267" t="s">
        <v>1164</v>
      </c>
      <c r="C267" t="s">
        <v>1466</v>
      </c>
      <c r="D267">
        <v>6</v>
      </c>
      <c r="E267">
        <v>6</v>
      </c>
      <c r="F267" t="s">
        <v>692</v>
      </c>
    </row>
    <row r="268" spans="1:6" x14ac:dyDescent="0.35">
      <c r="A268">
        <v>20260601</v>
      </c>
      <c r="B268" t="s">
        <v>1164</v>
      </c>
      <c r="C268" t="s">
        <v>1467</v>
      </c>
      <c r="D268">
        <v>8.5</v>
      </c>
      <c r="E268">
        <v>8.5</v>
      </c>
      <c r="F268" t="s">
        <v>692</v>
      </c>
    </row>
    <row r="269" spans="1:6" x14ac:dyDescent="0.35">
      <c r="A269">
        <v>20260601</v>
      </c>
      <c r="B269" t="s">
        <v>1164</v>
      </c>
      <c r="C269" t="s">
        <v>1468</v>
      </c>
      <c r="D269">
        <v>4</v>
      </c>
      <c r="E269">
        <v>4</v>
      </c>
      <c r="F269" t="s">
        <v>692</v>
      </c>
    </row>
    <row r="270" spans="1:6" x14ac:dyDescent="0.35">
      <c r="A270">
        <v>20260601</v>
      </c>
      <c r="B270" t="s">
        <v>1164</v>
      </c>
      <c r="C270" t="s">
        <v>1469</v>
      </c>
      <c r="D270">
        <v>3</v>
      </c>
      <c r="E270">
        <v>0</v>
      </c>
      <c r="F270" t="s">
        <v>692</v>
      </c>
    </row>
    <row r="271" spans="1:6" x14ac:dyDescent="0.35">
      <c r="A271">
        <v>20260601</v>
      </c>
      <c r="B271" t="s">
        <v>1164</v>
      </c>
      <c r="C271" t="s">
        <v>1470</v>
      </c>
      <c r="D271">
        <v>1.5</v>
      </c>
      <c r="E271">
        <v>0</v>
      </c>
      <c r="F271" t="s">
        <v>692</v>
      </c>
    </row>
    <row r="272" spans="1:6" x14ac:dyDescent="0.35">
      <c r="A272">
        <v>20260601</v>
      </c>
      <c r="B272" t="s">
        <v>1169</v>
      </c>
      <c r="C272" t="s">
        <v>1466</v>
      </c>
      <c r="D272">
        <v>6</v>
      </c>
      <c r="E272">
        <v>6</v>
      </c>
      <c r="F272" t="s">
        <v>692</v>
      </c>
    </row>
    <row r="273" spans="1:6" x14ac:dyDescent="0.35">
      <c r="A273">
        <v>20260601</v>
      </c>
      <c r="B273" t="s">
        <v>1169</v>
      </c>
      <c r="C273" t="s">
        <v>1467</v>
      </c>
      <c r="D273">
        <v>8.5</v>
      </c>
      <c r="E273">
        <v>8.5</v>
      </c>
      <c r="F273" t="s">
        <v>692</v>
      </c>
    </row>
    <row r="274" spans="1:6" x14ac:dyDescent="0.35">
      <c r="A274">
        <v>20260601</v>
      </c>
      <c r="B274" t="s">
        <v>1169</v>
      </c>
      <c r="C274" t="s">
        <v>1468</v>
      </c>
      <c r="D274">
        <v>4</v>
      </c>
      <c r="E274">
        <v>4</v>
      </c>
      <c r="F274" t="s">
        <v>692</v>
      </c>
    </row>
    <row r="275" spans="1:6" x14ac:dyDescent="0.35">
      <c r="A275">
        <v>20260601</v>
      </c>
      <c r="B275" t="s">
        <v>1169</v>
      </c>
      <c r="C275" t="s">
        <v>1469</v>
      </c>
      <c r="D275">
        <v>3</v>
      </c>
      <c r="E275">
        <v>0</v>
      </c>
      <c r="F275" t="s">
        <v>692</v>
      </c>
    </row>
    <row r="276" spans="1:6" x14ac:dyDescent="0.35">
      <c r="A276">
        <v>20260601</v>
      </c>
      <c r="B276" t="s">
        <v>1169</v>
      </c>
      <c r="C276" t="s">
        <v>1470</v>
      </c>
      <c r="D276">
        <v>1.5</v>
      </c>
      <c r="E276">
        <v>0</v>
      </c>
      <c r="F276" t="s">
        <v>692</v>
      </c>
    </row>
    <row r="277" spans="1:6" x14ac:dyDescent="0.35">
      <c r="A277">
        <v>20260601</v>
      </c>
      <c r="B277" t="s">
        <v>1175</v>
      </c>
      <c r="C277" t="s">
        <v>1466</v>
      </c>
      <c r="D277">
        <v>6</v>
      </c>
      <c r="E277">
        <v>6</v>
      </c>
      <c r="F277" t="s">
        <v>692</v>
      </c>
    </row>
    <row r="278" spans="1:6" x14ac:dyDescent="0.35">
      <c r="A278">
        <v>20260601</v>
      </c>
      <c r="B278" t="s">
        <v>1175</v>
      </c>
      <c r="C278" t="s">
        <v>1467</v>
      </c>
      <c r="D278">
        <v>8.5</v>
      </c>
      <c r="E278">
        <v>8.5</v>
      </c>
      <c r="F278" t="s">
        <v>692</v>
      </c>
    </row>
    <row r="279" spans="1:6" x14ac:dyDescent="0.35">
      <c r="A279">
        <v>20260601</v>
      </c>
      <c r="B279" t="s">
        <v>1175</v>
      </c>
      <c r="C279" t="s">
        <v>1468</v>
      </c>
      <c r="D279">
        <v>4</v>
      </c>
      <c r="E279">
        <v>4</v>
      </c>
      <c r="F279" t="s">
        <v>692</v>
      </c>
    </row>
    <row r="280" spans="1:6" x14ac:dyDescent="0.35">
      <c r="A280">
        <v>20260601</v>
      </c>
      <c r="B280" t="s">
        <v>1175</v>
      </c>
      <c r="C280" t="s">
        <v>1469</v>
      </c>
      <c r="D280">
        <v>3</v>
      </c>
      <c r="E280">
        <v>0</v>
      </c>
      <c r="F280" t="s">
        <v>692</v>
      </c>
    </row>
    <row r="281" spans="1:6" x14ac:dyDescent="0.35">
      <c r="A281">
        <v>20260601</v>
      </c>
      <c r="B281" t="s">
        <v>1175</v>
      </c>
      <c r="C281" t="s">
        <v>1470</v>
      </c>
      <c r="D281">
        <v>1.5</v>
      </c>
      <c r="E281">
        <v>0</v>
      </c>
      <c r="F281" t="s">
        <v>692</v>
      </c>
    </row>
    <row r="282" spans="1:6" x14ac:dyDescent="0.35">
      <c r="A282">
        <v>20260601</v>
      </c>
      <c r="B282" t="s">
        <v>1130</v>
      </c>
      <c r="C282" t="s">
        <v>1466</v>
      </c>
      <c r="D282">
        <v>6</v>
      </c>
      <c r="E282">
        <v>6</v>
      </c>
      <c r="F282" t="s">
        <v>692</v>
      </c>
    </row>
    <row r="283" spans="1:6" x14ac:dyDescent="0.35">
      <c r="A283">
        <v>20260601</v>
      </c>
      <c r="B283" t="s">
        <v>1130</v>
      </c>
      <c r="C283" t="s">
        <v>1467</v>
      </c>
      <c r="D283">
        <v>8.5</v>
      </c>
      <c r="E283">
        <v>8.5</v>
      </c>
      <c r="F283" t="s">
        <v>692</v>
      </c>
    </row>
    <row r="284" spans="1:6" x14ac:dyDescent="0.35">
      <c r="A284">
        <v>20260601</v>
      </c>
      <c r="B284" t="s">
        <v>1130</v>
      </c>
      <c r="C284" t="s">
        <v>1468</v>
      </c>
      <c r="D284">
        <v>4</v>
      </c>
      <c r="E284">
        <v>4</v>
      </c>
      <c r="F284" t="s">
        <v>692</v>
      </c>
    </row>
    <row r="285" spans="1:6" x14ac:dyDescent="0.35">
      <c r="A285">
        <v>20260601</v>
      </c>
      <c r="B285" t="s">
        <v>1130</v>
      </c>
      <c r="C285" t="s">
        <v>1469</v>
      </c>
      <c r="D285">
        <v>3</v>
      </c>
      <c r="E285">
        <v>0</v>
      </c>
      <c r="F285" t="s">
        <v>692</v>
      </c>
    </row>
    <row r="286" spans="1:6" x14ac:dyDescent="0.35">
      <c r="A286">
        <v>20260601</v>
      </c>
      <c r="B286" t="s">
        <v>1130</v>
      </c>
      <c r="C286" t="s">
        <v>1470</v>
      </c>
      <c r="D286">
        <v>1.5</v>
      </c>
      <c r="E286">
        <v>0</v>
      </c>
      <c r="F286" t="s">
        <v>692</v>
      </c>
    </row>
    <row r="287" spans="1:6" x14ac:dyDescent="0.35">
      <c r="A287">
        <v>20260601</v>
      </c>
      <c r="B287" t="s">
        <v>1173</v>
      </c>
      <c r="C287" t="s">
        <v>1466</v>
      </c>
      <c r="D287">
        <v>6</v>
      </c>
      <c r="E287">
        <v>6</v>
      </c>
      <c r="F287" t="s">
        <v>692</v>
      </c>
    </row>
    <row r="288" spans="1:6" x14ac:dyDescent="0.35">
      <c r="A288">
        <v>20260601</v>
      </c>
      <c r="B288" t="s">
        <v>1173</v>
      </c>
      <c r="C288" t="s">
        <v>1467</v>
      </c>
      <c r="D288">
        <v>8.5</v>
      </c>
      <c r="E288">
        <v>8.5</v>
      </c>
      <c r="F288" t="s">
        <v>692</v>
      </c>
    </row>
    <row r="289" spans="1:6" x14ac:dyDescent="0.35">
      <c r="A289">
        <v>20260601</v>
      </c>
      <c r="B289" t="s">
        <v>1173</v>
      </c>
      <c r="C289" t="s">
        <v>1468</v>
      </c>
      <c r="D289">
        <v>4</v>
      </c>
      <c r="E289">
        <v>4</v>
      </c>
      <c r="F289" t="s">
        <v>692</v>
      </c>
    </row>
    <row r="290" spans="1:6" x14ac:dyDescent="0.35">
      <c r="A290">
        <v>20260601</v>
      </c>
      <c r="B290" t="s">
        <v>1173</v>
      </c>
      <c r="C290" t="s">
        <v>1469</v>
      </c>
      <c r="D290">
        <v>3</v>
      </c>
      <c r="E290">
        <v>0</v>
      </c>
      <c r="F290" t="s">
        <v>692</v>
      </c>
    </row>
    <row r="291" spans="1:6" x14ac:dyDescent="0.35">
      <c r="A291">
        <v>20260601</v>
      </c>
      <c r="B291" t="s">
        <v>1173</v>
      </c>
      <c r="C291" t="s">
        <v>1470</v>
      </c>
      <c r="D291">
        <v>1.5</v>
      </c>
      <c r="E291">
        <v>0</v>
      </c>
      <c r="F291" t="s">
        <v>692</v>
      </c>
    </row>
    <row r="292" spans="1:6" x14ac:dyDescent="0.35">
      <c r="A292">
        <v>20260601</v>
      </c>
      <c r="B292" t="s">
        <v>1155</v>
      </c>
      <c r="C292" t="s">
        <v>1466</v>
      </c>
      <c r="D292">
        <v>6</v>
      </c>
      <c r="E292">
        <v>6</v>
      </c>
      <c r="F292" t="s">
        <v>692</v>
      </c>
    </row>
    <row r="293" spans="1:6" x14ac:dyDescent="0.35">
      <c r="A293">
        <v>20260601</v>
      </c>
      <c r="B293" t="s">
        <v>1155</v>
      </c>
      <c r="C293" t="s">
        <v>1467</v>
      </c>
      <c r="D293">
        <v>8.5</v>
      </c>
      <c r="E293">
        <v>8.5</v>
      </c>
      <c r="F293" t="s">
        <v>692</v>
      </c>
    </row>
    <row r="294" spans="1:6" x14ac:dyDescent="0.35">
      <c r="A294">
        <v>20260601</v>
      </c>
      <c r="B294" t="s">
        <v>1155</v>
      </c>
      <c r="C294" t="s">
        <v>1468</v>
      </c>
      <c r="D294">
        <v>4</v>
      </c>
      <c r="E294">
        <v>4</v>
      </c>
      <c r="F294" t="s">
        <v>692</v>
      </c>
    </row>
    <row r="295" spans="1:6" x14ac:dyDescent="0.35">
      <c r="A295">
        <v>20260601</v>
      </c>
      <c r="B295" t="s">
        <v>1155</v>
      </c>
      <c r="C295" t="s">
        <v>1469</v>
      </c>
      <c r="D295">
        <v>3</v>
      </c>
      <c r="E295">
        <v>0</v>
      </c>
      <c r="F295" t="s">
        <v>692</v>
      </c>
    </row>
    <row r="296" spans="1:6" x14ac:dyDescent="0.35">
      <c r="A296">
        <v>20260601</v>
      </c>
      <c r="B296" t="s">
        <v>1155</v>
      </c>
      <c r="C296" t="s">
        <v>1470</v>
      </c>
      <c r="D296">
        <v>1.5</v>
      </c>
      <c r="E296">
        <v>0</v>
      </c>
      <c r="F296" t="s">
        <v>692</v>
      </c>
    </row>
    <row r="297" spans="1:6" x14ac:dyDescent="0.35">
      <c r="A297">
        <v>20260601</v>
      </c>
      <c r="B297" t="s">
        <v>1138</v>
      </c>
      <c r="C297" t="s">
        <v>1466</v>
      </c>
      <c r="D297">
        <v>6</v>
      </c>
      <c r="E297">
        <v>6</v>
      </c>
      <c r="F297" t="s">
        <v>692</v>
      </c>
    </row>
    <row r="298" spans="1:6" x14ac:dyDescent="0.35">
      <c r="A298">
        <v>20260601</v>
      </c>
      <c r="B298" t="s">
        <v>1138</v>
      </c>
      <c r="C298" t="s">
        <v>1467</v>
      </c>
      <c r="D298">
        <v>8.5</v>
      </c>
      <c r="E298">
        <v>8.5</v>
      </c>
      <c r="F298" t="s">
        <v>692</v>
      </c>
    </row>
    <row r="299" spans="1:6" x14ac:dyDescent="0.35">
      <c r="A299">
        <v>20260601</v>
      </c>
      <c r="B299" t="s">
        <v>1138</v>
      </c>
      <c r="C299" t="s">
        <v>1468</v>
      </c>
      <c r="D299">
        <v>4</v>
      </c>
      <c r="E299">
        <v>4</v>
      </c>
      <c r="F299" t="s">
        <v>692</v>
      </c>
    </row>
    <row r="300" spans="1:6" x14ac:dyDescent="0.35">
      <c r="A300">
        <v>20260601</v>
      </c>
      <c r="B300" t="s">
        <v>1138</v>
      </c>
      <c r="C300" t="s">
        <v>1469</v>
      </c>
      <c r="D300">
        <v>3</v>
      </c>
      <c r="E300">
        <v>0</v>
      </c>
      <c r="F300" t="s">
        <v>692</v>
      </c>
    </row>
    <row r="301" spans="1:6" x14ac:dyDescent="0.35">
      <c r="A301">
        <v>20260601</v>
      </c>
      <c r="B301" t="s">
        <v>1138</v>
      </c>
      <c r="C301" t="s">
        <v>1470</v>
      </c>
      <c r="D301">
        <v>1.5</v>
      </c>
      <c r="E301">
        <v>0</v>
      </c>
      <c r="F301" t="s">
        <v>692</v>
      </c>
    </row>
    <row r="302" spans="1:6" x14ac:dyDescent="0.35">
      <c r="A302">
        <v>20260701</v>
      </c>
      <c r="B302" t="s">
        <v>1150</v>
      </c>
      <c r="C302" t="s">
        <v>1466</v>
      </c>
      <c r="D302">
        <v>6</v>
      </c>
      <c r="E302">
        <v>6</v>
      </c>
      <c r="F302" t="s">
        <v>692</v>
      </c>
    </row>
    <row r="303" spans="1:6" x14ac:dyDescent="0.35">
      <c r="A303">
        <v>20260701</v>
      </c>
      <c r="B303" t="s">
        <v>1150</v>
      </c>
      <c r="C303" t="s">
        <v>1467</v>
      </c>
      <c r="D303">
        <v>8.5</v>
      </c>
      <c r="E303">
        <v>8.5</v>
      </c>
      <c r="F303" t="s">
        <v>692</v>
      </c>
    </row>
    <row r="304" spans="1:6" x14ac:dyDescent="0.35">
      <c r="A304">
        <v>20260701</v>
      </c>
      <c r="B304" t="s">
        <v>1150</v>
      </c>
      <c r="C304" t="s">
        <v>1468</v>
      </c>
      <c r="D304">
        <v>4</v>
      </c>
      <c r="E304">
        <v>4</v>
      </c>
      <c r="F304" t="s">
        <v>692</v>
      </c>
    </row>
    <row r="305" spans="1:6" x14ac:dyDescent="0.35">
      <c r="A305">
        <v>20260701</v>
      </c>
      <c r="B305" t="s">
        <v>1150</v>
      </c>
      <c r="C305" t="s">
        <v>1469</v>
      </c>
      <c r="D305">
        <v>3</v>
      </c>
      <c r="E305">
        <v>0</v>
      </c>
      <c r="F305" t="s">
        <v>692</v>
      </c>
    </row>
    <row r="306" spans="1:6" x14ac:dyDescent="0.35">
      <c r="A306">
        <v>20260701</v>
      </c>
      <c r="B306" t="s">
        <v>1150</v>
      </c>
      <c r="C306" t="s">
        <v>1470</v>
      </c>
      <c r="D306">
        <v>1.5</v>
      </c>
      <c r="E306">
        <v>0</v>
      </c>
      <c r="F306" t="s">
        <v>692</v>
      </c>
    </row>
    <row r="307" spans="1:6" x14ac:dyDescent="0.35">
      <c r="A307">
        <v>20260701</v>
      </c>
      <c r="B307" t="s">
        <v>1158</v>
      </c>
      <c r="C307" t="s">
        <v>1466</v>
      </c>
      <c r="D307">
        <v>6</v>
      </c>
      <c r="E307">
        <v>6</v>
      </c>
      <c r="F307" t="s">
        <v>692</v>
      </c>
    </row>
    <row r="308" spans="1:6" x14ac:dyDescent="0.35">
      <c r="A308">
        <v>20260701</v>
      </c>
      <c r="B308" t="s">
        <v>1158</v>
      </c>
      <c r="C308" t="s">
        <v>1467</v>
      </c>
      <c r="D308">
        <v>8.5</v>
      </c>
      <c r="E308">
        <v>8.5</v>
      </c>
      <c r="F308" t="s">
        <v>692</v>
      </c>
    </row>
    <row r="309" spans="1:6" x14ac:dyDescent="0.35">
      <c r="A309">
        <v>20260701</v>
      </c>
      <c r="B309" t="s">
        <v>1158</v>
      </c>
      <c r="C309" t="s">
        <v>1468</v>
      </c>
      <c r="D309">
        <v>4</v>
      </c>
      <c r="E309">
        <v>4</v>
      </c>
      <c r="F309" t="s">
        <v>692</v>
      </c>
    </row>
    <row r="310" spans="1:6" x14ac:dyDescent="0.35">
      <c r="A310">
        <v>20260701</v>
      </c>
      <c r="B310" t="s">
        <v>1158</v>
      </c>
      <c r="C310" t="s">
        <v>1469</v>
      </c>
      <c r="D310">
        <v>3</v>
      </c>
      <c r="E310">
        <v>0</v>
      </c>
      <c r="F310" t="s">
        <v>692</v>
      </c>
    </row>
    <row r="311" spans="1:6" x14ac:dyDescent="0.35">
      <c r="A311">
        <v>20260701</v>
      </c>
      <c r="B311" t="s">
        <v>1158</v>
      </c>
      <c r="C311" t="s">
        <v>1470</v>
      </c>
      <c r="D311">
        <v>1.5</v>
      </c>
      <c r="E311">
        <v>0</v>
      </c>
      <c r="F311" t="s">
        <v>692</v>
      </c>
    </row>
    <row r="312" spans="1:6" x14ac:dyDescent="0.35">
      <c r="A312">
        <v>20260701</v>
      </c>
      <c r="B312" t="s">
        <v>1205</v>
      </c>
      <c r="C312" t="s">
        <v>1466</v>
      </c>
      <c r="D312">
        <v>6</v>
      </c>
      <c r="E312">
        <v>6</v>
      </c>
      <c r="F312" t="s">
        <v>692</v>
      </c>
    </row>
    <row r="313" spans="1:6" x14ac:dyDescent="0.35">
      <c r="A313">
        <v>20260701</v>
      </c>
      <c r="B313" t="s">
        <v>1205</v>
      </c>
      <c r="C313" t="s">
        <v>1467</v>
      </c>
      <c r="D313">
        <v>8.5</v>
      </c>
      <c r="E313">
        <v>8.5</v>
      </c>
      <c r="F313" t="s">
        <v>692</v>
      </c>
    </row>
    <row r="314" spans="1:6" x14ac:dyDescent="0.35">
      <c r="A314">
        <v>20260701</v>
      </c>
      <c r="B314" t="s">
        <v>1205</v>
      </c>
      <c r="C314" t="s">
        <v>1468</v>
      </c>
      <c r="D314">
        <v>4</v>
      </c>
      <c r="E314">
        <v>4</v>
      </c>
      <c r="F314" t="s">
        <v>692</v>
      </c>
    </row>
    <row r="315" spans="1:6" x14ac:dyDescent="0.35">
      <c r="A315">
        <v>20260701</v>
      </c>
      <c r="B315" t="s">
        <v>1205</v>
      </c>
      <c r="C315" t="s">
        <v>1469</v>
      </c>
      <c r="D315">
        <v>3</v>
      </c>
      <c r="E315">
        <v>0</v>
      </c>
      <c r="F315" t="s">
        <v>692</v>
      </c>
    </row>
    <row r="316" spans="1:6" x14ac:dyDescent="0.35">
      <c r="A316">
        <v>20260701</v>
      </c>
      <c r="B316" t="s">
        <v>1205</v>
      </c>
      <c r="C316" t="s">
        <v>1470</v>
      </c>
      <c r="D316">
        <v>1.5</v>
      </c>
      <c r="E316">
        <v>0</v>
      </c>
      <c r="F316" t="s">
        <v>692</v>
      </c>
    </row>
    <row r="317" spans="1:6" x14ac:dyDescent="0.35">
      <c r="A317">
        <v>20260701</v>
      </c>
      <c r="B317" t="s">
        <v>1164</v>
      </c>
      <c r="C317" t="s">
        <v>1466</v>
      </c>
      <c r="D317">
        <v>6</v>
      </c>
      <c r="E317">
        <v>6</v>
      </c>
      <c r="F317" t="s">
        <v>692</v>
      </c>
    </row>
    <row r="318" spans="1:6" x14ac:dyDescent="0.35">
      <c r="A318">
        <v>20260701</v>
      </c>
      <c r="B318" t="s">
        <v>1164</v>
      </c>
      <c r="C318" t="s">
        <v>1467</v>
      </c>
      <c r="D318">
        <v>8.5</v>
      </c>
      <c r="E318">
        <v>8.5</v>
      </c>
      <c r="F318" t="s">
        <v>692</v>
      </c>
    </row>
    <row r="319" spans="1:6" x14ac:dyDescent="0.35">
      <c r="A319">
        <v>20260701</v>
      </c>
      <c r="B319" t="s">
        <v>1164</v>
      </c>
      <c r="C319" t="s">
        <v>1468</v>
      </c>
      <c r="D319">
        <v>4</v>
      </c>
      <c r="E319">
        <v>4</v>
      </c>
      <c r="F319" t="s">
        <v>692</v>
      </c>
    </row>
    <row r="320" spans="1:6" x14ac:dyDescent="0.35">
      <c r="A320">
        <v>20260701</v>
      </c>
      <c r="B320" t="s">
        <v>1164</v>
      </c>
      <c r="C320" t="s">
        <v>1469</v>
      </c>
      <c r="D320">
        <v>3</v>
      </c>
      <c r="E320">
        <v>0</v>
      </c>
      <c r="F320" t="s">
        <v>692</v>
      </c>
    </row>
    <row r="321" spans="1:6" x14ac:dyDescent="0.35">
      <c r="A321">
        <v>20260701</v>
      </c>
      <c r="B321" t="s">
        <v>1164</v>
      </c>
      <c r="C321" t="s">
        <v>1470</v>
      </c>
      <c r="D321">
        <v>1.5</v>
      </c>
      <c r="E321">
        <v>0</v>
      </c>
      <c r="F321" t="s">
        <v>692</v>
      </c>
    </row>
    <row r="322" spans="1:6" x14ac:dyDescent="0.35">
      <c r="A322">
        <v>20260701</v>
      </c>
      <c r="B322" t="s">
        <v>1169</v>
      </c>
      <c r="C322" t="s">
        <v>1466</v>
      </c>
      <c r="D322">
        <v>6</v>
      </c>
      <c r="E322">
        <v>6</v>
      </c>
      <c r="F322" t="s">
        <v>692</v>
      </c>
    </row>
    <row r="323" spans="1:6" x14ac:dyDescent="0.35">
      <c r="A323">
        <v>20260701</v>
      </c>
      <c r="B323" t="s">
        <v>1169</v>
      </c>
      <c r="C323" t="s">
        <v>1467</v>
      </c>
      <c r="D323">
        <v>8.5</v>
      </c>
      <c r="E323">
        <v>8.5</v>
      </c>
      <c r="F323" t="s">
        <v>692</v>
      </c>
    </row>
    <row r="324" spans="1:6" x14ac:dyDescent="0.35">
      <c r="A324">
        <v>20260701</v>
      </c>
      <c r="B324" t="s">
        <v>1169</v>
      </c>
      <c r="C324" t="s">
        <v>1468</v>
      </c>
      <c r="D324">
        <v>4</v>
      </c>
      <c r="E324">
        <v>4</v>
      </c>
      <c r="F324" t="s">
        <v>692</v>
      </c>
    </row>
    <row r="325" spans="1:6" x14ac:dyDescent="0.35">
      <c r="A325">
        <v>20260701</v>
      </c>
      <c r="B325" t="s">
        <v>1169</v>
      </c>
      <c r="C325" t="s">
        <v>1469</v>
      </c>
      <c r="D325">
        <v>3</v>
      </c>
      <c r="E325">
        <v>0</v>
      </c>
      <c r="F325" t="s">
        <v>692</v>
      </c>
    </row>
    <row r="326" spans="1:6" x14ac:dyDescent="0.35">
      <c r="A326">
        <v>20260701</v>
      </c>
      <c r="B326" t="s">
        <v>1169</v>
      </c>
      <c r="C326" t="s">
        <v>1470</v>
      </c>
      <c r="D326">
        <v>1.5</v>
      </c>
      <c r="E326">
        <v>0</v>
      </c>
      <c r="F326" t="s">
        <v>692</v>
      </c>
    </row>
    <row r="327" spans="1:6" x14ac:dyDescent="0.35">
      <c r="A327">
        <v>20260701</v>
      </c>
      <c r="B327" t="s">
        <v>1175</v>
      </c>
      <c r="C327" t="s">
        <v>1466</v>
      </c>
      <c r="D327">
        <v>6</v>
      </c>
      <c r="E327">
        <v>6</v>
      </c>
      <c r="F327" t="s">
        <v>692</v>
      </c>
    </row>
    <row r="328" spans="1:6" x14ac:dyDescent="0.35">
      <c r="A328">
        <v>20260701</v>
      </c>
      <c r="B328" t="s">
        <v>1175</v>
      </c>
      <c r="C328" t="s">
        <v>1467</v>
      </c>
      <c r="D328">
        <v>8.5</v>
      </c>
      <c r="E328">
        <v>8.5</v>
      </c>
      <c r="F328" t="s">
        <v>692</v>
      </c>
    </row>
    <row r="329" spans="1:6" x14ac:dyDescent="0.35">
      <c r="A329">
        <v>20260701</v>
      </c>
      <c r="B329" t="s">
        <v>1175</v>
      </c>
      <c r="C329" t="s">
        <v>1468</v>
      </c>
      <c r="D329">
        <v>4</v>
      </c>
      <c r="E329">
        <v>4</v>
      </c>
      <c r="F329" t="s">
        <v>692</v>
      </c>
    </row>
    <row r="330" spans="1:6" x14ac:dyDescent="0.35">
      <c r="A330">
        <v>20260701</v>
      </c>
      <c r="B330" t="s">
        <v>1175</v>
      </c>
      <c r="C330" t="s">
        <v>1469</v>
      </c>
      <c r="D330">
        <v>3</v>
      </c>
      <c r="E330">
        <v>0</v>
      </c>
      <c r="F330" t="s">
        <v>692</v>
      </c>
    </row>
    <row r="331" spans="1:6" x14ac:dyDescent="0.35">
      <c r="A331">
        <v>20260701</v>
      </c>
      <c r="B331" t="s">
        <v>1175</v>
      </c>
      <c r="C331" t="s">
        <v>1470</v>
      </c>
      <c r="D331">
        <v>1.5</v>
      </c>
      <c r="E331">
        <v>0</v>
      </c>
      <c r="F331" t="s">
        <v>692</v>
      </c>
    </row>
    <row r="332" spans="1:6" x14ac:dyDescent="0.35">
      <c r="A332">
        <v>20260701</v>
      </c>
      <c r="B332" t="s">
        <v>1130</v>
      </c>
      <c r="C332" t="s">
        <v>1466</v>
      </c>
      <c r="D332">
        <v>6</v>
      </c>
      <c r="E332">
        <v>6</v>
      </c>
      <c r="F332" t="s">
        <v>692</v>
      </c>
    </row>
    <row r="333" spans="1:6" x14ac:dyDescent="0.35">
      <c r="A333">
        <v>20260701</v>
      </c>
      <c r="B333" t="s">
        <v>1130</v>
      </c>
      <c r="C333" t="s">
        <v>1467</v>
      </c>
      <c r="D333">
        <v>8.5</v>
      </c>
      <c r="E333">
        <v>8.5</v>
      </c>
      <c r="F333" t="s">
        <v>692</v>
      </c>
    </row>
    <row r="334" spans="1:6" x14ac:dyDescent="0.35">
      <c r="A334">
        <v>20260701</v>
      </c>
      <c r="B334" t="s">
        <v>1130</v>
      </c>
      <c r="C334" t="s">
        <v>1468</v>
      </c>
      <c r="D334">
        <v>4</v>
      </c>
      <c r="E334">
        <v>4</v>
      </c>
      <c r="F334" t="s">
        <v>692</v>
      </c>
    </row>
    <row r="335" spans="1:6" x14ac:dyDescent="0.35">
      <c r="A335">
        <v>20260701</v>
      </c>
      <c r="B335" t="s">
        <v>1130</v>
      </c>
      <c r="C335" t="s">
        <v>1469</v>
      </c>
      <c r="D335">
        <v>3</v>
      </c>
      <c r="E335">
        <v>0</v>
      </c>
      <c r="F335" t="s">
        <v>692</v>
      </c>
    </row>
    <row r="336" spans="1:6" x14ac:dyDescent="0.35">
      <c r="A336">
        <v>20260701</v>
      </c>
      <c r="B336" t="s">
        <v>1130</v>
      </c>
      <c r="C336" t="s">
        <v>1470</v>
      </c>
      <c r="D336">
        <v>1.5</v>
      </c>
      <c r="E336">
        <v>0</v>
      </c>
      <c r="F336" t="s">
        <v>692</v>
      </c>
    </row>
    <row r="337" spans="1:6" x14ac:dyDescent="0.35">
      <c r="A337">
        <v>20260701</v>
      </c>
      <c r="B337" t="s">
        <v>1173</v>
      </c>
      <c r="C337" t="s">
        <v>1466</v>
      </c>
      <c r="D337">
        <v>6</v>
      </c>
      <c r="E337">
        <v>6</v>
      </c>
      <c r="F337" t="s">
        <v>692</v>
      </c>
    </row>
    <row r="338" spans="1:6" x14ac:dyDescent="0.35">
      <c r="A338">
        <v>20260701</v>
      </c>
      <c r="B338" t="s">
        <v>1173</v>
      </c>
      <c r="C338" t="s">
        <v>1467</v>
      </c>
      <c r="D338">
        <v>8.5</v>
      </c>
      <c r="E338">
        <v>8.5</v>
      </c>
      <c r="F338" t="s">
        <v>692</v>
      </c>
    </row>
    <row r="339" spans="1:6" x14ac:dyDescent="0.35">
      <c r="A339">
        <v>20260701</v>
      </c>
      <c r="B339" t="s">
        <v>1173</v>
      </c>
      <c r="C339" t="s">
        <v>1468</v>
      </c>
      <c r="D339">
        <v>4</v>
      </c>
      <c r="E339">
        <v>4</v>
      </c>
      <c r="F339" t="s">
        <v>692</v>
      </c>
    </row>
    <row r="340" spans="1:6" x14ac:dyDescent="0.35">
      <c r="A340">
        <v>20260701</v>
      </c>
      <c r="B340" t="s">
        <v>1173</v>
      </c>
      <c r="C340" t="s">
        <v>1469</v>
      </c>
      <c r="D340">
        <v>3</v>
      </c>
      <c r="E340">
        <v>0</v>
      </c>
      <c r="F340" t="s">
        <v>692</v>
      </c>
    </row>
    <row r="341" spans="1:6" x14ac:dyDescent="0.35">
      <c r="A341">
        <v>20260701</v>
      </c>
      <c r="B341" t="s">
        <v>1173</v>
      </c>
      <c r="C341" t="s">
        <v>1470</v>
      </c>
      <c r="D341">
        <v>1.5</v>
      </c>
      <c r="E341">
        <v>0</v>
      </c>
      <c r="F341" t="s">
        <v>692</v>
      </c>
    </row>
    <row r="342" spans="1:6" x14ac:dyDescent="0.35">
      <c r="A342">
        <v>20260701</v>
      </c>
      <c r="B342" t="s">
        <v>1155</v>
      </c>
      <c r="C342" t="s">
        <v>1466</v>
      </c>
      <c r="D342">
        <v>6</v>
      </c>
      <c r="E342">
        <v>6</v>
      </c>
      <c r="F342" t="s">
        <v>692</v>
      </c>
    </row>
    <row r="343" spans="1:6" x14ac:dyDescent="0.35">
      <c r="A343">
        <v>20260701</v>
      </c>
      <c r="B343" t="s">
        <v>1155</v>
      </c>
      <c r="C343" t="s">
        <v>1467</v>
      </c>
      <c r="D343">
        <v>8.5</v>
      </c>
      <c r="E343">
        <v>8.5</v>
      </c>
      <c r="F343" t="s">
        <v>692</v>
      </c>
    </row>
    <row r="344" spans="1:6" x14ac:dyDescent="0.35">
      <c r="A344">
        <v>20260701</v>
      </c>
      <c r="B344" t="s">
        <v>1155</v>
      </c>
      <c r="C344" t="s">
        <v>1468</v>
      </c>
      <c r="D344">
        <v>4</v>
      </c>
      <c r="E344">
        <v>4</v>
      </c>
      <c r="F344" t="s">
        <v>692</v>
      </c>
    </row>
    <row r="345" spans="1:6" x14ac:dyDescent="0.35">
      <c r="A345">
        <v>20260701</v>
      </c>
      <c r="B345" t="s">
        <v>1155</v>
      </c>
      <c r="C345" t="s">
        <v>1469</v>
      </c>
      <c r="D345">
        <v>3</v>
      </c>
      <c r="E345">
        <v>0</v>
      </c>
      <c r="F345" t="s">
        <v>692</v>
      </c>
    </row>
    <row r="346" spans="1:6" x14ac:dyDescent="0.35">
      <c r="A346">
        <v>20260701</v>
      </c>
      <c r="B346" t="s">
        <v>1155</v>
      </c>
      <c r="C346" t="s">
        <v>1470</v>
      </c>
      <c r="D346">
        <v>1.5</v>
      </c>
      <c r="E346">
        <v>0</v>
      </c>
      <c r="F346" t="s">
        <v>692</v>
      </c>
    </row>
    <row r="347" spans="1:6" x14ac:dyDescent="0.35">
      <c r="A347">
        <v>20260701</v>
      </c>
      <c r="B347" t="s">
        <v>1138</v>
      </c>
      <c r="C347" t="s">
        <v>1466</v>
      </c>
      <c r="D347">
        <v>6</v>
      </c>
      <c r="E347">
        <v>6</v>
      </c>
      <c r="F347" t="s">
        <v>692</v>
      </c>
    </row>
    <row r="348" spans="1:6" x14ac:dyDescent="0.35">
      <c r="A348">
        <v>20260701</v>
      </c>
      <c r="B348" t="s">
        <v>1138</v>
      </c>
      <c r="C348" t="s">
        <v>1467</v>
      </c>
      <c r="D348">
        <v>8.5</v>
      </c>
      <c r="E348">
        <v>8.5</v>
      </c>
      <c r="F348" t="s">
        <v>692</v>
      </c>
    </row>
    <row r="349" spans="1:6" x14ac:dyDescent="0.35">
      <c r="A349">
        <v>20260701</v>
      </c>
      <c r="B349" t="s">
        <v>1138</v>
      </c>
      <c r="C349" t="s">
        <v>1468</v>
      </c>
      <c r="D349">
        <v>4</v>
      </c>
      <c r="E349">
        <v>4</v>
      </c>
      <c r="F349" t="s">
        <v>692</v>
      </c>
    </row>
    <row r="350" spans="1:6" x14ac:dyDescent="0.35">
      <c r="A350">
        <v>20260701</v>
      </c>
      <c r="B350" t="s">
        <v>1138</v>
      </c>
      <c r="C350" t="s">
        <v>1469</v>
      </c>
      <c r="D350">
        <v>3</v>
      </c>
      <c r="E350">
        <v>0</v>
      </c>
      <c r="F350" t="s">
        <v>692</v>
      </c>
    </row>
    <row r="351" spans="1:6" x14ac:dyDescent="0.35">
      <c r="A351">
        <v>20260701</v>
      </c>
      <c r="B351" t="s">
        <v>1138</v>
      </c>
      <c r="C351" t="s">
        <v>1470</v>
      </c>
      <c r="D351">
        <v>1.5</v>
      </c>
      <c r="E351">
        <v>0</v>
      </c>
      <c r="F351" t="s">
        <v>692</v>
      </c>
    </row>
    <row r="352" spans="1:6" x14ac:dyDescent="0.35">
      <c r="A352">
        <v>20260801</v>
      </c>
      <c r="B352" t="s">
        <v>1150</v>
      </c>
      <c r="C352" t="s">
        <v>1466</v>
      </c>
      <c r="D352">
        <v>6</v>
      </c>
      <c r="E352">
        <v>6</v>
      </c>
      <c r="F352" t="s">
        <v>692</v>
      </c>
    </row>
    <row r="353" spans="1:6" x14ac:dyDescent="0.35">
      <c r="A353">
        <v>20260801</v>
      </c>
      <c r="B353" t="s">
        <v>1150</v>
      </c>
      <c r="C353" t="s">
        <v>1467</v>
      </c>
      <c r="D353">
        <v>8.5</v>
      </c>
      <c r="E353">
        <v>8.5</v>
      </c>
      <c r="F353" t="s">
        <v>692</v>
      </c>
    </row>
    <row r="354" spans="1:6" x14ac:dyDescent="0.35">
      <c r="A354">
        <v>20260801</v>
      </c>
      <c r="B354" t="s">
        <v>1150</v>
      </c>
      <c r="C354" t="s">
        <v>1468</v>
      </c>
      <c r="D354">
        <v>4</v>
      </c>
      <c r="E354">
        <v>4</v>
      </c>
      <c r="F354" t="s">
        <v>692</v>
      </c>
    </row>
    <row r="355" spans="1:6" x14ac:dyDescent="0.35">
      <c r="A355">
        <v>20260801</v>
      </c>
      <c r="B355" t="s">
        <v>1150</v>
      </c>
      <c r="C355" t="s">
        <v>1469</v>
      </c>
      <c r="D355">
        <v>3</v>
      </c>
      <c r="E355">
        <v>0</v>
      </c>
      <c r="F355" t="s">
        <v>692</v>
      </c>
    </row>
    <row r="356" spans="1:6" x14ac:dyDescent="0.35">
      <c r="A356">
        <v>20260801</v>
      </c>
      <c r="B356" t="s">
        <v>1150</v>
      </c>
      <c r="C356" t="s">
        <v>1470</v>
      </c>
      <c r="D356">
        <v>1.5</v>
      </c>
      <c r="E356">
        <v>0</v>
      </c>
      <c r="F356" t="s">
        <v>692</v>
      </c>
    </row>
    <row r="357" spans="1:6" x14ac:dyDescent="0.35">
      <c r="A357">
        <v>20260801</v>
      </c>
      <c r="B357" t="s">
        <v>1158</v>
      </c>
      <c r="C357" t="s">
        <v>1466</v>
      </c>
      <c r="D357">
        <v>6</v>
      </c>
      <c r="E357">
        <v>6</v>
      </c>
      <c r="F357" t="s">
        <v>692</v>
      </c>
    </row>
    <row r="358" spans="1:6" x14ac:dyDescent="0.35">
      <c r="A358">
        <v>20260801</v>
      </c>
      <c r="B358" t="s">
        <v>1158</v>
      </c>
      <c r="C358" t="s">
        <v>1467</v>
      </c>
      <c r="D358">
        <v>8.5</v>
      </c>
      <c r="E358">
        <v>8.5</v>
      </c>
      <c r="F358" t="s">
        <v>692</v>
      </c>
    </row>
    <row r="359" spans="1:6" x14ac:dyDescent="0.35">
      <c r="A359">
        <v>20260801</v>
      </c>
      <c r="B359" t="s">
        <v>1158</v>
      </c>
      <c r="C359" t="s">
        <v>1468</v>
      </c>
      <c r="D359">
        <v>4</v>
      </c>
      <c r="E359">
        <v>4</v>
      </c>
      <c r="F359" t="s">
        <v>692</v>
      </c>
    </row>
    <row r="360" spans="1:6" x14ac:dyDescent="0.35">
      <c r="A360">
        <v>20260801</v>
      </c>
      <c r="B360" t="s">
        <v>1158</v>
      </c>
      <c r="C360" t="s">
        <v>1469</v>
      </c>
      <c r="D360">
        <v>3</v>
      </c>
      <c r="E360">
        <v>0</v>
      </c>
      <c r="F360" t="s">
        <v>692</v>
      </c>
    </row>
    <row r="361" spans="1:6" x14ac:dyDescent="0.35">
      <c r="A361">
        <v>20260801</v>
      </c>
      <c r="B361" t="s">
        <v>1158</v>
      </c>
      <c r="C361" t="s">
        <v>1470</v>
      </c>
      <c r="D361">
        <v>1.5</v>
      </c>
      <c r="E361">
        <v>0</v>
      </c>
      <c r="F361" t="s">
        <v>692</v>
      </c>
    </row>
    <row r="362" spans="1:6" x14ac:dyDescent="0.35">
      <c r="A362">
        <v>20260801</v>
      </c>
      <c r="B362" t="s">
        <v>1205</v>
      </c>
      <c r="C362" t="s">
        <v>1466</v>
      </c>
      <c r="D362">
        <v>6</v>
      </c>
      <c r="E362">
        <v>6</v>
      </c>
      <c r="F362" t="s">
        <v>692</v>
      </c>
    </row>
    <row r="363" spans="1:6" x14ac:dyDescent="0.35">
      <c r="A363">
        <v>20260801</v>
      </c>
      <c r="B363" t="s">
        <v>1205</v>
      </c>
      <c r="C363" t="s">
        <v>1467</v>
      </c>
      <c r="D363">
        <v>8.5</v>
      </c>
      <c r="E363">
        <v>8.5</v>
      </c>
      <c r="F363" t="s">
        <v>692</v>
      </c>
    </row>
    <row r="364" spans="1:6" x14ac:dyDescent="0.35">
      <c r="A364">
        <v>20260801</v>
      </c>
      <c r="B364" t="s">
        <v>1205</v>
      </c>
      <c r="C364" t="s">
        <v>1468</v>
      </c>
      <c r="D364">
        <v>4</v>
      </c>
      <c r="E364">
        <v>4</v>
      </c>
      <c r="F364" t="s">
        <v>692</v>
      </c>
    </row>
    <row r="365" spans="1:6" x14ac:dyDescent="0.35">
      <c r="A365">
        <v>20260801</v>
      </c>
      <c r="B365" t="s">
        <v>1205</v>
      </c>
      <c r="C365" t="s">
        <v>1469</v>
      </c>
      <c r="D365">
        <v>3</v>
      </c>
      <c r="E365">
        <v>0</v>
      </c>
      <c r="F365" t="s">
        <v>692</v>
      </c>
    </row>
    <row r="366" spans="1:6" x14ac:dyDescent="0.35">
      <c r="A366">
        <v>20260801</v>
      </c>
      <c r="B366" t="s">
        <v>1205</v>
      </c>
      <c r="C366" t="s">
        <v>1470</v>
      </c>
      <c r="D366">
        <v>1.5</v>
      </c>
      <c r="E366">
        <v>0</v>
      </c>
      <c r="F366" t="s">
        <v>692</v>
      </c>
    </row>
    <row r="367" spans="1:6" x14ac:dyDescent="0.35">
      <c r="A367">
        <v>20260801</v>
      </c>
      <c r="B367" t="s">
        <v>1164</v>
      </c>
      <c r="C367" t="s">
        <v>1466</v>
      </c>
      <c r="D367">
        <v>6</v>
      </c>
      <c r="E367">
        <v>6</v>
      </c>
      <c r="F367" t="s">
        <v>692</v>
      </c>
    </row>
    <row r="368" spans="1:6" x14ac:dyDescent="0.35">
      <c r="A368">
        <v>20260801</v>
      </c>
      <c r="B368" t="s">
        <v>1164</v>
      </c>
      <c r="C368" t="s">
        <v>1467</v>
      </c>
      <c r="D368">
        <v>8.5</v>
      </c>
      <c r="E368">
        <v>8.5</v>
      </c>
      <c r="F368" t="s">
        <v>692</v>
      </c>
    </row>
    <row r="369" spans="1:6" x14ac:dyDescent="0.35">
      <c r="A369">
        <v>20260801</v>
      </c>
      <c r="B369" t="s">
        <v>1164</v>
      </c>
      <c r="C369" t="s">
        <v>1468</v>
      </c>
      <c r="D369">
        <v>4</v>
      </c>
      <c r="E369">
        <v>4</v>
      </c>
      <c r="F369" t="s">
        <v>692</v>
      </c>
    </row>
    <row r="370" spans="1:6" x14ac:dyDescent="0.35">
      <c r="A370">
        <v>20260801</v>
      </c>
      <c r="B370" t="s">
        <v>1164</v>
      </c>
      <c r="C370" t="s">
        <v>1469</v>
      </c>
      <c r="D370">
        <v>3</v>
      </c>
      <c r="E370">
        <v>0</v>
      </c>
      <c r="F370" t="s">
        <v>692</v>
      </c>
    </row>
    <row r="371" spans="1:6" x14ac:dyDescent="0.35">
      <c r="A371">
        <v>20260801</v>
      </c>
      <c r="B371" t="s">
        <v>1164</v>
      </c>
      <c r="C371" t="s">
        <v>1470</v>
      </c>
      <c r="D371">
        <v>1.5</v>
      </c>
      <c r="E371">
        <v>0</v>
      </c>
      <c r="F371" t="s">
        <v>692</v>
      </c>
    </row>
    <row r="372" spans="1:6" x14ac:dyDescent="0.35">
      <c r="A372">
        <v>20260801</v>
      </c>
      <c r="B372" t="s">
        <v>1169</v>
      </c>
      <c r="C372" t="s">
        <v>1466</v>
      </c>
      <c r="D372">
        <v>6</v>
      </c>
      <c r="E372">
        <v>6</v>
      </c>
      <c r="F372" t="s">
        <v>692</v>
      </c>
    </row>
    <row r="373" spans="1:6" x14ac:dyDescent="0.35">
      <c r="A373">
        <v>20260801</v>
      </c>
      <c r="B373" t="s">
        <v>1169</v>
      </c>
      <c r="C373" t="s">
        <v>1467</v>
      </c>
      <c r="D373">
        <v>8.5</v>
      </c>
      <c r="E373">
        <v>8.5</v>
      </c>
      <c r="F373" t="s">
        <v>692</v>
      </c>
    </row>
    <row r="374" spans="1:6" x14ac:dyDescent="0.35">
      <c r="A374">
        <v>20260801</v>
      </c>
      <c r="B374" t="s">
        <v>1169</v>
      </c>
      <c r="C374" t="s">
        <v>1468</v>
      </c>
      <c r="D374">
        <v>4</v>
      </c>
      <c r="E374">
        <v>4</v>
      </c>
      <c r="F374" t="s">
        <v>692</v>
      </c>
    </row>
    <row r="375" spans="1:6" x14ac:dyDescent="0.35">
      <c r="A375">
        <v>20260801</v>
      </c>
      <c r="B375" t="s">
        <v>1169</v>
      </c>
      <c r="C375" t="s">
        <v>1469</v>
      </c>
      <c r="D375">
        <v>3</v>
      </c>
      <c r="E375">
        <v>0</v>
      </c>
      <c r="F375" t="s">
        <v>692</v>
      </c>
    </row>
    <row r="376" spans="1:6" x14ac:dyDescent="0.35">
      <c r="A376">
        <v>20260801</v>
      </c>
      <c r="B376" t="s">
        <v>1169</v>
      </c>
      <c r="C376" t="s">
        <v>1470</v>
      </c>
      <c r="D376">
        <v>1.5</v>
      </c>
      <c r="E376">
        <v>0</v>
      </c>
      <c r="F376" t="s">
        <v>692</v>
      </c>
    </row>
    <row r="377" spans="1:6" x14ac:dyDescent="0.35">
      <c r="A377">
        <v>20260801</v>
      </c>
      <c r="B377" t="s">
        <v>1175</v>
      </c>
      <c r="C377" t="s">
        <v>1466</v>
      </c>
      <c r="D377">
        <v>6</v>
      </c>
      <c r="E377">
        <v>6</v>
      </c>
      <c r="F377" t="s">
        <v>692</v>
      </c>
    </row>
    <row r="378" spans="1:6" x14ac:dyDescent="0.35">
      <c r="A378">
        <v>20260801</v>
      </c>
      <c r="B378" t="s">
        <v>1175</v>
      </c>
      <c r="C378" t="s">
        <v>1467</v>
      </c>
      <c r="D378">
        <v>8.5</v>
      </c>
      <c r="E378">
        <v>8.5</v>
      </c>
      <c r="F378" t="s">
        <v>692</v>
      </c>
    </row>
    <row r="379" spans="1:6" x14ac:dyDescent="0.35">
      <c r="A379">
        <v>20260801</v>
      </c>
      <c r="B379" t="s">
        <v>1175</v>
      </c>
      <c r="C379" t="s">
        <v>1468</v>
      </c>
      <c r="D379">
        <v>4</v>
      </c>
      <c r="E379">
        <v>4</v>
      </c>
      <c r="F379" t="s">
        <v>692</v>
      </c>
    </row>
    <row r="380" spans="1:6" x14ac:dyDescent="0.35">
      <c r="A380">
        <v>20260801</v>
      </c>
      <c r="B380" t="s">
        <v>1175</v>
      </c>
      <c r="C380" t="s">
        <v>1469</v>
      </c>
      <c r="D380">
        <v>3</v>
      </c>
      <c r="E380">
        <v>0</v>
      </c>
      <c r="F380" t="s">
        <v>692</v>
      </c>
    </row>
    <row r="381" spans="1:6" x14ac:dyDescent="0.35">
      <c r="A381">
        <v>20260801</v>
      </c>
      <c r="B381" t="s">
        <v>1175</v>
      </c>
      <c r="C381" t="s">
        <v>1470</v>
      </c>
      <c r="D381">
        <v>1.5</v>
      </c>
      <c r="E381">
        <v>0</v>
      </c>
      <c r="F381" t="s">
        <v>692</v>
      </c>
    </row>
    <row r="382" spans="1:6" x14ac:dyDescent="0.35">
      <c r="A382">
        <v>20260801</v>
      </c>
      <c r="B382" t="s">
        <v>1130</v>
      </c>
      <c r="C382" t="s">
        <v>1466</v>
      </c>
      <c r="D382">
        <v>6</v>
      </c>
      <c r="E382">
        <v>6</v>
      </c>
      <c r="F382" t="s">
        <v>692</v>
      </c>
    </row>
    <row r="383" spans="1:6" x14ac:dyDescent="0.35">
      <c r="A383">
        <v>20260801</v>
      </c>
      <c r="B383" t="s">
        <v>1130</v>
      </c>
      <c r="C383" t="s">
        <v>1467</v>
      </c>
      <c r="D383">
        <v>8.5</v>
      </c>
      <c r="E383">
        <v>8.5</v>
      </c>
      <c r="F383" t="s">
        <v>692</v>
      </c>
    </row>
    <row r="384" spans="1:6" x14ac:dyDescent="0.35">
      <c r="A384">
        <v>20260801</v>
      </c>
      <c r="B384" t="s">
        <v>1130</v>
      </c>
      <c r="C384" t="s">
        <v>1468</v>
      </c>
      <c r="D384">
        <v>4</v>
      </c>
      <c r="E384">
        <v>4</v>
      </c>
      <c r="F384" t="s">
        <v>692</v>
      </c>
    </row>
    <row r="385" spans="1:6" x14ac:dyDescent="0.35">
      <c r="A385">
        <v>20260801</v>
      </c>
      <c r="B385" t="s">
        <v>1130</v>
      </c>
      <c r="C385" t="s">
        <v>1469</v>
      </c>
      <c r="D385">
        <v>3</v>
      </c>
      <c r="E385">
        <v>0</v>
      </c>
      <c r="F385" t="s">
        <v>692</v>
      </c>
    </row>
    <row r="386" spans="1:6" x14ac:dyDescent="0.35">
      <c r="A386">
        <v>20260801</v>
      </c>
      <c r="B386" t="s">
        <v>1130</v>
      </c>
      <c r="C386" t="s">
        <v>1470</v>
      </c>
      <c r="D386">
        <v>1.5</v>
      </c>
      <c r="E386">
        <v>0</v>
      </c>
      <c r="F386" t="s">
        <v>692</v>
      </c>
    </row>
    <row r="387" spans="1:6" x14ac:dyDescent="0.35">
      <c r="A387">
        <v>20260801</v>
      </c>
      <c r="B387" t="s">
        <v>1173</v>
      </c>
      <c r="C387" t="s">
        <v>1466</v>
      </c>
      <c r="D387">
        <v>6</v>
      </c>
      <c r="E387">
        <v>6</v>
      </c>
      <c r="F387" t="s">
        <v>692</v>
      </c>
    </row>
    <row r="388" spans="1:6" x14ac:dyDescent="0.35">
      <c r="A388">
        <v>20260801</v>
      </c>
      <c r="B388" t="s">
        <v>1173</v>
      </c>
      <c r="C388" t="s">
        <v>1467</v>
      </c>
      <c r="D388">
        <v>8.5</v>
      </c>
      <c r="E388">
        <v>8.5</v>
      </c>
      <c r="F388" t="s">
        <v>692</v>
      </c>
    </row>
    <row r="389" spans="1:6" x14ac:dyDescent="0.35">
      <c r="A389">
        <v>20260801</v>
      </c>
      <c r="B389" t="s">
        <v>1173</v>
      </c>
      <c r="C389" t="s">
        <v>1468</v>
      </c>
      <c r="D389">
        <v>4</v>
      </c>
      <c r="E389">
        <v>4</v>
      </c>
      <c r="F389" t="s">
        <v>692</v>
      </c>
    </row>
    <row r="390" spans="1:6" x14ac:dyDescent="0.35">
      <c r="A390">
        <v>20260801</v>
      </c>
      <c r="B390" t="s">
        <v>1173</v>
      </c>
      <c r="C390" t="s">
        <v>1469</v>
      </c>
      <c r="D390">
        <v>3</v>
      </c>
      <c r="E390">
        <v>0</v>
      </c>
      <c r="F390" t="s">
        <v>692</v>
      </c>
    </row>
    <row r="391" spans="1:6" x14ac:dyDescent="0.35">
      <c r="A391">
        <v>20260801</v>
      </c>
      <c r="B391" t="s">
        <v>1173</v>
      </c>
      <c r="C391" t="s">
        <v>1470</v>
      </c>
      <c r="D391">
        <v>1.5</v>
      </c>
      <c r="E391">
        <v>0</v>
      </c>
      <c r="F391" t="s">
        <v>692</v>
      </c>
    </row>
    <row r="392" spans="1:6" x14ac:dyDescent="0.35">
      <c r="A392">
        <v>20260801</v>
      </c>
      <c r="B392" t="s">
        <v>1155</v>
      </c>
      <c r="C392" t="s">
        <v>1466</v>
      </c>
      <c r="D392">
        <v>6</v>
      </c>
      <c r="E392">
        <v>6</v>
      </c>
      <c r="F392" t="s">
        <v>692</v>
      </c>
    </row>
    <row r="393" spans="1:6" x14ac:dyDescent="0.35">
      <c r="A393">
        <v>20260801</v>
      </c>
      <c r="B393" t="s">
        <v>1155</v>
      </c>
      <c r="C393" t="s">
        <v>1467</v>
      </c>
      <c r="D393">
        <v>8.5</v>
      </c>
      <c r="E393">
        <v>8.5</v>
      </c>
      <c r="F393" t="s">
        <v>692</v>
      </c>
    </row>
    <row r="394" spans="1:6" x14ac:dyDescent="0.35">
      <c r="A394">
        <v>20260801</v>
      </c>
      <c r="B394" t="s">
        <v>1155</v>
      </c>
      <c r="C394" t="s">
        <v>1468</v>
      </c>
      <c r="D394">
        <v>4</v>
      </c>
      <c r="E394">
        <v>4</v>
      </c>
      <c r="F394" t="s">
        <v>692</v>
      </c>
    </row>
    <row r="395" spans="1:6" x14ac:dyDescent="0.35">
      <c r="A395">
        <v>20260801</v>
      </c>
      <c r="B395" t="s">
        <v>1155</v>
      </c>
      <c r="C395" t="s">
        <v>1469</v>
      </c>
      <c r="D395">
        <v>3</v>
      </c>
      <c r="E395">
        <v>0</v>
      </c>
      <c r="F395" t="s">
        <v>692</v>
      </c>
    </row>
    <row r="396" spans="1:6" x14ac:dyDescent="0.35">
      <c r="A396">
        <v>20260801</v>
      </c>
      <c r="B396" t="s">
        <v>1155</v>
      </c>
      <c r="C396" t="s">
        <v>1470</v>
      </c>
      <c r="D396">
        <v>1.5</v>
      </c>
      <c r="E396">
        <v>0</v>
      </c>
      <c r="F396" t="s">
        <v>692</v>
      </c>
    </row>
    <row r="397" spans="1:6" x14ac:dyDescent="0.35">
      <c r="A397">
        <v>20260801</v>
      </c>
      <c r="B397" t="s">
        <v>1138</v>
      </c>
      <c r="C397" t="s">
        <v>1466</v>
      </c>
      <c r="D397">
        <v>6</v>
      </c>
      <c r="E397">
        <v>6</v>
      </c>
      <c r="F397" t="s">
        <v>692</v>
      </c>
    </row>
    <row r="398" spans="1:6" x14ac:dyDescent="0.35">
      <c r="A398">
        <v>20260801</v>
      </c>
      <c r="B398" t="s">
        <v>1138</v>
      </c>
      <c r="C398" t="s">
        <v>1467</v>
      </c>
      <c r="D398">
        <v>8.5</v>
      </c>
      <c r="E398">
        <v>8.5</v>
      </c>
      <c r="F398" t="s">
        <v>692</v>
      </c>
    </row>
    <row r="399" spans="1:6" x14ac:dyDescent="0.35">
      <c r="A399">
        <v>20260801</v>
      </c>
      <c r="B399" t="s">
        <v>1138</v>
      </c>
      <c r="C399" t="s">
        <v>1468</v>
      </c>
      <c r="D399">
        <v>4</v>
      </c>
      <c r="E399">
        <v>4</v>
      </c>
      <c r="F399" t="s">
        <v>692</v>
      </c>
    </row>
    <row r="400" spans="1:6" x14ac:dyDescent="0.35">
      <c r="A400">
        <v>20260801</v>
      </c>
      <c r="B400" t="s">
        <v>1138</v>
      </c>
      <c r="C400" t="s">
        <v>1469</v>
      </c>
      <c r="D400">
        <v>3</v>
      </c>
      <c r="E400">
        <v>0</v>
      </c>
      <c r="F400" t="s">
        <v>692</v>
      </c>
    </row>
    <row r="401" spans="1:6" x14ac:dyDescent="0.35">
      <c r="A401">
        <v>20260801</v>
      </c>
      <c r="B401" t="s">
        <v>1138</v>
      </c>
      <c r="C401" t="s">
        <v>1470</v>
      </c>
      <c r="D401">
        <v>1.5</v>
      </c>
      <c r="E401">
        <v>0</v>
      </c>
      <c r="F401" t="s">
        <v>692</v>
      </c>
    </row>
    <row r="402" spans="1:6" x14ac:dyDescent="0.35">
      <c r="A402">
        <v>20260101</v>
      </c>
      <c r="B402" t="s">
        <v>1150</v>
      </c>
      <c r="C402" t="s">
        <v>1466</v>
      </c>
      <c r="D402">
        <v>6</v>
      </c>
      <c r="E402">
        <v>6</v>
      </c>
      <c r="F402" t="s">
        <v>1450</v>
      </c>
    </row>
    <row r="403" spans="1:6" x14ac:dyDescent="0.35">
      <c r="A403">
        <v>20260101</v>
      </c>
      <c r="B403" t="s">
        <v>1150</v>
      </c>
      <c r="C403" t="s">
        <v>1467</v>
      </c>
      <c r="D403">
        <v>9</v>
      </c>
      <c r="E403">
        <v>8.5</v>
      </c>
      <c r="F403" t="s">
        <v>1450</v>
      </c>
    </row>
    <row r="404" spans="1:6" x14ac:dyDescent="0.35">
      <c r="A404">
        <v>20260101</v>
      </c>
      <c r="B404" t="s">
        <v>1150</v>
      </c>
      <c r="C404" t="s">
        <v>1468</v>
      </c>
      <c r="D404">
        <v>5</v>
      </c>
      <c r="E404">
        <v>4</v>
      </c>
      <c r="F404" t="s">
        <v>1450</v>
      </c>
    </row>
    <row r="405" spans="1:6" x14ac:dyDescent="0.35">
      <c r="A405">
        <v>20260101</v>
      </c>
      <c r="B405" t="s">
        <v>1150</v>
      </c>
      <c r="C405" t="s">
        <v>1469</v>
      </c>
      <c r="D405">
        <v>3</v>
      </c>
      <c r="E405">
        <v>0</v>
      </c>
      <c r="F405" t="s">
        <v>1450</v>
      </c>
    </row>
    <row r="406" spans="1:6" x14ac:dyDescent="0.35">
      <c r="A406">
        <v>20260101</v>
      </c>
      <c r="B406" t="s">
        <v>1150</v>
      </c>
      <c r="C406" t="s">
        <v>1470</v>
      </c>
      <c r="D406">
        <v>1.5</v>
      </c>
      <c r="E406">
        <v>0</v>
      </c>
      <c r="F406" t="s">
        <v>1450</v>
      </c>
    </row>
    <row r="407" spans="1:6" x14ac:dyDescent="0.35">
      <c r="A407">
        <v>20260101</v>
      </c>
      <c r="B407" t="s">
        <v>1158</v>
      </c>
      <c r="C407" t="s">
        <v>1466</v>
      </c>
      <c r="D407">
        <v>6</v>
      </c>
      <c r="E407">
        <v>6</v>
      </c>
      <c r="F407" t="s">
        <v>1450</v>
      </c>
    </row>
    <row r="408" spans="1:6" x14ac:dyDescent="0.35">
      <c r="A408">
        <v>20260101</v>
      </c>
      <c r="B408" t="s">
        <v>1158</v>
      </c>
      <c r="C408" t="s">
        <v>1467</v>
      </c>
      <c r="D408">
        <v>9</v>
      </c>
      <c r="E408">
        <v>8.5</v>
      </c>
      <c r="F408" t="s">
        <v>1450</v>
      </c>
    </row>
    <row r="409" spans="1:6" x14ac:dyDescent="0.35">
      <c r="A409">
        <v>20260101</v>
      </c>
      <c r="B409" t="s">
        <v>1158</v>
      </c>
      <c r="C409" t="s">
        <v>1468</v>
      </c>
      <c r="D409">
        <v>5</v>
      </c>
      <c r="E409">
        <v>4</v>
      </c>
      <c r="F409" t="s">
        <v>1450</v>
      </c>
    </row>
    <row r="410" spans="1:6" x14ac:dyDescent="0.35">
      <c r="A410">
        <v>20260101</v>
      </c>
      <c r="B410" t="s">
        <v>1158</v>
      </c>
      <c r="C410" t="s">
        <v>1469</v>
      </c>
      <c r="D410">
        <v>3</v>
      </c>
      <c r="E410">
        <v>0</v>
      </c>
      <c r="F410" t="s">
        <v>1450</v>
      </c>
    </row>
    <row r="411" spans="1:6" x14ac:dyDescent="0.35">
      <c r="A411">
        <v>20260101</v>
      </c>
      <c r="B411" t="s">
        <v>1158</v>
      </c>
      <c r="C411" t="s">
        <v>1470</v>
      </c>
      <c r="D411">
        <v>1.5</v>
      </c>
      <c r="E411">
        <v>0</v>
      </c>
      <c r="F411" t="s">
        <v>1450</v>
      </c>
    </row>
    <row r="412" spans="1:6" x14ac:dyDescent="0.35">
      <c r="A412">
        <v>20260101</v>
      </c>
      <c r="B412" t="s">
        <v>1205</v>
      </c>
      <c r="C412" t="s">
        <v>1466</v>
      </c>
      <c r="D412">
        <v>6</v>
      </c>
      <c r="E412">
        <v>6</v>
      </c>
      <c r="F412" t="s">
        <v>1450</v>
      </c>
    </row>
    <row r="413" spans="1:6" x14ac:dyDescent="0.35">
      <c r="A413">
        <v>20260101</v>
      </c>
      <c r="B413" t="s">
        <v>1205</v>
      </c>
      <c r="C413" t="s">
        <v>1467</v>
      </c>
      <c r="D413">
        <v>9</v>
      </c>
      <c r="E413">
        <v>8.5</v>
      </c>
      <c r="F413" t="s">
        <v>1450</v>
      </c>
    </row>
    <row r="414" spans="1:6" x14ac:dyDescent="0.35">
      <c r="A414">
        <v>20260101</v>
      </c>
      <c r="B414" t="s">
        <v>1205</v>
      </c>
      <c r="C414" t="s">
        <v>1468</v>
      </c>
      <c r="D414">
        <v>5</v>
      </c>
      <c r="E414">
        <v>4</v>
      </c>
      <c r="F414" t="s">
        <v>1450</v>
      </c>
    </row>
    <row r="415" spans="1:6" x14ac:dyDescent="0.35">
      <c r="A415">
        <v>20260101</v>
      </c>
      <c r="B415" t="s">
        <v>1205</v>
      </c>
      <c r="C415" t="s">
        <v>1469</v>
      </c>
      <c r="D415">
        <v>3</v>
      </c>
      <c r="E415">
        <v>0</v>
      </c>
      <c r="F415" t="s">
        <v>1450</v>
      </c>
    </row>
    <row r="416" spans="1:6" x14ac:dyDescent="0.35">
      <c r="A416">
        <v>20260101</v>
      </c>
      <c r="B416" t="s">
        <v>1205</v>
      </c>
      <c r="C416" t="s">
        <v>1470</v>
      </c>
      <c r="D416">
        <v>1.5</v>
      </c>
      <c r="E416">
        <v>0</v>
      </c>
      <c r="F416" t="s">
        <v>1450</v>
      </c>
    </row>
    <row r="417" spans="1:6" x14ac:dyDescent="0.35">
      <c r="A417">
        <v>20260101</v>
      </c>
      <c r="B417" t="s">
        <v>1164</v>
      </c>
      <c r="C417" t="s">
        <v>1466</v>
      </c>
      <c r="D417">
        <v>6</v>
      </c>
      <c r="E417">
        <v>6</v>
      </c>
      <c r="F417" t="s">
        <v>1450</v>
      </c>
    </row>
    <row r="418" spans="1:6" x14ac:dyDescent="0.35">
      <c r="A418">
        <v>20260101</v>
      </c>
      <c r="B418" t="s">
        <v>1164</v>
      </c>
      <c r="C418" t="s">
        <v>1467</v>
      </c>
      <c r="D418">
        <v>9</v>
      </c>
      <c r="E418">
        <v>8.5</v>
      </c>
      <c r="F418" t="s">
        <v>1450</v>
      </c>
    </row>
    <row r="419" spans="1:6" x14ac:dyDescent="0.35">
      <c r="A419">
        <v>20260101</v>
      </c>
      <c r="B419" t="s">
        <v>1164</v>
      </c>
      <c r="C419" t="s">
        <v>1468</v>
      </c>
      <c r="D419">
        <v>5</v>
      </c>
      <c r="E419">
        <v>4</v>
      </c>
      <c r="F419" t="s">
        <v>1450</v>
      </c>
    </row>
    <row r="420" spans="1:6" x14ac:dyDescent="0.35">
      <c r="A420">
        <v>20260101</v>
      </c>
      <c r="B420" t="s">
        <v>1164</v>
      </c>
      <c r="C420" t="s">
        <v>1469</v>
      </c>
      <c r="D420">
        <v>3</v>
      </c>
      <c r="E420">
        <v>0</v>
      </c>
      <c r="F420" t="s">
        <v>1450</v>
      </c>
    </row>
    <row r="421" spans="1:6" x14ac:dyDescent="0.35">
      <c r="A421">
        <v>20260101</v>
      </c>
      <c r="B421" t="s">
        <v>1164</v>
      </c>
      <c r="C421" t="s">
        <v>1470</v>
      </c>
      <c r="D421">
        <v>1.5</v>
      </c>
      <c r="E421">
        <v>0</v>
      </c>
      <c r="F421" t="s">
        <v>1450</v>
      </c>
    </row>
    <row r="422" spans="1:6" x14ac:dyDescent="0.35">
      <c r="A422">
        <v>20260101</v>
      </c>
      <c r="B422" t="s">
        <v>1169</v>
      </c>
      <c r="C422" t="s">
        <v>1466</v>
      </c>
      <c r="D422">
        <v>6</v>
      </c>
      <c r="E422">
        <v>6</v>
      </c>
      <c r="F422" t="s">
        <v>1450</v>
      </c>
    </row>
    <row r="423" spans="1:6" x14ac:dyDescent="0.35">
      <c r="A423">
        <v>20260101</v>
      </c>
      <c r="B423" t="s">
        <v>1169</v>
      </c>
      <c r="C423" t="s">
        <v>1467</v>
      </c>
      <c r="D423">
        <v>9</v>
      </c>
      <c r="E423">
        <v>8.5</v>
      </c>
      <c r="F423" t="s">
        <v>1450</v>
      </c>
    </row>
    <row r="424" spans="1:6" x14ac:dyDescent="0.35">
      <c r="A424">
        <v>20260101</v>
      </c>
      <c r="B424" t="s">
        <v>1169</v>
      </c>
      <c r="C424" t="s">
        <v>1468</v>
      </c>
      <c r="D424">
        <v>5</v>
      </c>
      <c r="E424">
        <v>4</v>
      </c>
      <c r="F424" t="s">
        <v>1450</v>
      </c>
    </row>
    <row r="425" spans="1:6" x14ac:dyDescent="0.35">
      <c r="A425">
        <v>20260101</v>
      </c>
      <c r="B425" t="s">
        <v>1169</v>
      </c>
      <c r="C425" t="s">
        <v>1469</v>
      </c>
      <c r="D425">
        <v>3</v>
      </c>
      <c r="E425">
        <v>0</v>
      </c>
      <c r="F425" t="s">
        <v>1450</v>
      </c>
    </row>
    <row r="426" spans="1:6" x14ac:dyDescent="0.35">
      <c r="A426">
        <v>20260101</v>
      </c>
      <c r="B426" t="s">
        <v>1169</v>
      </c>
      <c r="C426" t="s">
        <v>1470</v>
      </c>
      <c r="D426">
        <v>1.5</v>
      </c>
      <c r="E426">
        <v>0</v>
      </c>
      <c r="F426" t="s">
        <v>1450</v>
      </c>
    </row>
    <row r="427" spans="1:6" x14ac:dyDescent="0.35">
      <c r="A427">
        <v>20260101</v>
      </c>
      <c r="B427" t="s">
        <v>1175</v>
      </c>
      <c r="C427" t="s">
        <v>1466</v>
      </c>
      <c r="D427">
        <v>6</v>
      </c>
      <c r="E427">
        <v>6</v>
      </c>
      <c r="F427" t="s">
        <v>1450</v>
      </c>
    </row>
    <row r="428" spans="1:6" x14ac:dyDescent="0.35">
      <c r="A428">
        <v>20260101</v>
      </c>
      <c r="B428" t="s">
        <v>1175</v>
      </c>
      <c r="C428" t="s">
        <v>1467</v>
      </c>
      <c r="D428">
        <v>9</v>
      </c>
      <c r="E428">
        <v>8.5</v>
      </c>
      <c r="F428" t="s">
        <v>1450</v>
      </c>
    </row>
    <row r="429" spans="1:6" x14ac:dyDescent="0.35">
      <c r="A429">
        <v>20260101</v>
      </c>
      <c r="B429" t="s">
        <v>1175</v>
      </c>
      <c r="C429" t="s">
        <v>1468</v>
      </c>
      <c r="D429">
        <v>5</v>
      </c>
      <c r="E429">
        <v>4</v>
      </c>
      <c r="F429" t="s">
        <v>1450</v>
      </c>
    </row>
    <row r="430" spans="1:6" x14ac:dyDescent="0.35">
      <c r="A430">
        <v>20260101</v>
      </c>
      <c r="B430" t="s">
        <v>1175</v>
      </c>
      <c r="C430" t="s">
        <v>1469</v>
      </c>
      <c r="D430">
        <v>3</v>
      </c>
      <c r="E430">
        <v>0</v>
      </c>
      <c r="F430" t="s">
        <v>1450</v>
      </c>
    </row>
    <row r="431" spans="1:6" x14ac:dyDescent="0.35">
      <c r="A431">
        <v>20260101</v>
      </c>
      <c r="B431" t="s">
        <v>1175</v>
      </c>
      <c r="C431" t="s">
        <v>1470</v>
      </c>
      <c r="D431">
        <v>1.5</v>
      </c>
      <c r="E431">
        <v>0</v>
      </c>
      <c r="F431" t="s">
        <v>1450</v>
      </c>
    </row>
    <row r="432" spans="1:6" x14ac:dyDescent="0.35">
      <c r="A432">
        <v>20260101</v>
      </c>
      <c r="B432" t="s">
        <v>1130</v>
      </c>
      <c r="C432" t="s">
        <v>1466</v>
      </c>
      <c r="D432">
        <v>6</v>
      </c>
      <c r="E432">
        <v>6</v>
      </c>
      <c r="F432" t="s">
        <v>1450</v>
      </c>
    </row>
    <row r="433" spans="1:6" x14ac:dyDescent="0.35">
      <c r="A433">
        <v>20260101</v>
      </c>
      <c r="B433" t="s">
        <v>1130</v>
      </c>
      <c r="C433" t="s">
        <v>1467</v>
      </c>
      <c r="D433">
        <v>9</v>
      </c>
      <c r="E433">
        <v>8.5</v>
      </c>
      <c r="F433" t="s">
        <v>1450</v>
      </c>
    </row>
    <row r="434" spans="1:6" x14ac:dyDescent="0.35">
      <c r="A434">
        <v>20260101</v>
      </c>
      <c r="B434" t="s">
        <v>1130</v>
      </c>
      <c r="C434" t="s">
        <v>1468</v>
      </c>
      <c r="D434">
        <v>5</v>
      </c>
      <c r="E434">
        <v>4</v>
      </c>
      <c r="F434" t="s">
        <v>1450</v>
      </c>
    </row>
    <row r="435" spans="1:6" x14ac:dyDescent="0.35">
      <c r="A435">
        <v>20260101</v>
      </c>
      <c r="B435" t="s">
        <v>1130</v>
      </c>
      <c r="C435" t="s">
        <v>1469</v>
      </c>
      <c r="D435">
        <v>3</v>
      </c>
      <c r="E435">
        <v>0</v>
      </c>
      <c r="F435" t="s">
        <v>1450</v>
      </c>
    </row>
    <row r="436" spans="1:6" x14ac:dyDescent="0.35">
      <c r="A436">
        <v>20260101</v>
      </c>
      <c r="B436" t="s">
        <v>1130</v>
      </c>
      <c r="C436" t="s">
        <v>1470</v>
      </c>
      <c r="D436">
        <v>1.5</v>
      </c>
      <c r="E436">
        <v>0</v>
      </c>
      <c r="F436" t="s">
        <v>1450</v>
      </c>
    </row>
    <row r="437" spans="1:6" x14ac:dyDescent="0.35">
      <c r="A437">
        <v>20260101</v>
      </c>
      <c r="B437" t="s">
        <v>1173</v>
      </c>
      <c r="C437" t="s">
        <v>1466</v>
      </c>
      <c r="D437">
        <v>6</v>
      </c>
      <c r="E437">
        <v>6</v>
      </c>
      <c r="F437" t="s">
        <v>1450</v>
      </c>
    </row>
    <row r="438" spans="1:6" x14ac:dyDescent="0.35">
      <c r="A438">
        <v>20260101</v>
      </c>
      <c r="B438" t="s">
        <v>1173</v>
      </c>
      <c r="C438" t="s">
        <v>1467</v>
      </c>
      <c r="D438">
        <v>9</v>
      </c>
      <c r="E438">
        <v>8.5</v>
      </c>
      <c r="F438" t="s">
        <v>1450</v>
      </c>
    </row>
    <row r="439" spans="1:6" x14ac:dyDescent="0.35">
      <c r="A439">
        <v>20260101</v>
      </c>
      <c r="B439" t="s">
        <v>1173</v>
      </c>
      <c r="C439" t="s">
        <v>1468</v>
      </c>
      <c r="D439">
        <v>5</v>
      </c>
      <c r="E439">
        <v>4</v>
      </c>
      <c r="F439" t="s">
        <v>1450</v>
      </c>
    </row>
    <row r="440" spans="1:6" x14ac:dyDescent="0.35">
      <c r="A440">
        <v>20260101</v>
      </c>
      <c r="B440" t="s">
        <v>1173</v>
      </c>
      <c r="C440" t="s">
        <v>1469</v>
      </c>
      <c r="D440">
        <v>3</v>
      </c>
      <c r="E440">
        <v>0</v>
      </c>
      <c r="F440" t="s">
        <v>1450</v>
      </c>
    </row>
    <row r="441" spans="1:6" x14ac:dyDescent="0.35">
      <c r="A441">
        <v>20260101</v>
      </c>
      <c r="B441" t="s">
        <v>1173</v>
      </c>
      <c r="C441" t="s">
        <v>1470</v>
      </c>
      <c r="D441">
        <v>1.5</v>
      </c>
      <c r="E441">
        <v>0</v>
      </c>
      <c r="F441" t="s">
        <v>1450</v>
      </c>
    </row>
    <row r="442" spans="1:6" x14ac:dyDescent="0.35">
      <c r="A442">
        <v>20260101</v>
      </c>
      <c r="B442" t="s">
        <v>1155</v>
      </c>
      <c r="C442" t="s">
        <v>1466</v>
      </c>
      <c r="D442">
        <v>6</v>
      </c>
      <c r="E442">
        <v>6</v>
      </c>
      <c r="F442" t="s">
        <v>1450</v>
      </c>
    </row>
    <row r="443" spans="1:6" x14ac:dyDescent="0.35">
      <c r="A443">
        <v>20260101</v>
      </c>
      <c r="B443" t="s">
        <v>1155</v>
      </c>
      <c r="C443" t="s">
        <v>1467</v>
      </c>
      <c r="D443">
        <v>9</v>
      </c>
      <c r="E443">
        <v>8.5</v>
      </c>
      <c r="F443" t="s">
        <v>1450</v>
      </c>
    </row>
    <row r="444" spans="1:6" x14ac:dyDescent="0.35">
      <c r="A444">
        <v>20260101</v>
      </c>
      <c r="B444" t="s">
        <v>1155</v>
      </c>
      <c r="C444" t="s">
        <v>1468</v>
      </c>
      <c r="D444">
        <v>5</v>
      </c>
      <c r="E444">
        <v>4</v>
      </c>
      <c r="F444" t="s">
        <v>1450</v>
      </c>
    </row>
    <row r="445" spans="1:6" x14ac:dyDescent="0.35">
      <c r="A445">
        <v>20260101</v>
      </c>
      <c r="B445" t="s">
        <v>1155</v>
      </c>
      <c r="C445" t="s">
        <v>1469</v>
      </c>
      <c r="D445">
        <v>3</v>
      </c>
      <c r="E445">
        <v>0</v>
      </c>
      <c r="F445" t="s">
        <v>1450</v>
      </c>
    </row>
    <row r="446" spans="1:6" x14ac:dyDescent="0.35">
      <c r="A446">
        <v>20260101</v>
      </c>
      <c r="B446" t="s">
        <v>1155</v>
      </c>
      <c r="C446" t="s">
        <v>1470</v>
      </c>
      <c r="D446">
        <v>1.5</v>
      </c>
      <c r="E446">
        <v>0</v>
      </c>
      <c r="F446" t="s">
        <v>1450</v>
      </c>
    </row>
    <row r="447" spans="1:6" x14ac:dyDescent="0.35">
      <c r="A447">
        <v>20260101</v>
      </c>
      <c r="B447" t="s">
        <v>1138</v>
      </c>
      <c r="C447" t="s">
        <v>1466</v>
      </c>
      <c r="D447">
        <v>6</v>
      </c>
      <c r="E447">
        <v>6</v>
      </c>
      <c r="F447" t="s">
        <v>1450</v>
      </c>
    </row>
    <row r="448" spans="1:6" x14ac:dyDescent="0.35">
      <c r="A448">
        <v>20260101</v>
      </c>
      <c r="B448" t="s">
        <v>1138</v>
      </c>
      <c r="C448" t="s">
        <v>1467</v>
      </c>
      <c r="D448">
        <v>9</v>
      </c>
      <c r="E448">
        <v>8.5</v>
      </c>
      <c r="F448" t="s">
        <v>1450</v>
      </c>
    </row>
    <row r="449" spans="1:6" x14ac:dyDescent="0.35">
      <c r="A449">
        <v>20260101</v>
      </c>
      <c r="B449" t="s">
        <v>1138</v>
      </c>
      <c r="C449" t="s">
        <v>1468</v>
      </c>
      <c r="D449">
        <v>5</v>
      </c>
      <c r="E449">
        <v>4</v>
      </c>
      <c r="F449" t="s">
        <v>1450</v>
      </c>
    </row>
    <row r="450" spans="1:6" x14ac:dyDescent="0.35">
      <c r="A450">
        <v>20260101</v>
      </c>
      <c r="B450" t="s">
        <v>1138</v>
      </c>
      <c r="C450" t="s">
        <v>1469</v>
      </c>
      <c r="D450">
        <v>3</v>
      </c>
      <c r="E450">
        <v>0</v>
      </c>
      <c r="F450" t="s">
        <v>1450</v>
      </c>
    </row>
    <row r="451" spans="1:6" x14ac:dyDescent="0.35">
      <c r="A451">
        <v>20260101</v>
      </c>
      <c r="B451" t="s">
        <v>1138</v>
      </c>
      <c r="C451" t="s">
        <v>1470</v>
      </c>
      <c r="D451">
        <v>1.5</v>
      </c>
      <c r="E451">
        <v>0</v>
      </c>
      <c r="F451" t="s">
        <v>1450</v>
      </c>
    </row>
    <row r="452" spans="1:6" x14ac:dyDescent="0.35">
      <c r="A452">
        <v>20260201</v>
      </c>
      <c r="B452" t="s">
        <v>1150</v>
      </c>
      <c r="C452" t="s">
        <v>1466</v>
      </c>
      <c r="D452">
        <v>6</v>
      </c>
      <c r="E452">
        <v>6</v>
      </c>
      <c r="F452" t="s">
        <v>1450</v>
      </c>
    </row>
    <row r="453" spans="1:6" x14ac:dyDescent="0.35">
      <c r="A453">
        <v>20260201</v>
      </c>
      <c r="B453" t="s">
        <v>1150</v>
      </c>
      <c r="C453" t="s">
        <v>1467</v>
      </c>
      <c r="D453">
        <v>9</v>
      </c>
      <c r="E453">
        <v>8.5</v>
      </c>
      <c r="F453" t="s">
        <v>1450</v>
      </c>
    </row>
    <row r="454" spans="1:6" x14ac:dyDescent="0.35">
      <c r="A454">
        <v>20260201</v>
      </c>
      <c r="B454" t="s">
        <v>1150</v>
      </c>
      <c r="C454" t="s">
        <v>1468</v>
      </c>
      <c r="D454">
        <v>5</v>
      </c>
      <c r="E454">
        <v>4</v>
      </c>
      <c r="F454" t="s">
        <v>1450</v>
      </c>
    </row>
    <row r="455" spans="1:6" x14ac:dyDescent="0.35">
      <c r="A455">
        <v>20260201</v>
      </c>
      <c r="B455" t="s">
        <v>1150</v>
      </c>
      <c r="C455" t="s">
        <v>1469</v>
      </c>
      <c r="D455">
        <v>3</v>
      </c>
      <c r="E455">
        <v>0</v>
      </c>
      <c r="F455" t="s">
        <v>1450</v>
      </c>
    </row>
    <row r="456" spans="1:6" x14ac:dyDescent="0.35">
      <c r="A456">
        <v>20260201</v>
      </c>
      <c r="B456" t="s">
        <v>1150</v>
      </c>
      <c r="C456" t="s">
        <v>1470</v>
      </c>
      <c r="D456">
        <v>1.5</v>
      </c>
      <c r="E456">
        <v>0</v>
      </c>
      <c r="F456" t="s">
        <v>1450</v>
      </c>
    </row>
    <row r="457" spans="1:6" x14ac:dyDescent="0.35">
      <c r="A457">
        <v>20260201</v>
      </c>
      <c r="B457" t="s">
        <v>1158</v>
      </c>
      <c r="C457" t="s">
        <v>1466</v>
      </c>
      <c r="D457">
        <v>6</v>
      </c>
      <c r="E457">
        <v>6</v>
      </c>
      <c r="F457" t="s">
        <v>1450</v>
      </c>
    </row>
    <row r="458" spans="1:6" x14ac:dyDescent="0.35">
      <c r="A458">
        <v>20260201</v>
      </c>
      <c r="B458" t="s">
        <v>1158</v>
      </c>
      <c r="C458" t="s">
        <v>1467</v>
      </c>
      <c r="D458">
        <v>9</v>
      </c>
      <c r="E458">
        <v>8.5</v>
      </c>
      <c r="F458" t="s">
        <v>1450</v>
      </c>
    </row>
    <row r="459" spans="1:6" x14ac:dyDescent="0.35">
      <c r="A459">
        <v>20260201</v>
      </c>
      <c r="B459" t="s">
        <v>1158</v>
      </c>
      <c r="C459" t="s">
        <v>1468</v>
      </c>
      <c r="D459">
        <v>5</v>
      </c>
      <c r="E459">
        <v>4</v>
      </c>
      <c r="F459" t="s">
        <v>1450</v>
      </c>
    </row>
    <row r="460" spans="1:6" x14ac:dyDescent="0.35">
      <c r="A460">
        <v>20260201</v>
      </c>
      <c r="B460" t="s">
        <v>1158</v>
      </c>
      <c r="C460" t="s">
        <v>1469</v>
      </c>
      <c r="D460">
        <v>3</v>
      </c>
      <c r="E460">
        <v>0</v>
      </c>
      <c r="F460" t="s">
        <v>1450</v>
      </c>
    </row>
    <row r="461" spans="1:6" x14ac:dyDescent="0.35">
      <c r="A461">
        <v>20260201</v>
      </c>
      <c r="B461" t="s">
        <v>1158</v>
      </c>
      <c r="C461" t="s">
        <v>1470</v>
      </c>
      <c r="D461">
        <v>1.5</v>
      </c>
      <c r="E461">
        <v>0</v>
      </c>
      <c r="F461" t="s">
        <v>1450</v>
      </c>
    </row>
    <row r="462" spans="1:6" x14ac:dyDescent="0.35">
      <c r="A462">
        <v>20260201</v>
      </c>
      <c r="B462" t="s">
        <v>1205</v>
      </c>
      <c r="C462" t="s">
        <v>1466</v>
      </c>
      <c r="D462">
        <v>6</v>
      </c>
      <c r="E462">
        <v>6</v>
      </c>
      <c r="F462" t="s">
        <v>1450</v>
      </c>
    </row>
    <row r="463" spans="1:6" x14ac:dyDescent="0.35">
      <c r="A463">
        <v>20260201</v>
      </c>
      <c r="B463" t="s">
        <v>1205</v>
      </c>
      <c r="C463" t="s">
        <v>1467</v>
      </c>
      <c r="D463">
        <v>9</v>
      </c>
      <c r="E463">
        <v>8.5</v>
      </c>
      <c r="F463" t="s">
        <v>1450</v>
      </c>
    </row>
    <row r="464" spans="1:6" x14ac:dyDescent="0.35">
      <c r="A464">
        <v>20260201</v>
      </c>
      <c r="B464" t="s">
        <v>1205</v>
      </c>
      <c r="C464" t="s">
        <v>1468</v>
      </c>
      <c r="D464">
        <v>5</v>
      </c>
      <c r="E464">
        <v>4</v>
      </c>
      <c r="F464" t="s">
        <v>1450</v>
      </c>
    </row>
    <row r="465" spans="1:6" x14ac:dyDescent="0.35">
      <c r="A465">
        <v>20260201</v>
      </c>
      <c r="B465" t="s">
        <v>1205</v>
      </c>
      <c r="C465" t="s">
        <v>1469</v>
      </c>
      <c r="D465">
        <v>3</v>
      </c>
      <c r="E465">
        <v>0</v>
      </c>
      <c r="F465" t="s">
        <v>1450</v>
      </c>
    </row>
    <row r="466" spans="1:6" x14ac:dyDescent="0.35">
      <c r="A466">
        <v>20260201</v>
      </c>
      <c r="B466" t="s">
        <v>1205</v>
      </c>
      <c r="C466" t="s">
        <v>1470</v>
      </c>
      <c r="D466">
        <v>1.5</v>
      </c>
      <c r="E466">
        <v>0</v>
      </c>
      <c r="F466" t="s">
        <v>1450</v>
      </c>
    </row>
    <row r="467" spans="1:6" x14ac:dyDescent="0.35">
      <c r="A467">
        <v>20260201</v>
      </c>
      <c r="B467" t="s">
        <v>1164</v>
      </c>
      <c r="C467" t="s">
        <v>1466</v>
      </c>
      <c r="D467">
        <v>6</v>
      </c>
      <c r="E467">
        <v>6</v>
      </c>
      <c r="F467" t="s">
        <v>1450</v>
      </c>
    </row>
    <row r="468" spans="1:6" x14ac:dyDescent="0.35">
      <c r="A468">
        <v>20260201</v>
      </c>
      <c r="B468" t="s">
        <v>1164</v>
      </c>
      <c r="C468" t="s">
        <v>1467</v>
      </c>
      <c r="D468">
        <v>9</v>
      </c>
      <c r="E468">
        <v>8.5</v>
      </c>
      <c r="F468" t="s">
        <v>1450</v>
      </c>
    </row>
    <row r="469" spans="1:6" x14ac:dyDescent="0.35">
      <c r="A469">
        <v>20260201</v>
      </c>
      <c r="B469" t="s">
        <v>1164</v>
      </c>
      <c r="C469" t="s">
        <v>1468</v>
      </c>
      <c r="D469">
        <v>5</v>
      </c>
      <c r="E469">
        <v>4</v>
      </c>
      <c r="F469" t="s">
        <v>1450</v>
      </c>
    </row>
    <row r="470" spans="1:6" x14ac:dyDescent="0.35">
      <c r="A470">
        <v>20260201</v>
      </c>
      <c r="B470" t="s">
        <v>1164</v>
      </c>
      <c r="C470" t="s">
        <v>1469</v>
      </c>
      <c r="D470">
        <v>3</v>
      </c>
      <c r="E470">
        <v>0</v>
      </c>
      <c r="F470" t="s">
        <v>1450</v>
      </c>
    </row>
    <row r="471" spans="1:6" x14ac:dyDescent="0.35">
      <c r="A471">
        <v>20260201</v>
      </c>
      <c r="B471" t="s">
        <v>1164</v>
      </c>
      <c r="C471" t="s">
        <v>1470</v>
      </c>
      <c r="D471">
        <v>1.5</v>
      </c>
      <c r="E471">
        <v>0</v>
      </c>
      <c r="F471" t="s">
        <v>1450</v>
      </c>
    </row>
    <row r="472" spans="1:6" x14ac:dyDescent="0.35">
      <c r="A472">
        <v>20260201</v>
      </c>
      <c r="B472" t="s">
        <v>1169</v>
      </c>
      <c r="C472" t="s">
        <v>1466</v>
      </c>
      <c r="D472">
        <v>6</v>
      </c>
      <c r="E472">
        <v>6</v>
      </c>
      <c r="F472" t="s">
        <v>1450</v>
      </c>
    </row>
    <row r="473" spans="1:6" x14ac:dyDescent="0.35">
      <c r="A473">
        <v>20260201</v>
      </c>
      <c r="B473" t="s">
        <v>1169</v>
      </c>
      <c r="C473" t="s">
        <v>1467</v>
      </c>
      <c r="D473">
        <v>9</v>
      </c>
      <c r="E473">
        <v>8.5</v>
      </c>
      <c r="F473" t="s">
        <v>1450</v>
      </c>
    </row>
    <row r="474" spans="1:6" x14ac:dyDescent="0.35">
      <c r="A474">
        <v>20260201</v>
      </c>
      <c r="B474" t="s">
        <v>1169</v>
      </c>
      <c r="C474" t="s">
        <v>1468</v>
      </c>
      <c r="D474">
        <v>5</v>
      </c>
      <c r="E474">
        <v>4</v>
      </c>
      <c r="F474" t="s">
        <v>1450</v>
      </c>
    </row>
    <row r="475" spans="1:6" x14ac:dyDescent="0.35">
      <c r="A475">
        <v>20260201</v>
      </c>
      <c r="B475" t="s">
        <v>1169</v>
      </c>
      <c r="C475" t="s">
        <v>1469</v>
      </c>
      <c r="D475">
        <v>3</v>
      </c>
      <c r="E475">
        <v>0</v>
      </c>
      <c r="F475" t="s">
        <v>1450</v>
      </c>
    </row>
    <row r="476" spans="1:6" x14ac:dyDescent="0.35">
      <c r="A476">
        <v>20260201</v>
      </c>
      <c r="B476" t="s">
        <v>1169</v>
      </c>
      <c r="C476" t="s">
        <v>1470</v>
      </c>
      <c r="D476">
        <v>1.5</v>
      </c>
      <c r="E476">
        <v>0</v>
      </c>
      <c r="F476" t="s">
        <v>1450</v>
      </c>
    </row>
    <row r="477" spans="1:6" x14ac:dyDescent="0.35">
      <c r="A477">
        <v>20260201</v>
      </c>
      <c r="B477" t="s">
        <v>1175</v>
      </c>
      <c r="C477" t="s">
        <v>1466</v>
      </c>
      <c r="D477">
        <v>6</v>
      </c>
      <c r="E477">
        <v>6</v>
      </c>
      <c r="F477" t="s">
        <v>1450</v>
      </c>
    </row>
    <row r="478" spans="1:6" x14ac:dyDescent="0.35">
      <c r="A478">
        <v>20260201</v>
      </c>
      <c r="B478" t="s">
        <v>1175</v>
      </c>
      <c r="C478" t="s">
        <v>1467</v>
      </c>
      <c r="D478">
        <v>9</v>
      </c>
      <c r="E478">
        <v>8.5</v>
      </c>
      <c r="F478" t="s">
        <v>1450</v>
      </c>
    </row>
    <row r="479" spans="1:6" x14ac:dyDescent="0.35">
      <c r="A479">
        <v>20260201</v>
      </c>
      <c r="B479" t="s">
        <v>1175</v>
      </c>
      <c r="C479" t="s">
        <v>1468</v>
      </c>
      <c r="D479">
        <v>5</v>
      </c>
      <c r="E479">
        <v>4</v>
      </c>
      <c r="F479" t="s">
        <v>1450</v>
      </c>
    </row>
    <row r="480" spans="1:6" x14ac:dyDescent="0.35">
      <c r="A480">
        <v>20260201</v>
      </c>
      <c r="B480" t="s">
        <v>1175</v>
      </c>
      <c r="C480" t="s">
        <v>1469</v>
      </c>
      <c r="D480">
        <v>3</v>
      </c>
      <c r="E480">
        <v>0</v>
      </c>
      <c r="F480" t="s">
        <v>1450</v>
      </c>
    </row>
    <row r="481" spans="1:6" x14ac:dyDescent="0.35">
      <c r="A481">
        <v>20260201</v>
      </c>
      <c r="B481" t="s">
        <v>1175</v>
      </c>
      <c r="C481" t="s">
        <v>1470</v>
      </c>
      <c r="D481">
        <v>1.5</v>
      </c>
      <c r="E481">
        <v>0</v>
      </c>
      <c r="F481" t="s">
        <v>1450</v>
      </c>
    </row>
    <row r="482" spans="1:6" x14ac:dyDescent="0.35">
      <c r="A482">
        <v>20260201</v>
      </c>
      <c r="B482" t="s">
        <v>1130</v>
      </c>
      <c r="C482" t="s">
        <v>1466</v>
      </c>
      <c r="D482">
        <v>6</v>
      </c>
      <c r="E482">
        <v>6</v>
      </c>
      <c r="F482" t="s">
        <v>1450</v>
      </c>
    </row>
    <row r="483" spans="1:6" x14ac:dyDescent="0.35">
      <c r="A483">
        <v>20260201</v>
      </c>
      <c r="B483" t="s">
        <v>1130</v>
      </c>
      <c r="C483" t="s">
        <v>1467</v>
      </c>
      <c r="D483">
        <v>9</v>
      </c>
      <c r="E483">
        <v>8.5</v>
      </c>
      <c r="F483" t="s">
        <v>1450</v>
      </c>
    </row>
    <row r="484" spans="1:6" x14ac:dyDescent="0.35">
      <c r="A484">
        <v>20260201</v>
      </c>
      <c r="B484" t="s">
        <v>1130</v>
      </c>
      <c r="C484" t="s">
        <v>1468</v>
      </c>
      <c r="D484">
        <v>5</v>
      </c>
      <c r="E484">
        <v>4</v>
      </c>
      <c r="F484" t="s">
        <v>1450</v>
      </c>
    </row>
    <row r="485" spans="1:6" x14ac:dyDescent="0.35">
      <c r="A485">
        <v>20260201</v>
      </c>
      <c r="B485" t="s">
        <v>1130</v>
      </c>
      <c r="C485" t="s">
        <v>1469</v>
      </c>
      <c r="D485">
        <v>3</v>
      </c>
      <c r="E485">
        <v>0</v>
      </c>
      <c r="F485" t="s">
        <v>1450</v>
      </c>
    </row>
    <row r="486" spans="1:6" x14ac:dyDescent="0.35">
      <c r="A486">
        <v>20260201</v>
      </c>
      <c r="B486" t="s">
        <v>1130</v>
      </c>
      <c r="C486" t="s">
        <v>1470</v>
      </c>
      <c r="D486">
        <v>1.5</v>
      </c>
      <c r="E486">
        <v>0</v>
      </c>
      <c r="F486" t="s">
        <v>1450</v>
      </c>
    </row>
    <row r="487" spans="1:6" x14ac:dyDescent="0.35">
      <c r="A487">
        <v>20260201</v>
      </c>
      <c r="B487" t="s">
        <v>1173</v>
      </c>
      <c r="C487" t="s">
        <v>1466</v>
      </c>
      <c r="D487">
        <v>6</v>
      </c>
      <c r="E487">
        <v>6</v>
      </c>
      <c r="F487" t="s">
        <v>1450</v>
      </c>
    </row>
    <row r="488" spans="1:6" x14ac:dyDescent="0.35">
      <c r="A488">
        <v>20260201</v>
      </c>
      <c r="B488" t="s">
        <v>1173</v>
      </c>
      <c r="C488" t="s">
        <v>1467</v>
      </c>
      <c r="D488">
        <v>9</v>
      </c>
      <c r="E488">
        <v>8.5</v>
      </c>
      <c r="F488" t="s">
        <v>1450</v>
      </c>
    </row>
    <row r="489" spans="1:6" x14ac:dyDescent="0.35">
      <c r="A489">
        <v>20260201</v>
      </c>
      <c r="B489" t="s">
        <v>1173</v>
      </c>
      <c r="C489" t="s">
        <v>1468</v>
      </c>
      <c r="D489">
        <v>5</v>
      </c>
      <c r="E489">
        <v>4</v>
      </c>
      <c r="F489" t="s">
        <v>1450</v>
      </c>
    </row>
    <row r="490" spans="1:6" x14ac:dyDescent="0.35">
      <c r="A490">
        <v>20260201</v>
      </c>
      <c r="B490" t="s">
        <v>1173</v>
      </c>
      <c r="C490" t="s">
        <v>1469</v>
      </c>
      <c r="D490">
        <v>3</v>
      </c>
      <c r="E490">
        <v>0</v>
      </c>
      <c r="F490" t="s">
        <v>1450</v>
      </c>
    </row>
    <row r="491" spans="1:6" x14ac:dyDescent="0.35">
      <c r="A491">
        <v>20260201</v>
      </c>
      <c r="B491" t="s">
        <v>1173</v>
      </c>
      <c r="C491" t="s">
        <v>1470</v>
      </c>
      <c r="D491">
        <v>1.5</v>
      </c>
      <c r="E491">
        <v>0</v>
      </c>
      <c r="F491" t="s">
        <v>1450</v>
      </c>
    </row>
    <row r="492" spans="1:6" x14ac:dyDescent="0.35">
      <c r="A492">
        <v>20260201</v>
      </c>
      <c r="B492" t="s">
        <v>1155</v>
      </c>
      <c r="C492" t="s">
        <v>1466</v>
      </c>
      <c r="D492">
        <v>6</v>
      </c>
      <c r="E492">
        <v>6</v>
      </c>
      <c r="F492" t="s">
        <v>1450</v>
      </c>
    </row>
    <row r="493" spans="1:6" x14ac:dyDescent="0.35">
      <c r="A493">
        <v>20260201</v>
      </c>
      <c r="B493" t="s">
        <v>1155</v>
      </c>
      <c r="C493" t="s">
        <v>1467</v>
      </c>
      <c r="D493">
        <v>9</v>
      </c>
      <c r="E493">
        <v>8.5</v>
      </c>
      <c r="F493" t="s">
        <v>1450</v>
      </c>
    </row>
    <row r="494" spans="1:6" x14ac:dyDescent="0.35">
      <c r="A494">
        <v>20260201</v>
      </c>
      <c r="B494" t="s">
        <v>1155</v>
      </c>
      <c r="C494" t="s">
        <v>1468</v>
      </c>
      <c r="D494">
        <v>5</v>
      </c>
      <c r="E494">
        <v>4</v>
      </c>
      <c r="F494" t="s">
        <v>1450</v>
      </c>
    </row>
    <row r="495" spans="1:6" x14ac:dyDescent="0.35">
      <c r="A495">
        <v>20260201</v>
      </c>
      <c r="B495" t="s">
        <v>1155</v>
      </c>
      <c r="C495" t="s">
        <v>1469</v>
      </c>
      <c r="D495">
        <v>3</v>
      </c>
      <c r="E495">
        <v>0</v>
      </c>
      <c r="F495" t="s">
        <v>1450</v>
      </c>
    </row>
    <row r="496" spans="1:6" x14ac:dyDescent="0.35">
      <c r="A496">
        <v>20260201</v>
      </c>
      <c r="B496" t="s">
        <v>1155</v>
      </c>
      <c r="C496" t="s">
        <v>1470</v>
      </c>
      <c r="D496">
        <v>1.5</v>
      </c>
      <c r="E496">
        <v>0</v>
      </c>
      <c r="F496" t="s">
        <v>1450</v>
      </c>
    </row>
    <row r="497" spans="1:6" x14ac:dyDescent="0.35">
      <c r="A497">
        <v>20260201</v>
      </c>
      <c r="B497" t="s">
        <v>1138</v>
      </c>
      <c r="C497" t="s">
        <v>1466</v>
      </c>
      <c r="D497">
        <v>6</v>
      </c>
      <c r="E497">
        <v>6</v>
      </c>
      <c r="F497" t="s">
        <v>1450</v>
      </c>
    </row>
    <row r="498" spans="1:6" x14ac:dyDescent="0.35">
      <c r="A498">
        <v>20260201</v>
      </c>
      <c r="B498" t="s">
        <v>1138</v>
      </c>
      <c r="C498" t="s">
        <v>1467</v>
      </c>
      <c r="D498">
        <v>9</v>
      </c>
      <c r="E498">
        <v>8.5</v>
      </c>
      <c r="F498" t="s">
        <v>1450</v>
      </c>
    </row>
    <row r="499" spans="1:6" x14ac:dyDescent="0.35">
      <c r="A499">
        <v>20260201</v>
      </c>
      <c r="B499" t="s">
        <v>1138</v>
      </c>
      <c r="C499" t="s">
        <v>1468</v>
      </c>
      <c r="D499">
        <v>5</v>
      </c>
      <c r="E499">
        <v>4</v>
      </c>
      <c r="F499" t="s">
        <v>1450</v>
      </c>
    </row>
    <row r="500" spans="1:6" x14ac:dyDescent="0.35">
      <c r="A500">
        <v>20260201</v>
      </c>
      <c r="B500" t="s">
        <v>1138</v>
      </c>
      <c r="C500" t="s">
        <v>1469</v>
      </c>
      <c r="D500">
        <v>3</v>
      </c>
      <c r="E500">
        <v>0</v>
      </c>
      <c r="F500" t="s">
        <v>1450</v>
      </c>
    </row>
    <row r="501" spans="1:6" x14ac:dyDescent="0.35">
      <c r="A501">
        <v>20260201</v>
      </c>
      <c r="B501" t="s">
        <v>1138</v>
      </c>
      <c r="C501" t="s">
        <v>1470</v>
      </c>
      <c r="D501">
        <v>1.5</v>
      </c>
      <c r="E501">
        <v>0</v>
      </c>
      <c r="F501" t="s">
        <v>1450</v>
      </c>
    </row>
    <row r="502" spans="1:6" x14ac:dyDescent="0.35">
      <c r="A502">
        <v>20260301</v>
      </c>
      <c r="B502" t="s">
        <v>1150</v>
      </c>
      <c r="C502" t="s">
        <v>1466</v>
      </c>
      <c r="D502">
        <v>6</v>
      </c>
      <c r="E502">
        <v>6</v>
      </c>
      <c r="F502" t="s">
        <v>1450</v>
      </c>
    </row>
    <row r="503" spans="1:6" x14ac:dyDescent="0.35">
      <c r="A503">
        <v>20260301</v>
      </c>
      <c r="B503" t="s">
        <v>1150</v>
      </c>
      <c r="C503" t="s">
        <v>1467</v>
      </c>
      <c r="D503">
        <v>9</v>
      </c>
      <c r="E503">
        <v>8.5</v>
      </c>
      <c r="F503" t="s">
        <v>1450</v>
      </c>
    </row>
    <row r="504" spans="1:6" x14ac:dyDescent="0.35">
      <c r="A504">
        <v>20260301</v>
      </c>
      <c r="B504" t="s">
        <v>1150</v>
      </c>
      <c r="C504" t="s">
        <v>1468</v>
      </c>
      <c r="D504">
        <v>5</v>
      </c>
      <c r="E504">
        <v>4</v>
      </c>
      <c r="F504" t="s">
        <v>1450</v>
      </c>
    </row>
    <row r="505" spans="1:6" x14ac:dyDescent="0.35">
      <c r="A505">
        <v>20260301</v>
      </c>
      <c r="B505" t="s">
        <v>1150</v>
      </c>
      <c r="C505" t="s">
        <v>1469</v>
      </c>
      <c r="D505">
        <v>3</v>
      </c>
      <c r="E505">
        <v>0</v>
      </c>
      <c r="F505" t="s">
        <v>1450</v>
      </c>
    </row>
    <row r="506" spans="1:6" x14ac:dyDescent="0.35">
      <c r="A506">
        <v>20260301</v>
      </c>
      <c r="B506" t="s">
        <v>1150</v>
      </c>
      <c r="C506" t="s">
        <v>1470</v>
      </c>
      <c r="D506">
        <v>1.5</v>
      </c>
      <c r="E506">
        <v>0</v>
      </c>
      <c r="F506" t="s">
        <v>1450</v>
      </c>
    </row>
    <row r="507" spans="1:6" x14ac:dyDescent="0.35">
      <c r="A507">
        <v>20260301</v>
      </c>
      <c r="B507" t="s">
        <v>1158</v>
      </c>
      <c r="C507" t="s">
        <v>1466</v>
      </c>
      <c r="D507">
        <v>6</v>
      </c>
      <c r="E507">
        <v>6</v>
      </c>
      <c r="F507" t="s">
        <v>1450</v>
      </c>
    </row>
    <row r="508" spans="1:6" x14ac:dyDescent="0.35">
      <c r="A508">
        <v>20260301</v>
      </c>
      <c r="B508" t="s">
        <v>1158</v>
      </c>
      <c r="C508" t="s">
        <v>1467</v>
      </c>
      <c r="D508">
        <v>9</v>
      </c>
      <c r="E508">
        <v>8.5</v>
      </c>
      <c r="F508" t="s">
        <v>1450</v>
      </c>
    </row>
    <row r="509" spans="1:6" x14ac:dyDescent="0.35">
      <c r="A509">
        <v>20260301</v>
      </c>
      <c r="B509" t="s">
        <v>1158</v>
      </c>
      <c r="C509" t="s">
        <v>1468</v>
      </c>
      <c r="D509">
        <v>5</v>
      </c>
      <c r="E509">
        <v>4</v>
      </c>
      <c r="F509" t="s">
        <v>1450</v>
      </c>
    </row>
    <row r="510" spans="1:6" x14ac:dyDescent="0.35">
      <c r="A510">
        <v>20260301</v>
      </c>
      <c r="B510" t="s">
        <v>1158</v>
      </c>
      <c r="C510" t="s">
        <v>1469</v>
      </c>
      <c r="D510">
        <v>3</v>
      </c>
      <c r="E510">
        <v>0</v>
      </c>
      <c r="F510" t="s">
        <v>1450</v>
      </c>
    </row>
    <row r="511" spans="1:6" x14ac:dyDescent="0.35">
      <c r="A511">
        <v>20260301</v>
      </c>
      <c r="B511" t="s">
        <v>1158</v>
      </c>
      <c r="C511" t="s">
        <v>1470</v>
      </c>
      <c r="D511">
        <v>1.5</v>
      </c>
      <c r="E511">
        <v>0</v>
      </c>
      <c r="F511" t="s">
        <v>1450</v>
      </c>
    </row>
    <row r="512" spans="1:6" x14ac:dyDescent="0.35">
      <c r="A512">
        <v>20260301</v>
      </c>
      <c r="B512" t="s">
        <v>1205</v>
      </c>
      <c r="C512" t="s">
        <v>1466</v>
      </c>
      <c r="D512">
        <v>6</v>
      </c>
      <c r="E512">
        <v>6</v>
      </c>
      <c r="F512" t="s">
        <v>1450</v>
      </c>
    </row>
    <row r="513" spans="1:6" x14ac:dyDescent="0.35">
      <c r="A513">
        <v>20260301</v>
      </c>
      <c r="B513" t="s">
        <v>1205</v>
      </c>
      <c r="C513" t="s">
        <v>1467</v>
      </c>
      <c r="D513">
        <v>9</v>
      </c>
      <c r="E513">
        <v>8.5</v>
      </c>
      <c r="F513" t="s">
        <v>1450</v>
      </c>
    </row>
    <row r="514" spans="1:6" x14ac:dyDescent="0.35">
      <c r="A514">
        <v>20260301</v>
      </c>
      <c r="B514" t="s">
        <v>1205</v>
      </c>
      <c r="C514" t="s">
        <v>1468</v>
      </c>
      <c r="D514">
        <v>5</v>
      </c>
      <c r="E514">
        <v>4</v>
      </c>
      <c r="F514" t="s">
        <v>1450</v>
      </c>
    </row>
    <row r="515" spans="1:6" x14ac:dyDescent="0.35">
      <c r="A515">
        <v>20260301</v>
      </c>
      <c r="B515" t="s">
        <v>1205</v>
      </c>
      <c r="C515" t="s">
        <v>1469</v>
      </c>
      <c r="D515">
        <v>3</v>
      </c>
      <c r="E515">
        <v>0</v>
      </c>
      <c r="F515" t="s">
        <v>1450</v>
      </c>
    </row>
    <row r="516" spans="1:6" x14ac:dyDescent="0.35">
      <c r="A516">
        <v>20260301</v>
      </c>
      <c r="B516" t="s">
        <v>1205</v>
      </c>
      <c r="C516" t="s">
        <v>1470</v>
      </c>
      <c r="D516">
        <v>1.5</v>
      </c>
      <c r="E516">
        <v>0</v>
      </c>
      <c r="F516" t="s">
        <v>1450</v>
      </c>
    </row>
    <row r="517" spans="1:6" x14ac:dyDescent="0.35">
      <c r="A517">
        <v>20260301</v>
      </c>
      <c r="B517" t="s">
        <v>1164</v>
      </c>
      <c r="C517" t="s">
        <v>1466</v>
      </c>
      <c r="D517">
        <v>6</v>
      </c>
      <c r="E517">
        <v>6</v>
      </c>
      <c r="F517" t="s">
        <v>1450</v>
      </c>
    </row>
    <row r="518" spans="1:6" x14ac:dyDescent="0.35">
      <c r="A518">
        <v>20260301</v>
      </c>
      <c r="B518" t="s">
        <v>1164</v>
      </c>
      <c r="C518" t="s">
        <v>1467</v>
      </c>
      <c r="D518">
        <v>9</v>
      </c>
      <c r="E518">
        <v>8.5</v>
      </c>
      <c r="F518" t="s">
        <v>1450</v>
      </c>
    </row>
    <row r="519" spans="1:6" x14ac:dyDescent="0.35">
      <c r="A519">
        <v>20260301</v>
      </c>
      <c r="B519" t="s">
        <v>1164</v>
      </c>
      <c r="C519" t="s">
        <v>1468</v>
      </c>
      <c r="D519">
        <v>5</v>
      </c>
      <c r="E519">
        <v>4</v>
      </c>
      <c r="F519" t="s">
        <v>1450</v>
      </c>
    </row>
    <row r="520" spans="1:6" x14ac:dyDescent="0.35">
      <c r="A520">
        <v>20260301</v>
      </c>
      <c r="B520" t="s">
        <v>1164</v>
      </c>
      <c r="C520" t="s">
        <v>1469</v>
      </c>
      <c r="D520">
        <v>3</v>
      </c>
      <c r="E520">
        <v>0</v>
      </c>
      <c r="F520" t="s">
        <v>1450</v>
      </c>
    </row>
    <row r="521" spans="1:6" x14ac:dyDescent="0.35">
      <c r="A521">
        <v>20260301</v>
      </c>
      <c r="B521" t="s">
        <v>1164</v>
      </c>
      <c r="C521" t="s">
        <v>1470</v>
      </c>
      <c r="D521">
        <v>1.5</v>
      </c>
      <c r="E521">
        <v>0</v>
      </c>
      <c r="F521" t="s">
        <v>1450</v>
      </c>
    </row>
    <row r="522" spans="1:6" x14ac:dyDescent="0.35">
      <c r="A522">
        <v>20260301</v>
      </c>
      <c r="B522" t="s">
        <v>1169</v>
      </c>
      <c r="C522" t="s">
        <v>1466</v>
      </c>
      <c r="D522">
        <v>6</v>
      </c>
      <c r="E522">
        <v>6</v>
      </c>
      <c r="F522" t="s">
        <v>1450</v>
      </c>
    </row>
    <row r="523" spans="1:6" x14ac:dyDescent="0.35">
      <c r="A523">
        <v>20260301</v>
      </c>
      <c r="B523" t="s">
        <v>1169</v>
      </c>
      <c r="C523" t="s">
        <v>1467</v>
      </c>
      <c r="D523">
        <v>9</v>
      </c>
      <c r="E523">
        <v>8.5</v>
      </c>
      <c r="F523" t="s">
        <v>1450</v>
      </c>
    </row>
    <row r="524" spans="1:6" x14ac:dyDescent="0.35">
      <c r="A524">
        <v>20260301</v>
      </c>
      <c r="B524" t="s">
        <v>1169</v>
      </c>
      <c r="C524" t="s">
        <v>1468</v>
      </c>
      <c r="D524">
        <v>5</v>
      </c>
      <c r="E524">
        <v>4</v>
      </c>
      <c r="F524" t="s">
        <v>1450</v>
      </c>
    </row>
    <row r="525" spans="1:6" x14ac:dyDescent="0.35">
      <c r="A525">
        <v>20260301</v>
      </c>
      <c r="B525" t="s">
        <v>1169</v>
      </c>
      <c r="C525" t="s">
        <v>1469</v>
      </c>
      <c r="D525">
        <v>3</v>
      </c>
      <c r="E525">
        <v>0</v>
      </c>
      <c r="F525" t="s">
        <v>1450</v>
      </c>
    </row>
    <row r="526" spans="1:6" x14ac:dyDescent="0.35">
      <c r="A526">
        <v>20260301</v>
      </c>
      <c r="B526" t="s">
        <v>1169</v>
      </c>
      <c r="C526" t="s">
        <v>1470</v>
      </c>
      <c r="D526">
        <v>1.5</v>
      </c>
      <c r="E526">
        <v>0</v>
      </c>
      <c r="F526" t="s">
        <v>1450</v>
      </c>
    </row>
    <row r="527" spans="1:6" x14ac:dyDescent="0.35">
      <c r="A527">
        <v>20260301</v>
      </c>
      <c r="B527" t="s">
        <v>1175</v>
      </c>
      <c r="C527" t="s">
        <v>1466</v>
      </c>
      <c r="D527">
        <v>6</v>
      </c>
      <c r="E527">
        <v>6</v>
      </c>
      <c r="F527" t="s">
        <v>1450</v>
      </c>
    </row>
    <row r="528" spans="1:6" x14ac:dyDescent="0.35">
      <c r="A528">
        <v>20260301</v>
      </c>
      <c r="B528" t="s">
        <v>1175</v>
      </c>
      <c r="C528" t="s">
        <v>1467</v>
      </c>
      <c r="D528">
        <v>9</v>
      </c>
      <c r="E528">
        <v>8.5</v>
      </c>
      <c r="F528" t="s">
        <v>1450</v>
      </c>
    </row>
    <row r="529" spans="1:6" x14ac:dyDescent="0.35">
      <c r="A529">
        <v>20260301</v>
      </c>
      <c r="B529" t="s">
        <v>1175</v>
      </c>
      <c r="C529" t="s">
        <v>1468</v>
      </c>
      <c r="D529">
        <v>5</v>
      </c>
      <c r="E529">
        <v>4</v>
      </c>
      <c r="F529" t="s">
        <v>1450</v>
      </c>
    </row>
    <row r="530" spans="1:6" x14ac:dyDescent="0.35">
      <c r="A530">
        <v>20260301</v>
      </c>
      <c r="B530" t="s">
        <v>1175</v>
      </c>
      <c r="C530" t="s">
        <v>1469</v>
      </c>
      <c r="D530">
        <v>3</v>
      </c>
      <c r="E530">
        <v>0</v>
      </c>
      <c r="F530" t="s">
        <v>1450</v>
      </c>
    </row>
    <row r="531" spans="1:6" x14ac:dyDescent="0.35">
      <c r="A531">
        <v>20260301</v>
      </c>
      <c r="B531" t="s">
        <v>1175</v>
      </c>
      <c r="C531" t="s">
        <v>1470</v>
      </c>
      <c r="D531">
        <v>1.5</v>
      </c>
      <c r="E531">
        <v>0</v>
      </c>
      <c r="F531" t="s">
        <v>1450</v>
      </c>
    </row>
    <row r="532" spans="1:6" x14ac:dyDescent="0.35">
      <c r="A532">
        <v>20260301</v>
      </c>
      <c r="B532" t="s">
        <v>1130</v>
      </c>
      <c r="C532" t="s">
        <v>1466</v>
      </c>
      <c r="D532">
        <v>6</v>
      </c>
      <c r="E532">
        <v>6</v>
      </c>
      <c r="F532" t="s">
        <v>1450</v>
      </c>
    </row>
    <row r="533" spans="1:6" x14ac:dyDescent="0.35">
      <c r="A533">
        <v>20260301</v>
      </c>
      <c r="B533" t="s">
        <v>1130</v>
      </c>
      <c r="C533" t="s">
        <v>1467</v>
      </c>
      <c r="D533">
        <v>9</v>
      </c>
      <c r="E533">
        <v>8.5</v>
      </c>
      <c r="F533" t="s">
        <v>1450</v>
      </c>
    </row>
    <row r="534" spans="1:6" x14ac:dyDescent="0.35">
      <c r="A534">
        <v>20260301</v>
      </c>
      <c r="B534" t="s">
        <v>1130</v>
      </c>
      <c r="C534" t="s">
        <v>1468</v>
      </c>
      <c r="D534">
        <v>5</v>
      </c>
      <c r="E534">
        <v>4</v>
      </c>
      <c r="F534" t="s">
        <v>1450</v>
      </c>
    </row>
    <row r="535" spans="1:6" x14ac:dyDescent="0.35">
      <c r="A535">
        <v>20260301</v>
      </c>
      <c r="B535" t="s">
        <v>1130</v>
      </c>
      <c r="C535" t="s">
        <v>1469</v>
      </c>
      <c r="D535">
        <v>3</v>
      </c>
      <c r="E535">
        <v>0</v>
      </c>
      <c r="F535" t="s">
        <v>1450</v>
      </c>
    </row>
    <row r="536" spans="1:6" x14ac:dyDescent="0.35">
      <c r="A536">
        <v>20260301</v>
      </c>
      <c r="B536" t="s">
        <v>1130</v>
      </c>
      <c r="C536" t="s">
        <v>1470</v>
      </c>
      <c r="D536">
        <v>1.5</v>
      </c>
      <c r="E536">
        <v>0</v>
      </c>
      <c r="F536" t="s">
        <v>1450</v>
      </c>
    </row>
    <row r="537" spans="1:6" x14ac:dyDescent="0.35">
      <c r="A537">
        <v>20260301</v>
      </c>
      <c r="B537" t="s">
        <v>1173</v>
      </c>
      <c r="C537" t="s">
        <v>1466</v>
      </c>
      <c r="D537">
        <v>6</v>
      </c>
      <c r="E537">
        <v>6</v>
      </c>
      <c r="F537" t="s">
        <v>1450</v>
      </c>
    </row>
    <row r="538" spans="1:6" x14ac:dyDescent="0.35">
      <c r="A538">
        <v>20260301</v>
      </c>
      <c r="B538" t="s">
        <v>1173</v>
      </c>
      <c r="C538" t="s">
        <v>1467</v>
      </c>
      <c r="D538">
        <v>9</v>
      </c>
      <c r="E538">
        <v>8.5</v>
      </c>
      <c r="F538" t="s">
        <v>1450</v>
      </c>
    </row>
    <row r="539" spans="1:6" x14ac:dyDescent="0.35">
      <c r="A539">
        <v>20260301</v>
      </c>
      <c r="B539" t="s">
        <v>1173</v>
      </c>
      <c r="C539" t="s">
        <v>1468</v>
      </c>
      <c r="D539">
        <v>5</v>
      </c>
      <c r="E539">
        <v>4</v>
      </c>
      <c r="F539" t="s">
        <v>1450</v>
      </c>
    </row>
    <row r="540" spans="1:6" x14ac:dyDescent="0.35">
      <c r="A540">
        <v>20260301</v>
      </c>
      <c r="B540" t="s">
        <v>1173</v>
      </c>
      <c r="C540" t="s">
        <v>1469</v>
      </c>
      <c r="D540">
        <v>3</v>
      </c>
      <c r="E540">
        <v>0</v>
      </c>
      <c r="F540" t="s">
        <v>1450</v>
      </c>
    </row>
    <row r="541" spans="1:6" x14ac:dyDescent="0.35">
      <c r="A541">
        <v>20260301</v>
      </c>
      <c r="B541" t="s">
        <v>1173</v>
      </c>
      <c r="C541" t="s">
        <v>1470</v>
      </c>
      <c r="D541">
        <v>1.5</v>
      </c>
      <c r="E541">
        <v>0</v>
      </c>
      <c r="F541" t="s">
        <v>1450</v>
      </c>
    </row>
    <row r="542" spans="1:6" x14ac:dyDescent="0.35">
      <c r="A542">
        <v>20260301</v>
      </c>
      <c r="B542" t="s">
        <v>1155</v>
      </c>
      <c r="C542" t="s">
        <v>1466</v>
      </c>
      <c r="D542">
        <v>6</v>
      </c>
      <c r="E542">
        <v>6</v>
      </c>
      <c r="F542" t="s">
        <v>1450</v>
      </c>
    </row>
    <row r="543" spans="1:6" x14ac:dyDescent="0.35">
      <c r="A543">
        <v>20260301</v>
      </c>
      <c r="B543" t="s">
        <v>1155</v>
      </c>
      <c r="C543" t="s">
        <v>1467</v>
      </c>
      <c r="D543">
        <v>9</v>
      </c>
      <c r="E543">
        <v>8.5</v>
      </c>
      <c r="F543" t="s">
        <v>1450</v>
      </c>
    </row>
    <row r="544" spans="1:6" x14ac:dyDescent="0.35">
      <c r="A544">
        <v>20260301</v>
      </c>
      <c r="B544" t="s">
        <v>1155</v>
      </c>
      <c r="C544" t="s">
        <v>1468</v>
      </c>
      <c r="D544">
        <v>5</v>
      </c>
      <c r="E544">
        <v>4</v>
      </c>
      <c r="F544" t="s">
        <v>1450</v>
      </c>
    </row>
    <row r="545" spans="1:6" x14ac:dyDescent="0.35">
      <c r="A545">
        <v>20260301</v>
      </c>
      <c r="B545" t="s">
        <v>1155</v>
      </c>
      <c r="C545" t="s">
        <v>1469</v>
      </c>
      <c r="D545">
        <v>3</v>
      </c>
      <c r="E545">
        <v>0</v>
      </c>
      <c r="F545" t="s">
        <v>1450</v>
      </c>
    </row>
    <row r="546" spans="1:6" x14ac:dyDescent="0.35">
      <c r="A546">
        <v>20260301</v>
      </c>
      <c r="B546" t="s">
        <v>1155</v>
      </c>
      <c r="C546" t="s">
        <v>1470</v>
      </c>
      <c r="D546">
        <v>1.5</v>
      </c>
      <c r="E546">
        <v>0</v>
      </c>
      <c r="F546" t="s">
        <v>1450</v>
      </c>
    </row>
    <row r="547" spans="1:6" x14ac:dyDescent="0.35">
      <c r="A547">
        <v>20260301</v>
      </c>
      <c r="B547" t="s">
        <v>1138</v>
      </c>
      <c r="C547" t="s">
        <v>1466</v>
      </c>
      <c r="D547">
        <v>6</v>
      </c>
      <c r="E547">
        <v>6</v>
      </c>
      <c r="F547" t="s">
        <v>1450</v>
      </c>
    </row>
    <row r="548" spans="1:6" x14ac:dyDescent="0.35">
      <c r="A548">
        <v>20260301</v>
      </c>
      <c r="B548" t="s">
        <v>1138</v>
      </c>
      <c r="C548" t="s">
        <v>1467</v>
      </c>
      <c r="D548">
        <v>9</v>
      </c>
      <c r="E548">
        <v>8.5</v>
      </c>
      <c r="F548" t="s">
        <v>1450</v>
      </c>
    </row>
    <row r="549" spans="1:6" x14ac:dyDescent="0.35">
      <c r="A549">
        <v>20260301</v>
      </c>
      <c r="B549" t="s">
        <v>1138</v>
      </c>
      <c r="C549" t="s">
        <v>1468</v>
      </c>
      <c r="D549">
        <v>5</v>
      </c>
      <c r="E549">
        <v>4</v>
      </c>
      <c r="F549" t="s">
        <v>1450</v>
      </c>
    </row>
    <row r="550" spans="1:6" x14ac:dyDescent="0.35">
      <c r="A550">
        <v>20260301</v>
      </c>
      <c r="B550" t="s">
        <v>1138</v>
      </c>
      <c r="C550" t="s">
        <v>1469</v>
      </c>
      <c r="D550">
        <v>3</v>
      </c>
      <c r="E550">
        <v>0</v>
      </c>
      <c r="F550" t="s">
        <v>1450</v>
      </c>
    </row>
    <row r="551" spans="1:6" x14ac:dyDescent="0.35">
      <c r="A551">
        <v>20260301</v>
      </c>
      <c r="B551" t="s">
        <v>1138</v>
      </c>
      <c r="C551" t="s">
        <v>1470</v>
      </c>
      <c r="D551">
        <v>1.5</v>
      </c>
      <c r="E551">
        <v>0</v>
      </c>
      <c r="F551" t="s">
        <v>1450</v>
      </c>
    </row>
    <row r="552" spans="1:6" x14ac:dyDescent="0.35">
      <c r="A552">
        <v>20260401</v>
      </c>
      <c r="B552" t="s">
        <v>1150</v>
      </c>
      <c r="C552" t="s">
        <v>1466</v>
      </c>
      <c r="D552">
        <v>6</v>
      </c>
      <c r="E552">
        <v>6</v>
      </c>
      <c r="F552" t="s">
        <v>1450</v>
      </c>
    </row>
    <row r="553" spans="1:6" x14ac:dyDescent="0.35">
      <c r="A553">
        <v>20260401</v>
      </c>
      <c r="B553" t="s">
        <v>1150</v>
      </c>
      <c r="C553" t="s">
        <v>1467</v>
      </c>
      <c r="D553">
        <v>9</v>
      </c>
      <c r="E553">
        <v>8.5</v>
      </c>
      <c r="F553" t="s">
        <v>1450</v>
      </c>
    </row>
    <row r="554" spans="1:6" x14ac:dyDescent="0.35">
      <c r="A554">
        <v>20260401</v>
      </c>
      <c r="B554" t="s">
        <v>1150</v>
      </c>
      <c r="C554" t="s">
        <v>1468</v>
      </c>
      <c r="D554">
        <v>5</v>
      </c>
      <c r="E554">
        <v>4</v>
      </c>
      <c r="F554" t="s">
        <v>1450</v>
      </c>
    </row>
    <row r="555" spans="1:6" x14ac:dyDescent="0.35">
      <c r="A555">
        <v>20260401</v>
      </c>
      <c r="B555" t="s">
        <v>1150</v>
      </c>
      <c r="C555" t="s">
        <v>1469</v>
      </c>
      <c r="D555">
        <v>3</v>
      </c>
      <c r="E555">
        <v>0</v>
      </c>
      <c r="F555" t="s">
        <v>1450</v>
      </c>
    </row>
    <row r="556" spans="1:6" x14ac:dyDescent="0.35">
      <c r="A556">
        <v>20260401</v>
      </c>
      <c r="B556" t="s">
        <v>1150</v>
      </c>
      <c r="C556" t="s">
        <v>1470</v>
      </c>
      <c r="D556">
        <v>1.5</v>
      </c>
      <c r="E556">
        <v>0</v>
      </c>
      <c r="F556" t="s">
        <v>1450</v>
      </c>
    </row>
    <row r="557" spans="1:6" x14ac:dyDescent="0.35">
      <c r="A557">
        <v>20260401</v>
      </c>
      <c r="B557" t="s">
        <v>1158</v>
      </c>
      <c r="C557" t="s">
        <v>1466</v>
      </c>
      <c r="D557">
        <v>6</v>
      </c>
      <c r="E557">
        <v>6</v>
      </c>
      <c r="F557" t="s">
        <v>1450</v>
      </c>
    </row>
    <row r="558" spans="1:6" x14ac:dyDescent="0.35">
      <c r="A558">
        <v>20260401</v>
      </c>
      <c r="B558" t="s">
        <v>1158</v>
      </c>
      <c r="C558" t="s">
        <v>1467</v>
      </c>
      <c r="D558">
        <v>9</v>
      </c>
      <c r="E558">
        <v>8.5</v>
      </c>
      <c r="F558" t="s">
        <v>1450</v>
      </c>
    </row>
    <row r="559" spans="1:6" x14ac:dyDescent="0.35">
      <c r="A559">
        <v>20260401</v>
      </c>
      <c r="B559" t="s">
        <v>1158</v>
      </c>
      <c r="C559" t="s">
        <v>1468</v>
      </c>
      <c r="D559">
        <v>5</v>
      </c>
      <c r="E559">
        <v>4</v>
      </c>
      <c r="F559" t="s">
        <v>1450</v>
      </c>
    </row>
    <row r="560" spans="1:6" x14ac:dyDescent="0.35">
      <c r="A560">
        <v>20260401</v>
      </c>
      <c r="B560" t="s">
        <v>1158</v>
      </c>
      <c r="C560" t="s">
        <v>1469</v>
      </c>
      <c r="D560">
        <v>3</v>
      </c>
      <c r="E560">
        <v>0</v>
      </c>
      <c r="F560" t="s">
        <v>1450</v>
      </c>
    </row>
    <row r="561" spans="1:6" x14ac:dyDescent="0.35">
      <c r="A561">
        <v>20260401</v>
      </c>
      <c r="B561" t="s">
        <v>1158</v>
      </c>
      <c r="C561" t="s">
        <v>1470</v>
      </c>
      <c r="D561">
        <v>1.5</v>
      </c>
      <c r="E561">
        <v>0</v>
      </c>
      <c r="F561" t="s">
        <v>1450</v>
      </c>
    </row>
    <row r="562" spans="1:6" x14ac:dyDescent="0.35">
      <c r="A562">
        <v>20260401</v>
      </c>
      <c r="B562" t="s">
        <v>1205</v>
      </c>
      <c r="C562" t="s">
        <v>1466</v>
      </c>
      <c r="D562">
        <v>6</v>
      </c>
      <c r="E562">
        <v>6</v>
      </c>
      <c r="F562" t="s">
        <v>1450</v>
      </c>
    </row>
    <row r="563" spans="1:6" x14ac:dyDescent="0.35">
      <c r="A563">
        <v>20260401</v>
      </c>
      <c r="B563" t="s">
        <v>1205</v>
      </c>
      <c r="C563" t="s">
        <v>1467</v>
      </c>
      <c r="D563">
        <v>9</v>
      </c>
      <c r="E563">
        <v>8.5</v>
      </c>
      <c r="F563" t="s">
        <v>1450</v>
      </c>
    </row>
    <row r="564" spans="1:6" x14ac:dyDescent="0.35">
      <c r="A564">
        <v>20260401</v>
      </c>
      <c r="B564" t="s">
        <v>1205</v>
      </c>
      <c r="C564" t="s">
        <v>1468</v>
      </c>
      <c r="D564">
        <v>5</v>
      </c>
      <c r="E564">
        <v>4</v>
      </c>
      <c r="F564" t="s">
        <v>1450</v>
      </c>
    </row>
    <row r="565" spans="1:6" x14ac:dyDescent="0.35">
      <c r="A565">
        <v>20260401</v>
      </c>
      <c r="B565" t="s">
        <v>1205</v>
      </c>
      <c r="C565" t="s">
        <v>1469</v>
      </c>
      <c r="D565">
        <v>3</v>
      </c>
      <c r="E565">
        <v>0</v>
      </c>
      <c r="F565" t="s">
        <v>1450</v>
      </c>
    </row>
    <row r="566" spans="1:6" x14ac:dyDescent="0.35">
      <c r="A566">
        <v>20260401</v>
      </c>
      <c r="B566" t="s">
        <v>1205</v>
      </c>
      <c r="C566" t="s">
        <v>1470</v>
      </c>
      <c r="D566">
        <v>1.5</v>
      </c>
      <c r="E566">
        <v>0</v>
      </c>
      <c r="F566" t="s">
        <v>1450</v>
      </c>
    </row>
    <row r="567" spans="1:6" x14ac:dyDescent="0.35">
      <c r="A567">
        <v>20260401</v>
      </c>
      <c r="B567" t="s">
        <v>1164</v>
      </c>
      <c r="C567" t="s">
        <v>1466</v>
      </c>
      <c r="D567">
        <v>6</v>
      </c>
      <c r="E567">
        <v>6</v>
      </c>
      <c r="F567" t="s">
        <v>1450</v>
      </c>
    </row>
    <row r="568" spans="1:6" x14ac:dyDescent="0.35">
      <c r="A568">
        <v>20260401</v>
      </c>
      <c r="B568" t="s">
        <v>1164</v>
      </c>
      <c r="C568" t="s">
        <v>1467</v>
      </c>
      <c r="D568">
        <v>9</v>
      </c>
      <c r="E568">
        <v>8.5</v>
      </c>
      <c r="F568" t="s">
        <v>1450</v>
      </c>
    </row>
    <row r="569" spans="1:6" x14ac:dyDescent="0.35">
      <c r="A569">
        <v>20260401</v>
      </c>
      <c r="B569" t="s">
        <v>1164</v>
      </c>
      <c r="C569" t="s">
        <v>1468</v>
      </c>
      <c r="D569">
        <v>5</v>
      </c>
      <c r="E569">
        <v>4</v>
      </c>
      <c r="F569" t="s">
        <v>1450</v>
      </c>
    </row>
    <row r="570" spans="1:6" x14ac:dyDescent="0.35">
      <c r="A570">
        <v>20260401</v>
      </c>
      <c r="B570" t="s">
        <v>1164</v>
      </c>
      <c r="C570" t="s">
        <v>1469</v>
      </c>
      <c r="D570">
        <v>3</v>
      </c>
      <c r="E570">
        <v>0</v>
      </c>
      <c r="F570" t="s">
        <v>1450</v>
      </c>
    </row>
    <row r="571" spans="1:6" x14ac:dyDescent="0.35">
      <c r="A571">
        <v>20260401</v>
      </c>
      <c r="B571" t="s">
        <v>1164</v>
      </c>
      <c r="C571" t="s">
        <v>1470</v>
      </c>
      <c r="D571">
        <v>1.5</v>
      </c>
      <c r="E571">
        <v>0</v>
      </c>
      <c r="F571" t="s">
        <v>1450</v>
      </c>
    </row>
    <row r="572" spans="1:6" x14ac:dyDescent="0.35">
      <c r="A572">
        <v>20260401</v>
      </c>
      <c r="B572" t="s">
        <v>1169</v>
      </c>
      <c r="C572" t="s">
        <v>1466</v>
      </c>
      <c r="D572">
        <v>6</v>
      </c>
      <c r="E572">
        <v>6</v>
      </c>
      <c r="F572" t="s">
        <v>1450</v>
      </c>
    </row>
    <row r="573" spans="1:6" x14ac:dyDescent="0.35">
      <c r="A573">
        <v>20260401</v>
      </c>
      <c r="B573" t="s">
        <v>1169</v>
      </c>
      <c r="C573" t="s">
        <v>1467</v>
      </c>
      <c r="D573">
        <v>9</v>
      </c>
      <c r="E573">
        <v>8.5</v>
      </c>
      <c r="F573" t="s">
        <v>1450</v>
      </c>
    </row>
    <row r="574" spans="1:6" x14ac:dyDescent="0.35">
      <c r="A574">
        <v>20260401</v>
      </c>
      <c r="B574" t="s">
        <v>1169</v>
      </c>
      <c r="C574" t="s">
        <v>1468</v>
      </c>
      <c r="D574">
        <v>5</v>
      </c>
      <c r="E574">
        <v>4</v>
      </c>
      <c r="F574" t="s">
        <v>1450</v>
      </c>
    </row>
    <row r="575" spans="1:6" x14ac:dyDescent="0.35">
      <c r="A575">
        <v>20260401</v>
      </c>
      <c r="B575" t="s">
        <v>1169</v>
      </c>
      <c r="C575" t="s">
        <v>1469</v>
      </c>
      <c r="D575">
        <v>3</v>
      </c>
      <c r="E575">
        <v>0</v>
      </c>
      <c r="F575" t="s">
        <v>1450</v>
      </c>
    </row>
    <row r="576" spans="1:6" x14ac:dyDescent="0.35">
      <c r="A576">
        <v>20260401</v>
      </c>
      <c r="B576" t="s">
        <v>1169</v>
      </c>
      <c r="C576" t="s">
        <v>1470</v>
      </c>
      <c r="D576">
        <v>1.5</v>
      </c>
      <c r="E576">
        <v>0</v>
      </c>
      <c r="F576" t="s">
        <v>1450</v>
      </c>
    </row>
    <row r="577" spans="1:6" x14ac:dyDescent="0.35">
      <c r="A577">
        <v>20260401</v>
      </c>
      <c r="B577" t="s">
        <v>1175</v>
      </c>
      <c r="C577" t="s">
        <v>1466</v>
      </c>
      <c r="D577">
        <v>6</v>
      </c>
      <c r="E577">
        <v>6</v>
      </c>
      <c r="F577" t="s">
        <v>1450</v>
      </c>
    </row>
    <row r="578" spans="1:6" x14ac:dyDescent="0.35">
      <c r="A578">
        <v>20260401</v>
      </c>
      <c r="B578" t="s">
        <v>1175</v>
      </c>
      <c r="C578" t="s">
        <v>1467</v>
      </c>
      <c r="D578">
        <v>9</v>
      </c>
      <c r="E578">
        <v>8.5</v>
      </c>
      <c r="F578" t="s">
        <v>1450</v>
      </c>
    </row>
    <row r="579" spans="1:6" x14ac:dyDescent="0.35">
      <c r="A579">
        <v>20260401</v>
      </c>
      <c r="B579" t="s">
        <v>1175</v>
      </c>
      <c r="C579" t="s">
        <v>1468</v>
      </c>
      <c r="D579">
        <v>5</v>
      </c>
      <c r="E579">
        <v>4</v>
      </c>
      <c r="F579" t="s">
        <v>1450</v>
      </c>
    </row>
    <row r="580" spans="1:6" x14ac:dyDescent="0.35">
      <c r="A580">
        <v>20260401</v>
      </c>
      <c r="B580" t="s">
        <v>1175</v>
      </c>
      <c r="C580" t="s">
        <v>1469</v>
      </c>
      <c r="D580">
        <v>3</v>
      </c>
      <c r="E580">
        <v>0</v>
      </c>
      <c r="F580" t="s">
        <v>1450</v>
      </c>
    </row>
    <row r="581" spans="1:6" x14ac:dyDescent="0.35">
      <c r="A581">
        <v>20260401</v>
      </c>
      <c r="B581" t="s">
        <v>1175</v>
      </c>
      <c r="C581" t="s">
        <v>1470</v>
      </c>
      <c r="D581">
        <v>1.5</v>
      </c>
      <c r="E581">
        <v>0</v>
      </c>
      <c r="F581" t="s">
        <v>1450</v>
      </c>
    </row>
    <row r="582" spans="1:6" x14ac:dyDescent="0.35">
      <c r="A582">
        <v>20260401</v>
      </c>
      <c r="B582" t="s">
        <v>1130</v>
      </c>
      <c r="C582" t="s">
        <v>1466</v>
      </c>
      <c r="D582">
        <v>6</v>
      </c>
      <c r="E582">
        <v>6</v>
      </c>
      <c r="F582" t="s">
        <v>1450</v>
      </c>
    </row>
    <row r="583" spans="1:6" x14ac:dyDescent="0.35">
      <c r="A583">
        <v>20260401</v>
      </c>
      <c r="B583" t="s">
        <v>1130</v>
      </c>
      <c r="C583" t="s">
        <v>1467</v>
      </c>
      <c r="D583">
        <v>9</v>
      </c>
      <c r="E583">
        <v>8.5</v>
      </c>
      <c r="F583" t="s">
        <v>1450</v>
      </c>
    </row>
    <row r="584" spans="1:6" x14ac:dyDescent="0.35">
      <c r="A584">
        <v>20260401</v>
      </c>
      <c r="B584" t="s">
        <v>1130</v>
      </c>
      <c r="C584" t="s">
        <v>1468</v>
      </c>
      <c r="D584">
        <v>5</v>
      </c>
      <c r="E584">
        <v>4</v>
      </c>
      <c r="F584" t="s">
        <v>1450</v>
      </c>
    </row>
    <row r="585" spans="1:6" x14ac:dyDescent="0.35">
      <c r="A585">
        <v>20260401</v>
      </c>
      <c r="B585" t="s">
        <v>1130</v>
      </c>
      <c r="C585" t="s">
        <v>1469</v>
      </c>
      <c r="D585">
        <v>3</v>
      </c>
      <c r="E585">
        <v>0</v>
      </c>
      <c r="F585" t="s">
        <v>1450</v>
      </c>
    </row>
    <row r="586" spans="1:6" x14ac:dyDescent="0.35">
      <c r="A586">
        <v>20260401</v>
      </c>
      <c r="B586" t="s">
        <v>1130</v>
      </c>
      <c r="C586" t="s">
        <v>1470</v>
      </c>
      <c r="D586">
        <v>1.5</v>
      </c>
      <c r="E586">
        <v>0</v>
      </c>
      <c r="F586" t="s">
        <v>1450</v>
      </c>
    </row>
    <row r="587" spans="1:6" x14ac:dyDescent="0.35">
      <c r="A587">
        <v>20260401</v>
      </c>
      <c r="B587" t="s">
        <v>1173</v>
      </c>
      <c r="C587" t="s">
        <v>1466</v>
      </c>
      <c r="D587">
        <v>6</v>
      </c>
      <c r="E587">
        <v>6</v>
      </c>
      <c r="F587" t="s">
        <v>1450</v>
      </c>
    </row>
    <row r="588" spans="1:6" x14ac:dyDescent="0.35">
      <c r="A588">
        <v>20260401</v>
      </c>
      <c r="B588" t="s">
        <v>1173</v>
      </c>
      <c r="C588" t="s">
        <v>1467</v>
      </c>
      <c r="D588">
        <v>9</v>
      </c>
      <c r="E588">
        <v>8.5</v>
      </c>
      <c r="F588" t="s">
        <v>1450</v>
      </c>
    </row>
    <row r="589" spans="1:6" x14ac:dyDescent="0.35">
      <c r="A589">
        <v>20260401</v>
      </c>
      <c r="B589" t="s">
        <v>1173</v>
      </c>
      <c r="C589" t="s">
        <v>1468</v>
      </c>
      <c r="D589">
        <v>5</v>
      </c>
      <c r="E589">
        <v>4</v>
      </c>
      <c r="F589" t="s">
        <v>1450</v>
      </c>
    </row>
    <row r="590" spans="1:6" x14ac:dyDescent="0.35">
      <c r="A590">
        <v>20260401</v>
      </c>
      <c r="B590" t="s">
        <v>1173</v>
      </c>
      <c r="C590" t="s">
        <v>1469</v>
      </c>
      <c r="D590">
        <v>3</v>
      </c>
      <c r="E590">
        <v>0</v>
      </c>
      <c r="F590" t="s">
        <v>1450</v>
      </c>
    </row>
    <row r="591" spans="1:6" x14ac:dyDescent="0.35">
      <c r="A591">
        <v>20260401</v>
      </c>
      <c r="B591" t="s">
        <v>1173</v>
      </c>
      <c r="C591" t="s">
        <v>1470</v>
      </c>
      <c r="D591">
        <v>1.5</v>
      </c>
      <c r="E591">
        <v>0</v>
      </c>
      <c r="F591" t="s">
        <v>1450</v>
      </c>
    </row>
    <row r="592" spans="1:6" x14ac:dyDescent="0.35">
      <c r="A592">
        <v>20260401</v>
      </c>
      <c r="B592" t="s">
        <v>1155</v>
      </c>
      <c r="C592" t="s">
        <v>1466</v>
      </c>
      <c r="D592">
        <v>6</v>
      </c>
      <c r="E592">
        <v>6</v>
      </c>
      <c r="F592" t="s">
        <v>1450</v>
      </c>
    </row>
    <row r="593" spans="1:6" x14ac:dyDescent="0.35">
      <c r="A593">
        <v>20260401</v>
      </c>
      <c r="B593" t="s">
        <v>1155</v>
      </c>
      <c r="C593" t="s">
        <v>1467</v>
      </c>
      <c r="D593">
        <v>9</v>
      </c>
      <c r="E593">
        <v>8.5</v>
      </c>
      <c r="F593" t="s">
        <v>1450</v>
      </c>
    </row>
    <row r="594" spans="1:6" x14ac:dyDescent="0.35">
      <c r="A594">
        <v>20260401</v>
      </c>
      <c r="B594" t="s">
        <v>1155</v>
      </c>
      <c r="C594" t="s">
        <v>1468</v>
      </c>
      <c r="D594">
        <v>5</v>
      </c>
      <c r="E594">
        <v>4</v>
      </c>
      <c r="F594" t="s">
        <v>1450</v>
      </c>
    </row>
    <row r="595" spans="1:6" x14ac:dyDescent="0.35">
      <c r="A595">
        <v>20260401</v>
      </c>
      <c r="B595" t="s">
        <v>1155</v>
      </c>
      <c r="C595" t="s">
        <v>1469</v>
      </c>
      <c r="D595">
        <v>3</v>
      </c>
      <c r="E595">
        <v>0</v>
      </c>
      <c r="F595" t="s">
        <v>1450</v>
      </c>
    </row>
    <row r="596" spans="1:6" x14ac:dyDescent="0.35">
      <c r="A596">
        <v>20260401</v>
      </c>
      <c r="B596" t="s">
        <v>1155</v>
      </c>
      <c r="C596" t="s">
        <v>1470</v>
      </c>
      <c r="D596">
        <v>1.5</v>
      </c>
      <c r="E596">
        <v>0</v>
      </c>
      <c r="F596" t="s">
        <v>1450</v>
      </c>
    </row>
    <row r="597" spans="1:6" x14ac:dyDescent="0.35">
      <c r="A597">
        <v>20260401</v>
      </c>
      <c r="B597" t="s">
        <v>1138</v>
      </c>
      <c r="C597" t="s">
        <v>1466</v>
      </c>
      <c r="D597">
        <v>6</v>
      </c>
      <c r="E597">
        <v>6</v>
      </c>
      <c r="F597" t="s">
        <v>1450</v>
      </c>
    </row>
    <row r="598" spans="1:6" x14ac:dyDescent="0.35">
      <c r="A598">
        <v>20260401</v>
      </c>
      <c r="B598" t="s">
        <v>1138</v>
      </c>
      <c r="C598" t="s">
        <v>1467</v>
      </c>
      <c r="D598">
        <v>9</v>
      </c>
      <c r="E598">
        <v>8.5</v>
      </c>
      <c r="F598" t="s">
        <v>1450</v>
      </c>
    </row>
    <row r="599" spans="1:6" x14ac:dyDescent="0.35">
      <c r="A599">
        <v>20260401</v>
      </c>
      <c r="B599" t="s">
        <v>1138</v>
      </c>
      <c r="C599" t="s">
        <v>1468</v>
      </c>
      <c r="D599">
        <v>5</v>
      </c>
      <c r="E599">
        <v>4</v>
      </c>
      <c r="F599" t="s">
        <v>1450</v>
      </c>
    </row>
    <row r="600" spans="1:6" x14ac:dyDescent="0.35">
      <c r="A600">
        <v>20260401</v>
      </c>
      <c r="B600" t="s">
        <v>1138</v>
      </c>
      <c r="C600" t="s">
        <v>1469</v>
      </c>
      <c r="D600">
        <v>3</v>
      </c>
      <c r="E600">
        <v>0</v>
      </c>
      <c r="F600" t="s">
        <v>1450</v>
      </c>
    </row>
    <row r="601" spans="1:6" x14ac:dyDescent="0.35">
      <c r="A601">
        <v>20260401</v>
      </c>
      <c r="B601" t="s">
        <v>1138</v>
      </c>
      <c r="C601" t="s">
        <v>1470</v>
      </c>
      <c r="D601">
        <v>1.5</v>
      </c>
      <c r="E601">
        <v>0</v>
      </c>
      <c r="F601" t="s">
        <v>1450</v>
      </c>
    </row>
    <row r="602" spans="1:6" x14ac:dyDescent="0.35">
      <c r="A602">
        <v>20260501</v>
      </c>
      <c r="B602" t="s">
        <v>1150</v>
      </c>
      <c r="C602" t="s">
        <v>1466</v>
      </c>
      <c r="D602">
        <v>6</v>
      </c>
      <c r="E602">
        <v>6</v>
      </c>
      <c r="F602" t="s">
        <v>1450</v>
      </c>
    </row>
    <row r="603" spans="1:6" x14ac:dyDescent="0.35">
      <c r="A603">
        <v>20260501</v>
      </c>
      <c r="B603" t="s">
        <v>1150</v>
      </c>
      <c r="C603" t="s">
        <v>1467</v>
      </c>
      <c r="D603">
        <v>9</v>
      </c>
      <c r="E603">
        <v>8.5</v>
      </c>
      <c r="F603" t="s">
        <v>1450</v>
      </c>
    </row>
    <row r="604" spans="1:6" x14ac:dyDescent="0.35">
      <c r="A604">
        <v>20260501</v>
      </c>
      <c r="B604" t="s">
        <v>1150</v>
      </c>
      <c r="C604" t="s">
        <v>1468</v>
      </c>
      <c r="D604">
        <v>5</v>
      </c>
      <c r="E604">
        <v>4</v>
      </c>
      <c r="F604" t="s">
        <v>1450</v>
      </c>
    </row>
    <row r="605" spans="1:6" x14ac:dyDescent="0.35">
      <c r="A605">
        <v>20260501</v>
      </c>
      <c r="B605" t="s">
        <v>1150</v>
      </c>
      <c r="C605" t="s">
        <v>1469</v>
      </c>
      <c r="D605">
        <v>3</v>
      </c>
      <c r="E605">
        <v>0</v>
      </c>
      <c r="F605" t="s">
        <v>1450</v>
      </c>
    </row>
    <row r="606" spans="1:6" x14ac:dyDescent="0.35">
      <c r="A606">
        <v>20260501</v>
      </c>
      <c r="B606" t="s">
        <v>1150</v>
      </c>
      <c r="C606" t="s">
        <v>1470</v>
      </c>
      <c r="D606">
        <v>1.5</v>
      </c>
      <c r="E606">
        <v>0</v>
      </c>
      <c r="F606" t="s">
        <v>1450</v>
      </c>
    </row>
    <row r="607" spans="1:6" x14ac:dyDescent="0.35">
      <c r="A607">
        <v>20260501</v>
      </c>
      <c r="B607" t="s">
        <v>1158</v>
      </c>
      <c r="C607" t="s">
        <v>1466</v>
      </c>
      <c r="D607">
        <v>6</v>
      </c>
      <c r="E607">
        <v>6</v>
      </c>
      <c r="F607" t="s">
        <v>1450</v>
      </c>
    </row>
    <row r="608" spans="1:6" x14ac:dyDescent="0.35">
      <c r="A608">
        <v>20260501</v>
      </c>
      <c r="B608" t="s">
        <v>1158</v>
      </c>
      <c r="C608" t="s">
        <v>1467</v>
      </c>
      <c r="D608">
        <v>9</v>
      </c>
      <c r="E608">
        <v>8.5</v>
      </c>
      <c r="F608" t="s">
        <v>1450</v>
      </c>
    </row>
    <row r="609" spans="1:6" x14ac:dyDescent="0.35">
      <c r="A609">
        <v>20260501</v>
      </c>
      <c r="B609" t="s">
        <v>1158</v>
      </c>
      <c r="C609" t="s">
        <v>1468</v>
      </c>
      <c r="D609">
        <v>5</v>
      </c>
      <c r="E609">
        <v>4</v>
      </c>
      <c r="F609" t="s">
        <v>1450</v>
      </c>
    </row>
    <row r="610" spans="1:6" x14ac:dyDescent="0.35">
      <c r="A610">
        <v>20260501</v>
      </c>
      <c r="B610" t="s">
        <v>1158</v>
      </c>
      <c r="C610" t="s">
        <v>1469</v>
      </c>
      <c r="D610">
        <v>3</v>
      </c>
      <c r="E610">
        <v>0</v>
      </c>
      <c r="F610" t="s">
        <v>1450</v>
      </c>
    </row>
    <row r="611" spans="1:6" x14ac:dyDescent="0.35">
      <c r="A611">
        <v>20260501</v>
      </c>
      <c r="B611" t="s">
        <v>1158</v>
      </c>
      <c r="C611" t="s">
        <v>1470</v>
      </c>
      <c r="D611">
        <v>1.5</v>
      </c>
      <c r="E611">
        <v>0</v>
      </c>
      <c r="F611" t="s">
        <v>1450</v>
      </c>
    </row>
    <row r="612" spans="1:6" x14ac:dyDescent="0.35">
      <c r="A612">
        <v>20260501</v>
      </c>
      <c r="B612" t="s">
        <v>1205</v>
      </c>
      <c r="C612" t="s">
        <v>1466</v>
      </c>
      <c r="D612">
        <v>6</v>
      </c>
      <c r="E612">
        <v>6</v>
      </c>
      <c r="F612" t="s">
        <v>1450</v>
      </c>
    </row>
    <row r="613" spans="1:6" x14ac:dyDescent="0.35">
      <c r="A613">
        <v>20260501</v>
      </c>
      <c r="B613" t="s">
        <v>1205</v>
      </c>
      <c r="C613" t="s">
        <v>1467</v>
      </c>
      <c r="D613">
        <v>9</v>
      </c>
      <c r="E613">
        <v>8.5</v>
      </c>
      <c r="F613" t="s">
        <v>1450</v>
      </c>
    </row>
    <row r="614" spans="1:6" x14ac:dyDescent="0.35">
      <c r="A614">
        <v>20260501</v>
      </c>
      <c r="B614" t="s">
        <v>1205</v>
      </c>
      <c r="C614" t="s">
        <v>1468</v>
      </c>
      <c r="D614">
        <v>5</v>
      </c>
      <c r="E614">
        <v>4</v>
      </c>
      <c r="F614" t="s">
        <v>1450</v>
      </c>
    </row>
    <row r="615" spans="1:6" x14ac:dyDescent="0.35">
      <c r="A615">
        <v>20260501</v>
      </c>
      <c r="B615" t="s">
        <v>1205</v>
      </c>
      <c r="C615" t="s">
        <v>1469</v>
      </c>
      <c r="D615">
        <v>3</v>
      </c>
      <c r="E615">
        <v>0</v>
      </c>
      <c r="F615" t="s">
        <v>1450</v>
      </c>
    </row>
    <row r="616" spans="1:6" x14ac:dyDescent="0.35">
      <c r="A616">
        <v>20260501</v>
      </c>
      <c r="B616" t="s">
        <v>1205</v>
      </c>
      <c r="C616" t="s">
        <v>1470</v>
      </c>
      <c r="D616">
        <v>1.5</v>
      </c>
      <c r="E616">
        <v>0</v>
      </c>
      <c r="F616" t="s">
        <v>1450</v>
      </c>
    </row>
    <row r="617" spans="1:6" x14ac:dyDescent="0.35">
      <c r="A617">
        <v>20260501</v>
      </c>
      <c r="B617" t="s">
        <v>1164</v>
      </c>
      <c r="C617" t="s">
        <v>1466</v>
      </c>
      <c r="D617">
        <v>6</v>
      </c>
      <c r="E617">
        <v>6</v>
      </c>
      <c r="F617" t="s">
        <v>1450</v>
      </c>
    </row>
    <row r="618" spans="1:6" x14ac:dyDescent="0.35">
      <c r="A618">
        <v>20260501</v>
      </c>
      <c r="B618" t="s">
        <v>1164</v>
      </c>
      <c r="C618" t="s">
        <v>1467</v>
      </c>
      <c r="D618">
        <v>9</v>
      </c>
      <c r="E618">
        <v>8.5</v>
      </c>
      <c r="F618" t="s">
        <v>1450</v>
      </c>
    </row>
    <row r="619" spans="1:6" x14ac:dyDescent="0.35">
      <c r="A619">
        <v>20260501</v>
      </c>
      <c r="B619" t="s">
        <v>1164</v>
      </c>
      <c r="C619" t="s">
        <v>1468</v>
      </c>
      <c r="D619">
        <v>5</v>
      </c>
      <c r="E619">
        <v>4</v>
      </c>
      <c r="F619" t="s">
        <v>1450</v>
      </c>
    </row>
    <row r="620" spans="1:6" x14ac:dyDescent="0.35">
      <c r="A620">
        <v>20260501</v>
      </c>
      <c r="B620" t="s">
        <v>1164</v>
      </c>
      <c r="C620" t="s">
        <v>1469</v>
      </c>
      <c r="D620">
        <v>3</v>
      </c>
      <c r="E620">
        <v>0</v>
      </c>
      <c r="F620" t="s">
        <v>1450</v>
      </c>
    </row>
    <row r="621" spans="1:6" x14ac:dyDescent="0.35">
      <c r="A621">
        <v>20260501</v>
      </c>
      <c r="B621" t="s">
        <v>1164</v>
      </c>
      <c r="C621" t="s">
        <v>1470</v>
      </c>
      <c r="D621">
        <v>1.5</v>
      </c>
      <c r="E621">
        <v>0</v>
      </c>
      <c r="F621" t="s">
        <v>1450</v>
      </c>
    </row>
    <row r="622" spans="1:6" x14ac:dyDescent="0.35">
      <c r="A622">
        <v>20260501</v>
      </c>
      <c r="B622" t="s">
        <v>1169</v>
      </c>
      <c r="C622" t="s">
        <v>1466</v>
      </c>
      <c r="D622">
        <v>6</v>
      </c>
      <c r="E622">
        <v>6</v>
      </c>
      <c r="F622" t="s">
        <v>1450</v>
      </c>
    </row>
    <row r="623" spans="1:6" x14ac:dyDescent="0.35">
      <c r="A623">
        <v>20260501</v>
      </c>
      <c r="B623" t="s">
        <v>1169</v>
      </c>
      <c r="C623" t="s">
        <v>1467</v>
      </c>
      <c r="D623">
        <v>9</v>
      </c>
      <c r="E623">
        <v>8.5</v>
      </c>
      <c r="F623" t="s">
        <v>1450</v>
      </c>
    </row>
    <row r="624" spans="1:6" x14ac:dyDescent="0.35">
      <c r="A624">
        <v>20260501</v>
      </c>
      <c r="B624" t="s">
        <v>1169</v>
      </c>
      <c r="C624" t="s">
        <v>1468</v>
      </c>
      <c r="D624">
        <v>5</v>
      </c>
      <c r="E624">
        <v>4</v>
      </c>
      <c r="F624" t="s">
        <v>1450</v>
      </c>
    </row>
    <row r="625" spans="1:6" x14ac:dyDescent="0.35">
      <c r="A625">
        <v>20260501</v>
      </c>
      <c r="B625" t="s">
        <v>1169</v>
      </c>
      <c r="C625" t="s">
        <v>1469</v>
      </c>
      <c r="D625">
        <v>3</v>
      </c>
      <c r="E625">
        <v>0</v>
      </c>
      <c r="F625" t="s">
        <v>1450</v>
      </c>
    </row>
    <row r="626" spans="1:6" x14ac:dyDescent="0.35">
      <c r="A626">
        <v>20260501</v>
      </c>
      <c r="B626" t="s">
        <v>1169</v>
      </c>
      <c r="C626" t="s">
        <v>1470</v>
      </c>
      <c r="D626">
        <v>1.5</v>
      </c>
      <c r="E626">
        <v>0</v>
      </c>
      <c r="F626" t="s">
        <v>1450</v>
      </c>
    </row>
    <row r="627" spans="1:6" x14ac:dyDescent="0.35">
      <c r="A627">
        <v>20260501</v>
      </c>
      <c r="B627" t="s">
        <v>1175</v>
      </c>
      <c r="C627" t="s">
        <v>1466</v>
      </c>
      <c r="D627">
        <v>6</v>
      </c>
      <c r="E627">
        <v>6</v>
      </c>
      <c r="F627" t="s">
        <v>1450</v>
      </c>
    </row>
    <row r="628" spans="1:6" x14ac:dyDescent="0.35">
      <c r="A628">
        <v>20260501</v>
      </c>
      <c r="B628" t="s">
        <v>1175</v>
      </c>
      <c r="C628" t="s">
        <v>1467</v>
      </c>
      <c r="D628">
        <v>9</v>
      </c>
      <c r="E628">
        <v>8.5</v>
      </c>
      <c r="F628" t="s">
        <v>1450</v>
      </c>
    </row>
    <row r="629" spans="1:6" x14ac:dyDescent="0.35">
      <c r="A629">
        <v>20260501</v>
      </c>
      <c r="B629" t="s">
        <v>1175</v>
      </c>
      <c r="C629" t="s">
        <v>1468</v>
      </c>
      <c r="D629">
        <v>5</v>
      </c>
      <c r="E629">
        <v>4</v>
      </c>
      <c r="F629" t="s">
        <v>1450</v>
      </c>
    </row>
    <row r="630" spans="1:6" x14ac:dyDescent="0.35">
      <c r="A630">
        <v>20260501</v>
      </c>
      <c r="B630" t="s">
        <v>1175</v>
      </c>
      <c r="C630" t="s">
        <v>1469</v>
      </c>
      <c r="D630">
        <v>3</v>
      </c>
      <c r="E630">
        <v>0</v>
      </c>
      <c r="F630" t="s">
        <v>1450</v>
      </c>
    </row>
    <row r="631" spans="1:6" x14ac:dyDescent="0.35">
      <c r="A631">
        <v>20260501</v>
      </c>
      <c r="B631" t="s">
        <v>1175</v>
      </c>
      <c r="C631" t="s">
        <v>1470</v>
      </c>
      <c r="D631">
        <v>1.5</v>
      </c>
      <c r="E631">
        <v>0</v>
      </c>
      <c r="F631" t="s">
        <v>1450</v>
      </c>
    </row>
    <row r="632" spans="1:6" x14ac:dyDescent="0.35">
      <c r="A632">
        <v>20260501</v>
      </c>
      <c r="B632" t="s">
        <v>1130</v>
      </c>
      <c r="C632" t="s">
        <v>1466</v>
      </c>
      <c r="D632">
        <v>6</v>
      </c>
      <c r="E632">
        <v>6</v>
      </c>
      <c r="F632" t="s">
        <v>1450</v>
      </c>
    </row>
    <row r="633" spans="1:6" x14ac:dyDescent="0.35">
      <c r="A633">
        <v>20260501</v>
      </c>
      <c r="B633" t="s">
        <v>1130</v>
      </c>
      <c r="C633" t="s">
        <v>1467</v>
      </c>
      <c r="D633">
        <v>9</v>
      </c>
      <c r="E633">
        <v>8.5</v>
      </c>
      <c r="F633" t="s">
        <v>1450</v>
      </c>
    </row>
    <row r="634" spans="1:6" x14ac:dyDescent="0.35">
      <c r="A634">
        <v>20260501</v>
      </c>
      <c r="B634" t="s">
        <v>1130</v>
      </c>
      <c r="C634" t="s">
        <v>1468</v>
      </c>
      <c r="D634">
        <v>5</v>
      </c>
      <c r="E634">
        <v>4</v>
      </c>
      <c r="F634" t="s">
        <v>1450</v>
      </c>
    </row>
    <row r="635" spans="1:6" x14ac:dyDescent="0.35">
      <c r="A635">
        <v>20260501</v>
      </c>
      <c r="B635" t="s">
        <v>1130</v>
      </c>
      <c r="C635" t="s">
        <v>1469</v>
      </c>
      <c r="D635">
        <v>3</v>
      </c>
      <c r="E635">
        <v>0</v>
      </c>
      <c r="F635" t="s">
        <v>1450</v>
      </c>
    </row>
    <row r="636" spans="1:6" x14ac:dyDescent="0.35">
      <c r="A636">
        <v>20260501</v>
      </c>
      <c r="B636" t="s">
        <v>1130</v>
      </c>
      <c r="C636" t="s">
        <v>1470</v>
      </c>
      <c r="D636">
        <v>1.5</v>
      </c>
      <c r="E636">
        <v>0</v>
      </c>
      <c r="F636" t="s">
        <v>1450</v>
      </c>
    </row>
    <row r="637" spans="1:6" x14ac:dyDescent="0.35">
      <c r="A637">
        <v>20260501</v>
      </c>
      <c r="B637" t="s">
        <v>1173</v>
      </c>
      <c r="C637" t="s">
        <v>1466</v>
      </c>
      <c r="D637">
        <v>6</v>
      </c>
      <c r="E637">
        <v>6</v>
      </c>
      <c r="F637" t="s">
        <v>1450</v>
      </c>
    </row>
    <row r="638" spans="1:6" x14ac:dyDescent="0.35">
      <c r="A638">
        <v>20260501</v>
      </c>
      <c r="B638" t="s">
        <v>1173</v>
      </c>
      <c r="C638" t="s">
        <v>1467</v>
      </c>
      <c r="D638">
        <v>9</v>
      </c>
      <c r="E638">
        <v>8.5</v>
      </c>
      <c r="F638" t="s">
        <v>1450</v>
      </c>
    </row>
    <row r="639" spans="1:6" x14ac:dyDescent="0.35">
      <c r="A639">
        <v>20260501</v>
      </c>
      <c r="B639" t="s">
        <v>1173</v>
      </c>
      <c r="C639" t="s">
        <v>1468</v>
      </c>
      <c r="D639">
        <v>5</v>
      </c>
      <c r="E639">
        <v>4</v>
      </c>
      <c r="F639" t="s">
        <v>1450</v>
      </c>
    </row>
    <row r="640" spans="1:6" x14ac:dyDescent="0.35">
      <c r="A640">
        <v>20260501</v>
      </c>
      <c r="B640" t="s">
        <v>1173</v>
      </c>
      <c r="C640" t="s">
        <v>1469</v>
      </c>
      <c r="D640">
        <v>3</v>
      </c>
      <c r="E640">
        <v>0</v>
      </c>
      <c r="F640" t="s">
        <v>1450</v>
      </c>
    </row>
    <row r="641" spans="1:6" x14ac:dyDescent="0.35">
      <c r="A641">
        <v>20260501</v>
      </c>
      <c r="B641" t="s">
        <v>1173</v>
      </c>
      <c r="C641" t="s">
        <v>1470</v>
      </c>
      <c r="D641">
        <v>1.5</v>
      </c>
      <c r="E641">
        <v>0</v>
      </c>
      <c r="F641" t="s">
        <v>1450</v>
      </c>
    </row>
    <row r="642" spans="1:6" x14ac:dyDescent="0.35">
      <c r="A642">
        <v>20260501</v>
      </c>
      <c r="B642" t="s">
        <v>1155</v>
      </c>
      <c r="C642" t="s">
        <v>1466</v>
      </c>
      <c r="D642">
        <v>6</v>
      </c>
      <c r="E642">
        <v>6</v>
      </c>
      <c r="F642" t="s">
        <v>1450</v>
      </c>
    </row>
    <row r="643" spans="1:6" x14ac:dyDescent="0.35">
      <c r="A643">
        <v>20260501</v>
      </c>
      <c r="B643" t="s">
        <v>1155</v>
      </c>
      <c r="C643" t="s">
        <v>1467</v>
      </c>
      <c r="D643">
        <v>9</v>
      </c>
      <c r="E643">
        <v>8.5</v>
      </c>
      <c r="F643" t="s">
        <v>1450</v>
      </c>
    </row>
    <row r="644" spans="1:6" x14ac:dyDescent="0.35">
      <c r="A644">
        <v>20260501</v>
      </c>
      <c r="B644" t="s">
        <v>1155</v>
      </c>
      <c r="C644" t="s">
        <v>1468</v>
      </c>
      <c r="D644">
        <v>5</v>
      </c>
      <c r="E644">
        <v>4</v>
      </c>
      <c r="F644" t="s">
        <v>1450</v>
      </c>
    </row>
    <row r="645" spans="1:6" x14ac:dyDescent="0.35">
      <c r="A645">
        <v>20260501</v>
      </c>
      <c r="B645" t="s">
        <v>1155</v>
      </c>
      <c r="C645" t="s">
        <v>1469</v>
      </c>
      <c r="D645">
        <v>3</v>
      </c>
      <c r="E645">
        <v>0</v>
      </c>
      <c r="F645" t="s">
        <v>1450</v>
      </c>
    </row>
    <row r="646" spans="1:6" x14ac:dyDescent="0.35">
      <c r="A646">
        <v>20260501</v>
      </c>
      <c r="B646" t="s">
        <v>1155</v>
      </c>
      <c r="C646" t="s">
        <v>1470</v>
      </c>
      <c r="D646">
        <v>1.5</v>
      </c>
      <c r="E646">
        <v>0</v>
      </c>
      <c r="F646" t="s">
        <v>1450</v>
      </c>
    </row>
    <row r="647" spans="1:6" x14ac:dyDescent="0.35">
      <c r="A647">
        <v>20260501</v>
      </c>
      <c r="B647" t="s">
        <v>1138</v>
      </c>
      <c r="C647" t="s">
        <v>1466</v>
      </c>
      <c r="D647">
        <v>6</v>
      </c>
      <c r="E647">
        <v>6</v>
      </c>
      <c r="F647" t="s">
        <v>1450</v>
      </c>
    </row>
    <row r="648" spans="1:6" x14ac:dyDescent="0.35">
      <c r="A648">
        <v>20260501</v>
      </c>
      <c r="B648" t="s">
        <v>1138</v>
      </c>
      <c r="C648" t="s">
        <v>1467</v>
      </c>
      <c r="D648">
        <v>9</v>
      </c>
      <c r="E648">
        <v>8.5</v>
      </c>
      <c r="F648" t="s">
        <v>1450</v>
      </c>
    </row>
    <row r="649" spans="1:6" x14ac:dyDescent="0.35">
      <c r="A649">
        <v>20260501</v>
      </c>
      <c r="B649" t="s">
        <v>1138</v>
      </c>
      <c r="C649" t="s">
        <v>1468</v>
      </c>
      <c r="D649">
        <v>5</v>
      </c>
      <c r="E649">
        <v>4</v>
      </c>
      <c r="F649" t="s">
        <v>1450</v>
      </c>
    </row>
    <row r="650" spans="1:6" x14ac:dyDescent="0.35">
      <c r="A650">
        <v>20260501</v>
      </c>
      <c r="B650" t="s">
        <v>1138</v>
      </c>
      <c r="C650" t="s">
        <v>1469</v>
      </c>
      <c r="D650">
        <v>3</v>
      </c>
      <c r="E650">
        <v>0</v>
      </c>
      <c r="F650" t="s">
        <v>1450</v>
      </c>
    </row>
    <row r="651" spans="1:6" x14ac:dyDescent="0.35">
      <c r="A651">
        <v>20260501</v>
      </c>
      <c r="B651" t="s">
        <v>1138</v>
      </c>
      <c r="C651" t="s">
        <v>1470</v>
      </c>
      <c r="D651">
        <v>1.5</v>
      </c>
      <c r="E651">
        <v>0</v>
      </c>
      <c r="F651" t="s">
        <v>1450</v>
      </c>
    </row>
    <row r="652" spans="1:6" x14ac:dyDescent="0.35">
      <c r="A652">
        <v>20260601</v>
      </c>
      <c r="B652" t="s">
        <v>1150</v>
      </c>
      <c r="C652" t="s">
        <v>1466</v>
      </c>
      <c r="D652">
        <v>6</v>
      </c>
      <c r="E652">
        <v>6</v>
      </c>
      <c r="F652" t="s">
        <v>1450</v>
      </c>
    </row>
    <row r="653" spans="1:6" x14ac:dyDescent="0.35">
      <c r="A653">
        <v>20260601</v>
      </c>
      <c r="B653" t="s">
        <v>1150</v>
      </c>
      <c r="C653" t="s">
        <v>1467</v>
      </c>
      <c r="D653">
        <v>9</v>
      </c>
      <c r="E653">
        <v>8.5</v>
      </c>
      <c r="F653" t="s">
        <v>1450</v>
      </c>
    </row>
    <row r="654" spans="1:6" x14ac:dyDescent="0.35">
      <c r="A654">
        <v>20260601</v>
      </c>
      <c r="B654" t="s">
        <v>1150</v>
      </c>
      <c r="C654" t="s">
        <v>1468</v>
      </c>
      <c r="D654">
        <v>5</v>
      </c>
      <c r="E654">
        <v>4</v>
      </c>
      <c r="F654" t="s">
        <v>1450</v>
      </c>
    </row>
    <row r="655" spans="1:6" x14ac:dyDescent="0.35">
      <c r="A655">
        <v>20260601</v>
      </c>
      <c r="B655" t="s">
        <v>1150</v>
      </c>
      <c r="C655" t="s">
        <v>1469</v>
      </c>
      <c r="D655">
        <v>3</v>
      </c>
      <c r="E655">
        <v>0</v>
      </c>
      <c r="F655" t="s">
        <v>1450</v>
      </c>
    </row>
    <row r="656" spans="1:6" x14ac:dyDescent="0.35">
      <c r="A656">
        <v>20260601</v>
      </c>
      <c r="B656" t="s">
        <v>1150</v>
      </c>
      <c r="C656" t="s">
        <v>1470</v>
      </c>
      <c r="D656">
        <v>1.5</v>
      </c>
      <c r="E656">
        <v>0</v>
      </c>
      <c r="F656" t="s">
        <v>1450</v>
      </c>
    </row>
    <row r="657" spans="1:6" x14ac:dyDescent="0.35">
      <c r="A657">
        <v>20260601</v>
      </c>
      <c r="B657" t="s">
        <v>1158</v>
      </c>
      <c r="C657" t="s">
        <v>1466</v>
      </c>
      <c r="D657">
        <v>6</v>
      </c>
      <c r="E657">
        <v>6</v>
      </c>
      <c r="F657" t="s">
        <v>1450</v>
      </c>
    </row>
    <row r="658" spans="1:6" x14ac:dyDescent="0.35">
      <c r="A658">
        <v>20260601</v>
      </c>
      <c r="B658" t="s">
        <v>1158</v>
      </c>
      <c r="C658" t="s">
        <v>1467</v>
      </c>
      <c r="D658">
        <v>9</v>
      </c>
      <c r="E658">
        <v>8.5</v>
      </c>
      <c r="F658" t="s">
        <v>1450</v>
      </c>
    </row>
    <row r="659" spans="1:6" x14ac:dyDescent="0.35">
      <c r="A659">
        <v>20260601</v>
      </c>
      <c r="B659" t="s">
        <v>1158</v>
      </c>
      <c r="C659" t="s">
        <v>1468</v>
      </c>
      <c r="D659">
        <v>5</v>
      </c>
      <c r="E659">
        <v>4</v>
      </c>
      <c r="F659" t="s">
        <v>1450</v>
      </c>
    </row>
    <row r="660" spans="1:6" x14ac:dyDescent="0.35">
      <c r="A660">
        <v>20260601</v>
      </c>
      <c r="B660" t="s">
        <v>1158</v>
      </c>
      <c r="C660" t="s">
        <v>1469</v>
      </c>
      <c r="D660">
        <v>3</v>
      </c>
      <c r="E660">
        <v>0</v>
      </c>
      <c r="F660" t="s">
        <v>1450</v>
      </c>
    </row>
    <row r="661" spans="1:6" x14ac:dyDescent="0.35">
      <c r="A661">
        <v>20260601</v>
      </c>
      <c r="B661" t="s">
        <v>1158</v>
      </c>
      <c r="C661" t="s">
        <v>1470</v>
      </c>
      <c r="D661">
        <v>1.5</v>
      </c>
      <c r="E661">
        <v>0</v>
      </c>
      <c r="F661" t="s">
        <v>1450</v>
      </c>
    </row>
    <row r="662" spans="1:6" x14ac:dyDescent="0.35">
      <c r="A662">
        <v>20260601</v>
      </c>
      <c r="B662" t="s">
        <v>1205</v>
      </c>
      <c r="C662" t="s">
        <v>1466</v>
      </c>
      <c r="D662">
        <v>6</v>
      </c>
      <c r="E662">
        <v>6</v>
      </c>
      <c r="F662" t="s">
        <v>1450</v>
      </c>
    </row>
    <row r="663" spans="1:6" x14ac:dyDescent="0.35">
      <c r="A663">
        <v>20260601</v>
      </c>
      <c r="B663" t="s">
        <v>1205</v>
      </c>
      <c r="C663" t="s">
        <v>1467</v>
      </c>
      <c r="D663">
        <v>9</v>
      </c>
      <c r="E663">
        <v>8.5</v>
      </c>
      <c r="F663" t="s">
        <v>1450</v>
      </c>
    </row>
    <row r="664" spans="1:6" x14ac:dyDescent="0.35">
      <c r="A664">
        <v>20260601</v>
      </c>
      <c r="B664" t="s">
        <v>1205</v>
      </c>
      <c r="C664" t="s">
        <v>1468</v>
      </c>
      <c r="D664">
        <v>5</v>
      </c>
      <c r="E664">
        <v>4</v>
      </c>
      <c r="F664" t="s">
        <v>1450</v>
      </c>
    </row>
    <row r="665" spans="1:6" x14ac:dyDescent="0.35">
      <c r="A665">
        <v>20260601</v>
      </c>
      <c r="B665" t="s">
        <v>1205</v>
      </c>
      <c r="C665" t="s">
        <v>1469</v>
      </c>
      <c r="D665">
        <v>3</v>
      </c>
      <c r="E665">
        <v>0</v>
      </c>
      <c r="F665" t="s">
        <v>1450</v>
      </c>
    </row>
    <row r="666" spans="1:6" x14ac:dyDescent="0.35">
      <c r="A666">
        <v>20260601</v>
      </c>
      <c r="B666" t="s">
        <v>1205</v>
      </c>
      <c r="C666" t="s">
        <v>1470</v>
      </c>
      <c r="D666">
        <v>1.5</v>
      </c>
      <c r="E666">
        <v>0</v>
      </c>
      <c r="F666" t="s">
        <v>1450</v>
      </c>
    </row>
    <row r="667" spans="1:6" x14ac:dyDescent="0.35">
      <c r="A667">
        <v>20260601</v>
      </c>
      <c r="B667" t="s">
        <v>1164</v>
      </c>
      <c r="C667" t="s">
        <v>1466</v>
      </c>
      <c r="D667">
        <v>6</v>
      </c>
      <c r="E667">
        <v>6</v>
      </c>
      <c r="F667" t="s">
        <v>1450</v>
      </c>
    </row>
    <row r="668" spans="1:6" x14ac:dyDescent="0.35">
      <c r="A668">
        <v>20260601</v>
      </c>
      <c r="B668" t="s">
        <v>1164</v>
      </c>
      <c r="C668" t="s">
        <v>1467</v>
      </c>
      <c r="D668">
        <v>9</v>
      </c>
      <c r="E668">
        <v>8.5</v>
      </c>
      <c r="F668" t="s">
        <v>1450</v>
      </c>
    </row>
    <row r="669" spans="1:6" x14ac:dyDescent="0.35">
      <c r="A669">
        <v>20260601</v>
      </c>
      <c r="B669" t="s">
        <v>1164</v>
      </c>
      <c r="C669" t="s">
        <v>1468</v>
      </c>
      <c r="D669">
        <v>5</v>
      </c>
      <c r="E669">
        <v>4</v>
      </c>
      <c r="F669" t="s">
        <v>1450</v>
      </c>
    </row>
    <row r="670" spans="1:6" x14ac:dyDescent="0.35">
      <c r="A670">
        <v>20260601</v>
      </c>
      <c r="B670" t="s">
        <v>1164</v>
      </c>
      <c r="C670" t="s">
        <v>1469</v>
      </c>
      <c r="D670">
        <v>3</v>
      </c>
      <c r="E670">
        <v>0</v>
      </c>
      <c r="F670" t="s">
        <v>1450</v>
      </c>
    </row>
    <row r="671" spans="1:6" x14ac:dyDescent="0.35">
      <c r="A671">
        <v>20260601</v>
      </c>
      <c r="B671" t="s">
        <v>1164</v>
      </c>
      <c r="C671" t="s">
        <v>1470</v>
      </c>
      <c r="D671">
        <v>1.5</v>
      </c>
      <c r="E671">
        <v>0</v>
      </c>
      <c r="F671" t="s">
        <v>1450</v>
      </c>
    </row>
    <row r="672" spans="1:6" x14ac:dyDescent="0.35">
      <c r="A672">
        <v>20260601</v>
      </c>
      <c r="B672" t="s">
        <v>1169</v>
      </c>
      <c r="C672" t="s">
        <v>1466</v>
      </c>
      <c r="D672">
        <v>6</v>
      </c>
      <c r="E672">
        <v>6</v>
      </c>
      <c r="F672" t="s">
        <v>1450</v>
      </c>
    </row>
    <row r="673" spans="1:6" x14ac:dyDescent="0.35">
      <c r="A673">
        <v>20260601</v>
      </c>
      <c r="B673" t="s">
        <v>1169</v>
      </c>
      <c r="C673" t="s">
        <v>1467</v>
      </c>
      <c r="D673">
        <v>9</v>
      </c>
      <c r="E673">
        <v>8.5</v>
      </c>
      <c r="F673" t="s">
        <v>1450</v>
      </c>
    </row>
    <row r="674" spans="1:6" x14ac:dyDescent="0.35">
      <c r="A674">
        <v>20260601</v>
      </c>
      <c r="B674" t="s">
        <v>1169</v>
      </c>
      <c r="C674" t="s">
        <v>1468</v>
      </c>
      <c r="D674">
        <v>5</v>
      </c>
      <c r="E674">
        <v>4</v>
      </c>
      <c r="F674" t="s">
        <v>1450</v>
      </c>
    </row>
    <row r="675" spans="1:6" x14ac:dyDescent="0.35">
      <c r="A675">
        <v>20260601</v>
      </c>
      <c r="B675" t="s">
        <v>1169</v>
      </c>
      <c r="C675" t="s">
        <v>1469</v>
      </c>
      <c r="D675">
        <v>3</v>
      </c>
      <c r="E675">
        <v>0</v>
      </c>
      <c r="F675" t="s">
        <v>1450</v>
      </c>
    </row>
    <row r="676" spans="1:6" x14ac:dyDescent="0.35">
      <c r="A676">
        <v>20260601</v>
      </c>
      <c r="B676" t="s">
        <v>1169</v>
      </c>
      <c r="C676" t="s">
        <v>1470</v>
      </c>
      <c r="D676">
        <v>1.5</v>
      </c>
      <c r="E676">
        <v>0</v>
      </c>
      <c r="F676" t="s">
        <v>1450</v>
      </c>
    </row>
    <row r="677" spans="1:6" x14ac:dyDescent="0.35">
      <c r="A677">
        <v>20260601</v>
      </c>
      <c r="B677" t="s">
        <v>1175</v>
      </c>
      <c r="C677" t="s">
        <v>1466</v>
      </c>
      <c r="D677">
        <v>6</v>
      </c>
      <c r="E677">
        <v>6</v>
      </c>
      <c r="F677" t="s">
        <v>1450</v>
      </c>
    </row>
    <row r="678" spans="1:6" x14ac:dyDescent="0.35">
      <c r="A678">
        <v>20260601</v>
      </c>
      <c r="B678" t="s">
        <v>1175</v>
      </c>
      <c r="C678" t="s">
        <v>1467</v>
      </c>
      <c r="D678">
        <v>9</v>
      </c>
      <c r="E678">
        <v>8.5</v>
      </c>
      <c r="F678" t="s">
        <v>1450</v>
      </c>
    </row>
    <row r="679" spans="1:6" x14ac:dyDescent="0.35">
      <c r="A679">
        <v>20260601</v>
      </c>
      <c r="B679" t="s">
        <v>1175</v>
      </c>
      <c r="C679" t="s">
        <v>1468</v>
      </c>
      <c r="D679">
        <v>5</v>
      </c>
      <c r="E679">
        <v>4</v>
      </c>
      <c r="F679" t="s">
        <v>1450</v>
      </c>
    </row>
    <row r="680" spans="1:6" x14ac:dyDescent="0.35">
      <c r="A680">
        <v>20260601</v>
      </c>
      <c r="B680" t="s">
        <v>1175</v>
      </c>
      <c r="C680" t="s">
        <v>1469</v>
      </c>
      <c r="D680">
        <v>3</v>
      </c>
      <c r="E680">
        <v>0</v>
      </c>
      <c r="F680" t="s">
        <v>1450</v>
      </c>
    </row>
    <row r="681" spans="1:6" x14ac:dyDescent="0.35">
      <c r="A681">
        <v>20260601</v>
      </c>
      <c r="B681" t="s">
        <v>1175</v>
      </c>
      <c r="C681" t="s">
        <v>1470</v>
      </c>
      <c r="D681">
        <v>1.5</v>
      </c>
      <c r="E681">
        <v>0</v>
      </c>
      <c r="F681" t="s">
        <v>1450</v>
      </c>
    </row>
    <row r="682" spans="1:6" x14ac:dyDescent="0.35">
      <c r="A682">
        <v>20260601</v>
      </c>
      <c r="B682" t="s">
        <v>1130</v>
      </c>
      <c r="C682" t="s">
        <v>1466</v>
      </c>
      <c r="D682">
        <v>6</v>
      </c>
      <c r="E682">
        <v>6</v>
      </c>
      <c r="F682" t="s">
        <v>1450</v>
      </c>
    </row>
    <row r="683" spans="1:6" x14ac:dyDescent="0.35">
      <c r="A683">
        <v>20260601</v>
      </c>
      <c r="B683" t="s">
        <v>1130</v>
      </c>
      <c r="C683" t="s">
        <v>1467</v>
      </c>
      <c r="D683">
        <v>9</v>
      </c>
      <c r="E683">
        <v>8.5</v>
      </c>
      <c r="F683" t="s">
        <v>1450</v>
      </c>
    </row>
    <row r="684" spans="1:6" x14ac:dyDescent="0.35">
      <c r="A684">
        <v>20260601</v>
      </c>
      <c r="B684" t="s">
        <v>1130</v>
      </c>
      <c r="C684" t="s">
        <v>1468</v>
      </c>
      <c r="D684">
        <v>5</v>
      </c>
      <c r="E684">
        <v>4</v>
      </c>
      <c r="F684" t="s">
        <v>1450</v>
      </c>
    </row>
    <row r="685" spans="1:6" x14ac:dyDescent="0.35">
      <c r="A685">
        <v>20260601</v>
      </c>
      <c r="B685" t="s">
        <v>1130</v>
      </c>
      <c r="C685" t="s">
        <v>1469</v>
      </c>
      <c r="D685">
        <v>3</v>
      </c>
      <c r="E685">
        <v>0</v>
      </c>
      <c r="F685" t="s">
        <v>1450</v>
      </c>
    </row>
    <row r="686" spans="1:6" x14ac:dyDescent="0.35">
      <c r="A686">
        <v>20260601</v>
      </c>
      <c r="B686" t="s">
        <v>1130</v>
      </c>
      <c r="C686" t="s">
        <v>1470</v>
      </c>
      <c r="D686">
        <v>1.5</v>
      </c>
      <c r="E686">
        <v>0</v>
      </c>
      <c r="F686" t="s">
        <v>1450</v>
      </c>
    </row>
    <row r="687" spans="1:6" x14ac:dyDescent="0.35">
      <c r="A687">
        <v>20260601</v>
      </c>
      <c r="B687" t="s">
        <v>1173</v>
      </c>
      <c r="C687" t="s">
        <v>1466</v>
      </c>
      <c r="D687">
        <v>6</v>
      </c>
      <c r="E687">
        <v>6</v>
      </c>
      <c r="F687" t="s">
        <v>1450</v>
      </c>
    </row>
    <row r="688" spans="1:6" x14ac:dyDescent="0.35">
      <c r="A688">
        <v>20260601</v>
      </c>
      <c r="B688" t="s">
        <v>1173</v>
      </c>
      <c r="C688" t="s">
        <v>1467</v>
      </c>
      <c r="D688">
        <v>9</v>
      </c>
      <c r="E688">
        <v>8.5</v>
      </c>
      <c r="F688" t="s">
        <v>1450</v>
      </c>
    </row>
    <row r="689" spans="1:6" x14ac:dyDescent="0.35">
      <c r="A689">
        <v>20260601</v>
      </c>
      <c r="B689" t="s">
        <v>1173</v>
      </c>
      <c r="C689" t="s">
        <v>1468</v>
      </c>
      <c r="D689">
        <v>5</v>
      </c>
      <c r="E689">
        <v>4</v>
      </c>
      <c r="F689" t="s">
        <v>1450</v>
      </c>
    </row>
    <row r="690" spans="1:6" x14ac:dyDescent="0.35">
      <c r="A690">
        <v>20260601</v>
      </c>
      <c r="B690" t="s">
        <v>1173</v>
      </c>
      <c r="C690" t="s">
        <v>1469</v>
      </c>
      <c r="D690">
        <v>3</v>
      </c>
      <c r="E690">
        <v>0</v>
      </c>
      <c r="F690" t="s">
        <v>1450</v>
      </c>
    </row>
    <row r="691" spans="1:6" x14ac:dyDescent="0.35">
      <c r="A691">
        <v>20260601</v>
      </c>
      <c r="B691" t="s">
        <v>1173</v>
      </c>
      <c r="C691" t="s">
        <v>1470</v>
      </c>
      <c r="D691">
        <v>1.5</v>
      </c>
      <c r="E691">
        <v>0</v>
      </c>
      <c r="F691" t="s">
        <v>1450</v>
      </c>
    </row>
    <row r="692" spans="1:6" x14ac:dyDescent="0.35">
      <c r="A692">
        <v>20260601</v>
      </c>
      <c r="B692" t="s">
        <v>1155</v>
      </c>
      <c r="C692" t="s">
        <v>1466</v>
      </c>
      <c r="D692">
        <v>6</v>
      </c>
      <c r="E692">
        <v>6</v>
      </c>
      <c r="F692" t="s">
        <v>1450</v>
      </c>
    </row>
    <row r="693" spans="1:6" x14ac:dyDescent="0.35">
      <c r="A693">
        <v>20260601</v>
      </c>
      <c r="B693" t="s">
        <v>1155</v>
      </c>
      <c r="C693" t="s">
        <v>1467</v>
      </c>
      <c r="D693">
        <v>9</v>
      </c>
      <c r="E693">
        <v>8.5</v>
      </c>
      <c r="F693" t="s">
        <v>1450</v>
      </c>
    </row>
    <row r="694" spans="1:6" x14ac:dyDescent="0.35">
      <c r="A694">
        <v>20260601</v>
      </c>
      <c r="B694" t="s">
        <v>1155</v>
      </c>
      <c r="C694" t="s">
        <v>1468</v>
      </c>
      <c r="D694">
        <v>5</v>
      </c>
      <c r="E694">
        <v>4</v>
      </c>
      <c r="F694" t="s">
        <v>1450</v>
      </c>
    </row>
    <row r="695" spans="1:6" x14ac:dyDescent="0.35">
      <c r="A695">
        <v>20260601</v>
      </c>
      <c r="B695" t="s">
        <v>1155</v>
      </c>
      <c r="C695" t="s">
        <v>1469</v>
      </c>
      <c r="D695">
        <v>3</v>
      </c>
      <c r="E695">
        <v>0</v>
      </c>
      <c r="F695" t="s">
        <v>1450</v>
      </c>
    </row>
    <row r="696" spans="1:6" x14ac:dyDescent="0.35">
      <c r="A696">
        <v>20260601</v>
      </c>
      <c r="B696" t="s">
        <v>1155</v>
      </c>
      <c r="C696" t="s">
        <v>1470</v>
      </c>
      <c r="D696">
        <v>1.5</v>
      </c>
      <c r="E696">
        <v>0</v>
      </c>
      <c r="F696" t="s">
        <v>1450</v>
      </c>
    </row>
    <row r="697" spans="1:6" x14ac:dyDescent="0.35">
      <c r="A697">
        <v>20260601</v>
      </c>
      <c r="B697" t="s">
        <v>1138</v>
      </c>
      <c r="C697" t="s">
        <v>1466</v>
      </c>
      <c r="D697">
        <v>6</v>
      </c>
      <c r="E697">
        <v>6</v>
      </c>
      <c r="F697" t="s">
        <v>1450</v>
      </c>
    </row>
    <row r="698" spans="1:6" x14ac:dyDescent="0.35">
      <c r="A698">
        <v>20260601</v>
      </c>
      <c r="B698" t="s">
        <v>1138</v>
      </c>
      <c r="C698" t="s">
        <v>1467</v>
      </c>
      <c r="D698">
        <v>9</v>
      </c>
      <c r="E698">
        <v>8.5</v>
      </c>
      <c r="F698" t="s">
        <v>1450</v>
      </c>
    </row>
    <row r="699" spans="1:6" x14ac:dyDescent="0.35">
      <c r="A699">
        <v>20260601</v>
      </c>
      <c r="B699" t="s">
        <v>1138</v>
      </c>
      <c r="C699" t="s">
        <v>1468</v>
      </c>
      <c r="D699">
        <v>5</v>
      </c>
      <c r="E699">
        <v>4</v>
      </c>
      <c r="F699" t="s">
        <v>1450</v>
      </c>
    </row>
    <row r="700" spans="1:6" x14ac:dyDescent="0.35">
      <c r="A700">
        <v>20260601</v>
      </c>
      <c r="B700" t="s">
        <v>1138</v>
      </c>
      <c r="C700" t="s">
        <v>1469</v>
      </c>
      <c r="D700">
        <v>3</v>
      </c>
      <c r="E700">
        <v>0</v>
      </c>
      <c r="F700" t="s">
        <v>1450</v>
      </c>
    </row>
    <row r="701" spans="1:6" x14ac:dyDescent="0.35">
      <c r="A701">
        <v>20260601</v>
      </c>
      <c r="B701" t="s">
        <v>1138</v>
      </c>
      <c r="C701" t="s">
        <v>1470</v>
      </c>
      <c r="D701">
        <v>1.5</v>
      </c>
      <c r="E701">
        <v>0</v>
      </c>
      <c r="F701" t="s">
        <v>1450</v>
      </c>
    </row>
    <row r="702" spans="1:6" x14ac:dyDescent="0.35">
      <c r="A702">
        <v>20260701</v>
      </c>
      <c r="B702" t="s">
        <v>1150</v>
      </c>
      <c r="C702" t="s">
        <v>1466</v>
      </c>
      <c r="D702">
        <v>6</v>
      </c>
      <c r="E702">
        <v>6</v>
      </c>
      <c r="F702" t="s">
        <v>1450</v>
      </c>
    </row>
    <row r="703" spans="1:6" x14ac:dyDescent="0.35">
      <c r="A703">
        <v>20260701</v>
      </c>
      <c r="B703" t="s">
        <v>1150</v>
      </c>
      <c r="C703" t="s">
        <v>1467</v>
      </c>
      <c r="D703">
        <v>9</v>
      </c>
      <c r="E703">
        <v>8.5</v>
      </c>
      <c r="F703" t="s">
        <v>1450</v>
      </c>
    </row>
    <row r="704" spans="1:6" x14ac:dyDescent="0.35">
      <c r="A704">
        <v>20260701</v>
      </c>
      <c r="B704" t="s">
        <v>1150</v>
      </c>
      <c r="C704" t="s">
        <v>1468</v>
      </c>
      <c r="D704">
        <v>5</v>
      </c>
      <c r="E704">
        <v>4</v>
      </c>
      <c r="F704" t="s">
        <v>1450</v>
      </c>
    </row>
    <row r="705" spans="1:6" x14ac:dyDescent="0.35">
      <c r="A705">
        <v>20260701</v>
      </c>
      <c r="B705" t="s">
        <v>1150</v>
      </c>
      <c r="C705" t="s">
        <v>1469</v>
      </c>
      <c r="D705">
        <v>3</v>
      </c>
      <c r="E705">
        <v>0</v>
      </c>
      <c r="F705" t="s">
        <v>1450</v>
      </c>
    </row>
    <row r="706" spans="1:6" x14ac:dyDescent="0.35">
      <c r="A706">
        <v>20260701</v>
      </c>
      <c r="B706" t="s">
        <v>1150</v>
      </c>
      <c r="C706" t="s">
        <v>1470</v>
      </c>
      <c r="D706">
        <v>1.5</v>
      </c>
      <c r="E706">
        <v>0</v>
      </c>
      <c r="F706" t="s">
        <v>1450</v>
      </c>
    </row>
    <row r="707" spans="1:6" x14ac:dyDescent="0.35">
      <c r="A707">
        <v>20260701</v>
      </c>
      <c r="B707" t="s">
        <v>1158</v>
      </c>
      <c r="C707" t="s">
        <v>1466</v>
      </c>
      <c r="D707">
        <v>6</v>
      </c>
      <c r="E707">
        <v>6</v>
      </c>
      <c r="F707" t="s">
        <v>1450</v>
      </c>
    </row>
    <row r="708" spans="1:6" x14ac:dyDescent="0.35">
      <c r="A708">
        <v>20260701</v>
      </c>
      <c r="B708" t="s">
        <v>1158</v>
      </c>
      <c r="C708" t="s">
        <v>1467</v>
      </c>
      <c r="D708">
        <v>9</v>
      </c>
      <c r="E708">
        <v>8.5</v>
      </c>
      <c r="F708" t="s">
        <v>1450</v>
      </c>
    </row>
    <row r="709" spans="1:6" x14ac:dyDescent="0.35">
      <c r="A709">
        <v>20260701</v>
      </c>
      <c r="B709" t="s">
        <v>1158</v>
      </c>
      <c r="C709" t="s">
        <v>1468</v>
      </c>
      <c r="D709">
        <v>5</v>
      </c>
      <c r="E709">
        <v>4</v>
      </c>
      <c r="F709" t="s">
        <v>1450</v>
      </c>
    </row>
    <row r="710" spans="1:6" x14ac:dyDescent="0.35">
      <c r="A710">
        <v>20260701</v>
      </c>
      <c r="B710" t="s">
        <v>1158</v>
      </c>
      <c r="C710" t="s">
        <v>1469</v>
      </c>
      <c r="D710">
        <v>3</v>
      </c>
      <c r="E710">
        <v>0</v>
      </c>
      <c r="F710" t="s">
        <v>1450</v>
      </c>
    </row>
    <row r="711" spans="1:6" x14ac:dyDescent="0.35">
      <c r="A711">
        <v>20260701</v>
      </c>
      <c r="B711" t="s">
        <v>1158</v>
      </c>
      <c r="C711" t="s">
        <v>1470</v>
      </c>
      <c r="D711">
        <v>1.5</v>
      </c>
      <c r="E711">
        <v>0</v>
      </c>
      <c r="F711" t="s">
        <v>1450</v>
      </c>
    </row>
    <row r="712" spans="1:6" x14ac:dyDescent="0.35">
      <c r="A712">
        <v>20260701</v>
      </c>
      <c r="B712" t="s">
        <v>1205</v>
      </c>
      <c r="C712" t="s">
        <v>1466</v>
      </c>
      <c r="D712">
        <v>6</v>
      </c>
      <c r="E712">
        <v>6</v>
      </c>
      <c r="F712" t="s">
        <v>1450</v>
      </c>
    </row>
    <row r="713" spans="1:6" x14ac:dyDescent="0.35">
      <c r="A713">
        <v>20260701</v>
      </c>
      <c r="B713" t="s">
        <v>1205</v>
      </c>
      <c r="C713" t="s">
        <v>1467</v>
      </c>
      <c r="D713">
        <v>9</v>
      </c>
      <c r="E713">
        <v>8.5</v>
      </c>
      <c r="F713" t="s">
        <v>1450</v>
      </c>
    </row>
    <row r="714" spans="1:6" x14ac:dyDescent="0.35">
      <c r="A714">
        <v>20260701</v>
      </c>
      <c r="B714" t="s">
        <v>1205</v>
      </c>
      <c r="C714" t="s">
        <v>1468</v>
      </c>
      <c r="D714">
        <v>5</v>
      </c>
      <c r="E714">
        <v>4</v>
      </c>
      <c r="F714" t="s">
        <v>1450</v>
      </c>
    </row>
    <row r="715" spans="1:6" x14ac:dyDescent="0.35">
      <c r="A715">
        <v>20260701</v>
      </c>
      <c r="B715" t="s">
        <v>1205</v>
      </c>
      <c r="C715" t="s">
        <v>1469</v>
      </c>
      <c r="D715">
        <v>3</v>
      </c>
      <c r="E715">
        <v>0</v>
      </c>
      <c r="F715" t="s">
        <v>1450</v>
      </c>
    </row>
    <row r="716" spans="1:6" x14ac:dyDescent="0.35">
      <c r="A716">
        <v>20260701</v>
      </c>
      <c r="B716" t="s">
        <v>1205</v>
      </c>
      <c r="C716" t="s">
        <v>1470</v>
      </c>
      <c r="D716">
        <v>1.5</v>
      </c>
      <c r="E716">
        <v>0</v>
      </c>
      <c r="F716" t="s">
        <v>1450</v>
      </c>
    </row>
    <row r="717" spans="1:6" x14ac:dyDescent="0.35">
      <c r="A717">
        <v>20260701</v>
      </c>
      <c r="B717" t="s">
        <v>1164</v>
      </c>
      <c r="C717" t="s">
        <v>1466</v>
      </c>
      <c r="D717">
        <v>6</v>
      </c>
      <c r="E717">
        <v>6</v>
      </c>
      <c r="F717" t="s">
        <v>1450</v>
      </c>
    </row>
    <row r="718" spans="1:6" x14ac:dyDescent="0.35">
      <c r="A718">
        <v>20260701</v>
      </c>
      <c r="B718" t="s">
        <v>1164</v>
      </c>
      <c r="C718" t="s">
        <v>1467</v>
      </c>
      <c r="D718">
        <v>9</v>
      </c>
      <c r="E718">
        <v>8.5</v>
      </c>
      <c r="F718" t="s">
        <v>1450</v>
      </c>
    </row>
    <row r="719" spans="1:6" x14ac:dyDescent="0.35">
      <c r="A719">
        <v>20260701</v>
      </c>
      <c r="B719" t="s">
        <v>1164</v>
      </c>
      <c r="C719" t="s">
        <v>1468</v>
      </c>
      <c r="D719">
        <v>5</v>
      </c>
      <c r="E719">
        <v>4</v>
      </c>
      <c r="F719" t="s">
        <v>1450</v>
      </c>
    </row>
    <row r="720" spans="1:6" x14ac:dyDescent="0.35">
      <c r="A720">
        <v>20260701</v>
      </c>
      <c r="B720" t="s">
        <v>1164</v>
      </c>
      <c r="C720" t="s">
        <v>1469</v>
      </c>
      <c r="D720">
        <v>3</v>
      </c>
      <c r="E720">
        <v>0</v>
      </c>
      <c r="F720" t="s">
        <v>1450</v>
      </c>
    </row>
    <row r="721" spans="1:6" x14ac:dyDescent="0.35">
      <c r="A721">
        <v>20260701</v>
      </c>
      <c r="B721" t="s">
        <v>1164</v>
      </c>
      <c r="C721" t="s">
        <v>1470</v>
      </c>
      <c r="D721">
        <v>1.5</v>
      </c>
      <c r="E721">
        <v>0</v>
      </c>
      <c r="F721" t="s">
        <v>1450</v>
      </c>
    </row>
    <row r="722" spans="1:6" x14ac:dyDescent="0.35">
      <c r="A722">
        <v>20260701</v>
      </c>
      <c r="B722" t="s">
        <v>1169</v>
      </c>
      <c r="C722" t="s">
        <v>1466</v>
      </c>
      <c r="D722">
        <v>6</v>
      </c>
      <c r="E722">
        <v>6</v>
      </c>
      <c r="F722" t="s">
        <v>1450</v>
      </c>
    </row>
    <row r="723" spans="1:6" x14ac:dyDescent="0.35">
      <c r="A723">
        <v>20260701</v>
      </c>
      <c r="B723" t="s">
        <v>1169</v>
      </c>
      <c r="C723" t="s">
        <v>1467</v>
      </c>
      <c r="D723">
        <v>9</v>
      </c>
      <c r="E723">
        <v>8.5</v>
      </c>
      <c r="F723" t="s">
        <v>1450</v>
      </c>
    </row>
    <row r="724" spans="1:6" x14ac:dyDescent="0.35">
      <c r="A724">
        <v>20260701</v>
      </c>
      <c r="B724" t="s">
        <v>1169</v>
      </c>
      <c r="C724" t="s">
        <v>1468</v>
      </c>
      <c r="D724">
        <v>5</v>
      </c>
      <c r="E724">
        <v>4</v>
      </c>
      <c r="F724" t="s">
        <v>1450</v>
      </c>
    </row>
    <row r="725" spans="1:6" x14ac:dyDescent="0.35">
      <c r="A725">
        <v>20260701</v>
      </c>
      <c r="B725" t="s">
        <v>1169</v>
      </c>
      <c r="C725" t="s">
        <v>1469</v>
      </c>
      <c r="D725">
        <v>3</v>
      </c>
      <c r="E725">
        <v>0</v>
      </c>
      <c r="F725" t="s">
        <v>1450</v>
      </c>
    </row>
    <row r="726" spans="1:6" x14ac:dyDescent="0.35">
      <c r="A726">
        <v>20260701</v>
      </c>
      <c r="B726" t="s">
        <v>1169</v>
      </c>
      <c r="C726" t="s">
        <v>1470</v>
      </c>
      <c r="D726">
        <v>1.5</v>
      </c>
      <c r="E726">
        <v>0</v>
      </c>
      <c r="F726" t="s">
        <v>1450</v>
      </c>
    </row>
    <row r="727" spans="1:6" x14ac:dyDescent="0.35">
      <c r="A727">
        <v>20260701</v>
      </c>
      <c r="B727" t="s">
        <v>1175</v>
      </c>
      <c r="C727" t="s">
        <v>1466</v>
      </c>
      <c r="D727">
        <v>6</v>
      </c>
      <c r="E727">
        <v>6</v>
      </c>
      <c r="F727" t="s">
        <v>1450</v>
      </c>
    </row>
    <row r="728" spans="1:6" x14ac:dyDescent="0.35">
      <c r="A728">
        <v>20260701</v>
      </c>
      <c r="B728" t="s">
        <v>1175</v>
      </c>
      <c r="C728" t="s">
        <v>1467</v>
      </c>
      <c r="D728">
        <v>9</v>
      </c>
      <c r="E728">
        <v>8.5</v>
      </c>
      <c r="F728" t="s">
        <v>1450</v>
      </c>
    </row>
    <row r="729" spans="1:6" x14ac:dyDescent="0.35">
      <c r="A729">
        <v>20260701</v>
      </c>
      <c r="B729" t="s">
        <v>1175</v>
      </c>
      <c r="C729" t="s">
        <v>1468</v>
      </c>
      <c r="D729">
        <v>5</v>
      </c>
      <c r="E729">
        <v>4</v>
      </c>
      <c r="F729" t="s">
        <v>1450</v>
      </c>
    </row>
    <row r="730" spans="1:6" x14ac:dyDescent="0.35">
      <c r="A730">
        <v>20260701</v>
      </c>
      <c r="B730" t="s">
        <v>1175</v>
      </c>
      <c r="C730" t="s">
        <v>1469</v>
      </c>
      <c r="D730">
        <v>3</v>
      </c>
      <c r="E730">
        <v>0</v>
      </c>
      <c r="F730" t="s">
        <v>1450</v>
      </c>
    </row>
    <row r="731" spans="1:6" x14ac:dyDescent="0.35">
      <c r="A731">
        <v>20260701</v>
      </c>
      <c r="B731" t="s">
        <v>1175</v>
      </c>
      <c r="C731" t="s">
        <v>1470</v>
      </c>
      <c r="D731">
        <v>1.5</v>
      </c>
      <c r="E731">
        <v>0</v>
      </c>
      <c r="F731" t="s">
        <v>1450</v>
      </c>
    </row>
    <row r="732" spans="1:6" x14ac:dyDescent="0.35">
      <c r="A732">
        <v>20260701</v>
      </c>
      <c r="B732" t="s">
        <v>1130</v>
      </c>
      <c r="C732" t="s">
        <v>1466</v>
      </c>
      <c r="D732">
        <v>6</v>
      </c>
      <c r="E732">
        <v>6</v>
      </c>
      <c r="F732" t="s">
        <v>1450</v>
      </c>
    </row>
    <row r="733" spans="1:6" x14ac:dyDescent="0.35">
      <c r="A733">
        <v>20260701</v>
      </c>
      <c r="B733" t="s">
        <v>1130</v>
      </c>
      <c r="C733" t="s">
        <v>1467</v>
      </c>
      <c r="D733">
        <v>9</v>
      </c>
      <c r="E733">
        <v>8.5</v>
      </c>
      <c r="F733" t="s">
        <v>1450</v>
      </c>
    </row>
    <row r="734" spans="1:6" x14ac:dyDescent="0.35">
      <c r="A734">
        <v>20260701</v>
      </c>
      <c r="B734" t="s">
        <v>1130</v>
      </c>
      <c r="C734" t="s">
        <v>1468</v>
      </c>
      <c r="D734">
        <v>5</v>
      </c>
      <c r="E734">
        <v>4</v>
      </c>
      <c r="F734" t="s">
        <v>1450</v>
      </c>
    </row>
    <row r="735" spans="1:6" x14ac:dyDescent="0.35">
      <c r="A735">
        <v>20260701</v>
      </c>
      <c r="B735" t="s">
        <v>1130</v>
      </c>
      <c r="C735" t="s">
        <v>1469</v>
      </c>
      <c r="D735">
        <v>3</v>
      </c>
      <c r="E735">
        <v>0</v>
      </c>
      <c r="F735" t="s">
        <v>1450</v>
      </c>
    </row>
    <row r="736" spans="1:6" x14ac:dyDescent="0.35">
      <c r="A736">
        <v>20260701</v>
      </c>
      <c r="B736" t="s">
        <v>1130</v>
      </c>
      <c r="C736" t="s">
        <v>1470</v>
      </c>
      <c r="D736">
        <v>1.5</v>
      </c>
      <c r="E736">
        <v>0</v>
      </c>
      <c r="F736" t="s">
        <v>1450</v>
      </c>
    </row>
    <row r="737" spans="1:6" x14ac:dyDescent="0.35">
      <c r="A737">
        <v>20260701</v>
      </c>
      <c r="B737" t="s">
        <v>1173</v>
      </c>
      <c r="C737" t="s">
        <v>1466</v>
      </c>
      <c r="D737">
        <v>6</v>
      </c>
      <c r="E737">
        <v>6</v>
      </c>
      <c r="F737" t="s">
        <v>1450</v>
      </c>
    </row>
    <row r="738" spans="1:6" x14ac:dyDescent="0.35">
      <c r="A738">
        <v>20260701</v>
      </c>
      <c r="B738" t="s">
        <v>1173</v>
      </c>
      <c r="C738" t="s">
        <v>1467</v>
      </c>
      <c r="D738">
        <v>9</v>
      </c>
      <c r="E738">
        <v>8.5</v>
      </c>
      <c r="F738" t="s">
        <v>1450</v>
      </c>
    </row>
    <row r="739" spans="1:6" x14ac:dyDescent="0.35">
      <c r="A739">
        <v>20260701</v>
      </c>
      <c r="B739" t="s">
        <v>1173</v>
      </c>
      <c r="C739" t="s">
        <v>1468</v>
      </c>
      <c r="D739">
        <v>5</v>
      </c>
      <c r="E739">
        <v>4</v>
      </c>
      <c r="F739" t="s">
        <v>1450</v>
      </c>
    </row>
    <row r="740" spans="1:6" x14ac:dyDescent="0.35">
      <c r="A740">
        <v>20260701</v>
      </c>
      <c r="B740" t="s">
        <v>1173</v>
      </c>
      <c r="C740" t="s">
        <v>1469</v>
      </c>
      <c r="D740">
        <v>3</v>
      </c>
      <c r="E740">
        <v>0</v>
      </c>
      <c r="F740" t="s">
        <v>1450</v>
      </c>
    </row>
    <row r="741" spans="1:6" x14ac:dyDescent="0.35">
      <c r="A741">
        <v>20260701</v>
      </c>
      <c r="B741" t="s">
        <v>1173</v>
      </c>
      <c r="C741" t="s">
        <v>1470</v>
      </c>
      <c r="D741">
        <v>1.5</v>
      </c>
      <c r="E741">
        <v>0</v>
      </c>
      <c r="F741" t="s">
        <v>1450</v>
      </c>
    </row>
    <row r="742" spans="1:6" x14ac:dyDescent="0.35">
      <c r="A742">
        <v>20260701</v>
      </c>
      <c r="B742" t="s">
        <v>1155</v>
      </c>
      <c r="C742" t="s">
        <v>1466</v>
      </c>
      <c r="D742">
        <v>6</v>
      </c>
      <c r="E742">
        <v>6</v>
      </c>
      <c r="F742" t="s">
        <v>1450</v>
      </c>
    </row>
    <row r="743" spans="1:6" x14ac:dyDescent="0.35">
      <c r="A743">
        <v>20260701</v>
      </c>
      <c r="B743" t="s">
        <v>1155</v>
      </c>
      <c r="C743" t="s">
        <v>1467</v>
      </c>
      <c r="D743">
        <v>9</v>
      </c>
      <c r="E743">
        <v>8.5</v>
      </c>
      <c r="F743" t="s">
        <v>1450</v>
      </c>
    </row>
    <row r="744" spans="1:6" x14ac:dyDescent="0.35">
      <c r="A744">
        <v>20260701</v>
      </c>
      <c r="B744" t="s">
        <v>1155</v>
      </c>
      <c r="C744" t="s">
        <v>1468</v>
      </c>
      <c r="D744">
        <v>5</v>
      </c>
      <c r="E744">
        <v>4</v>
      </c>
      <c r="F744" t="s">
        <v>1450</v>
      </c>
    </row>
    <row r="745" spans="1:6" x14ac:dyDescent="0.35">
      <c r="A745">
        <v>20260701</v>
      </c>
      <c r="B745" t="s">
        <v>1155</v>
      </c>
      <c r="C745" t="s">
        <v>1469</v>
      </c>
      <c r="D745">
        <v>3</v>
      </c>
      <c r="E745">
        <v>0</v>
      </c>
      <c r="F745" t="s">
        <v>1450</v>
      </c>
    </row>
    <row r="746" spans="1:6" x14ac:dyDescent="0.35">
      <c r="A746">
        <v>20260701</v>
      </c>
      <c r="B746" t="s">
        <v>1155</v>
      </c>
      <c r="C746" t="s">
        <v>1470</v>
      </c>
      <c r="D746">
        <v>1.5</v>
      </c>
      <c r="E746">
        <v>0</v>
      </c>
      <c r="F746" t="s">
        <v>1450</v>
      </c>
    </row>
    <row r="747" spans="1:6" x14ac:dyDescent="0.35">
      <c r="A747">
        <v>20260701</v>
      </c>
      <c r="B747" t="s">
        <v>1138</v>
      </c>
      <c r="C747" t="s">
        <v>1466</v>
      </c>
      <c r="D747">
        <v>6</v>
      </c>
      <c r="E747">
        <v>6</v>
      </c>
      <c r="F747" t="s">
        <v>1450</v>
      </c>
    </row>
    <row r="748" spans="1:6" x14ac:dyDescent="0.35">
      <c r="A748">
        <v>20260701</v>
      </c>
      <c r="B748" t="s">
        <v>1138</v>
      </c>
      <c r="C748" t="s">
        <v>1467</v>
      </c>
      <c r="D748">
        <v>9</v>
      </c>
      <c r="E748">
        <v>8.5</v>
      </c>
      <c r="F748" t="s">
        <v>1450</v>
      </c>
    </row>
    <row r="749" spans="1:6" x14ac:dyDescent="0.35">
      <c r="A749">
        <v>20260701</v>
      </c>
      <c r="B749" t="s">
        <v>1138</v>
      </c>
      <c r="C749" t="s">
        <v>1468</v>
      </c>
      <c r="D749">
        <v>5</v>
      </c>
      <c r="E749">
        <v>4</v>
      </c>
      <c r="F749" t="s">
        <v>1450</v>
      </c>
    </row>
    <row r="750" spans="1:6" x14ac:dyDescent="0.35">
      <c r="A750">
        <v>20260701</v>
      </c>
      <c r="B750" t="s">
        <v>1138</v>
      </c>
      <c r="C750" t="s">
        <v>1469</v>
      </c>
      <c r="D750">
        <v>3</v>
      </c>
      <c r="E750">
        <v>0</v>
      </c>
      <c r="F750" t="s">
        <v>1450</v>
      </c>
    </row>
    <row r="751" spans="1:6" x14ac:dyDescent="0.35">
      <c r="A751">
        <v>20260701</v>
      </c>
      <c r="B751" t="s">
        <v>1138</v>
      </c>
      <c r="C751" t="s">
        <v>1470</v>
      </c>
      <c r="D751">
        <v>1.5</v>
      </c>
      <c r="E751">
        <v>0</v>
      </c>
      <c r="F751" t="s">
        <v>1450</v>
      </c>
    </row>
    <row r="752" spans="1:6" x14ac:dyDescent="0.35">
      <c r="A752">
        <v>20260801</v>
      </c>
      <c r="B752" t="s">
        <v>1150</v>
      </c>
      <c r="C752" t="s">
        <v>1466</v>
      </c>
      <c r="D752">
        <v>6</v>
      </c>
      <c r="E752">
        <v>6</v>
      </c>
      <c r="F752" t="s">
        <v>1450</v>
      </c>
    </row>
    <row r="753" spans="1:6" x14ac:dyDescent="0.35">
      <c r="A753">
        <v>20260801</v>
      </c>
      <c r="B753" t="s">
        <v>1150</v>
      </c>
      <c r="C753" t="s">
        <v>1467</v>
      </c>
      <c r="D753">
        <v>9</v>
      </c>
      <c r="E753">
        <v>8.5</v>
      </c>
      <c r="F753" t="s">
        <v>1450</v>
      </c>
    </row>
    <row r="754" spans="1:6" x14ac:dyDescent="0.35">
      <c r="A754">
        <v>20260801</v>
      </c>
      <c r="B754" t="s">
        <v>1150</v>
      </c>
      <c r="C754" t="s">
        <v>1468</v>
      </c>
      <c r="D754">
        <v>5</v>
      </c>
      <c r="E754">
        <v>4</v>
      </c>
      <c r="F754" t="s">
        <v>1450</v>
      </c>
    </row>
    <row r="755" spans="1:6" x14ac:dyDescent="0.35">
      <c r="A755">
        <v>20260801</v>
      </c>
      <c r="B755" t="s">
        <v>1150</v>
      </c>
      <c r="C755" t="s">
        <v>1469</v>
      </c>
      <c r="D755">
        <v>3</v>
      </c>
      <c r="E755">
        <v>0</v>
      </c>
      <c r="F755" t="s">
        <v>1450</v>
      </c>
    </row>
    <row r="756" spans="1:6" x14ac:dyDescent="0.35">
      <c r="A756">
        <v>20260801</v>
      </c>
      <c r="B756" t="s">
        <v>1150</v>
      </c>
      <c r="C756" t="s">
        <v>1470</v>
      </c>
      <c r="D756">
        <v>1.5</v>
      </c>
      <c r="E756">
        <v>0</v>
      </c>
      <c r="F756" t="s">
        <v>1450</v>
      </c>
    </row>
    <row r="757" spans="1:6" x14ac:dyDescent="0.35">
      <c r="A757">
        <v>20260801</v>
      </c>
      <c r="B757" t="s">
        <v>1158</v>
      </c>
      <c r="C757" t="s">
        <v>1466</v>
      </c>
      <c r="D757">
        <v>6</v>
      </c>
      <c r="E757">
        <v>6</v>
      </c>
      <c r="F757" t="s">
        <v>1450</v>
      </c>
    </row>
    <row r="758" spans="1:6" x14ac:dyDescent="0.35">
      <c r="A758">
        <v>20260801</v>
      </c>
      <c r="B758" t="s">
        <v>1158</v>
      </c>
      <c r="C758" t="s">
        <v>1467</v>
      </c>
      <c r="D758">
        <v>9</v>
      </c>
      <c r="E758">
        <v>8.5</v>
      </c>
      <c r="F758" t="s">
        <v>1450</v>
      </c>
    </row>
    <row r="759" spans="1:6" x14ac:dyDescent="0.35">
      <c r="A759">
        <v>20260801</v>
      </c>
      <c r="B759" t="s">
        <v>1158</v>
      </c>
      <c r="C759" t="s">
        <v>1468</v>
      </c>
      <c r="D759">
        <v>5</v>
      </c>
      <c r="E759">
        <v>4</v>
      </c>
      <c r="F759" t="s">
        <v>1450</v>
      </c>
    </row>
    <row r="760" spans="1:6" x14ac:dyDescent="0.35">
      <c r="A760">
        <v>20260801</v>
      </c>
      <c r="B760" t="s">
        <v>1158</v>
      </c>
      <c r="C760" t="s">
        <v>1469</v>
      </c>
      <c r="D760">
        <v>3</v>
      </c>
      <c r="E760">
        <v>0</v>
      </c>
      <c r="F760" t="s">
        <v>1450</v>
      </c>
    </row>
    <row r="761" spans="1:6" x14ac:dyDescent="0.35">
      <c r="A761">
        <v>20260801</v>
      </c>
      <c r="B761" t="s">
        <v>1158</v>
      </c>
      <c r="C761" t="s">
        <v>1470</v>
      </c>
      <c r="D761">
        <v>1.5</v>
      </c>
      <c r="E761">
        <v>0</v>
      </c>
      <c r="F761" t="s">
        <v>1450</v>
      </c>
    </row>
    <row r="762" spans="1:6" x14ac:dyDescent="0.35">
      <c r="A762">
        <v>20260801</v>
      </c>
      <c r="B762" t="s">
        <v>1205</v>
      </c>
      <c r="C762" t="s">
        <v>1466</v>
      </c>
      <c r="D762">
        <v>6</v>
      </c>
      <c r="E762">
        <v>6</v>
      </c>
      <c r="F762" t="s">
        <v>1450</v>
      </c>
    </row>
    <row r="763" spans="1:6" x14ac:dyDescent="0.35">
      <c r="A763">
        <v>20260801</v>
      </c>
      <c r="B763" t="s">
        <v>1205</v>
      </c>
      <c r="C763" t="s">
        <v>1467</v>
      </c>
      <c r="D763">
        <v>9</v>
      </c>
      <c r="E763">
        <v>8.5</v>
      </c>
      <c r="F763" t="s">
        <v>1450</v>
      </c>
    </row>
    <row r="764" spans="1:6" x14ac:dyDescent="0.35">
      <c r="A764">
        <v>20260801</v>
      </c>
      <c r="B764" t="s">
        <v>1205</v>
      </c>
      <c r="C764" t="s">
        <v>1468</v>
      </c>
      <c r="D764">
        <v>5</v>
      </c>
      <c r="E764">
        <v>4</v>
      </c>
      <c r="F764" t="s">
        <v>1450</v>
      </c>
    </row>
    <row r="765" spans="1:6" x14ac:dyDescent="0.35">
      <c r="A765">
        <v>20260801</v>
      </c>
      <c r="B765" t="s">
        <v>1205</v>
      </c>
      <c r="C765" t="s">
        <v>1469</v>
      </c>
      <c r="D765">
        <v>3</v>
      </c>
      <c r="E765">
        <v>0</v>
      </c>
      <c r="F765" t="s">
        <v>1450</v>
      </c>
    </row>
    <row r="766" spans="1:6" x14ac:dyDescent="0.35">
      <c r="A766">
        <v>20260801</v>
      </c>
      <c r="B766" t="s">
        <v>1205</v>
      </c>
      <c r="C766" t="s">
        <v>1470</v>
      </c>
      <c r="D766">
        <v>1.5</v>
      </c>
      <c r="E766">
        <v>0</v>
      </c>
      <c r="F766" t="s">
        <v>1450</v>
      </c>
    </row>
    <row r="767" spans="1:6" x14ac:dyDescent="0.35">
      <c r="A767">
        <v>20260801</v>
      </c>
      <c r="B767" t="s">
        <v>1164</v>
      </c>
      <c r="C767" t="s">
        <v>1466</v>
      </c>
      <c r="D767">
        <v>6</v>
      </c>
      <c r="E767">
        <v>6</v>
      </c>
      <c r="F767" t="s">
        <v>1450</v>
      </c>
    </row>
    <row r="768" spans="1:6" x14ac:dyDescent="0.35">
      <c r="A768">
        <v>20260801</v>
      </c>
      <c r="B768" t="s">
        <v>1164</v>
      </c>
      <c r="C768" t="s">
        <v>1467</v>
      </c>
      <c r="D768">
        <v>9</v>
      </c>
      <c r="E768">
        <v>8.5</v>
      </c>
      <c r="F768" t="s">
        <v>1450</v>
      </c>
    </row>
    <row r="769" spans="1:6" x14ac:dyDescent="0.35">
      <c r="A769">
        <v>20260801</v>
      </c>
      <c r="B769" t="s">
        <v>1164</v>
      </c>
      <c r="C769" t="s">
        <v>1468</v>
      </c>
      <c r="D769">
        <v>5</v>
      </c>
      <c r="E769">
        <v>4</v>
      </c>
      <c r="F769" t="s">
        <v>1450</v>
      </c>
    </row>
    <row r="770" spans="1:6" x14ac:dyDescent="0.35">
      <c r="A770">
        <v>20260801</v>
      </c>
      <c r="B770" t="s">
        <v>1164</v>
      </c>
      <c r="C770" t="s">
        <v>1469</v>
      </c>
      <c r="D770">
        <v>3</v>
      </c>
      <c r="E770">
        <v>0</v>
      </c>
      <c r="F770" t="s">
        <v>1450</v>
      </c>
    </row>
    <row r="771" spans="1:6" x14ac:dyDescent="0.35">
      <c r="A771">
        <v>20260801</v>
      </c>
      <c r="B771" t="s">
        <v>1164</v>
      </c>
      <c r="C771" t="s">
        <v>1470</v>
      </c>
      <c r="D771">
        <v>1.5</v>
      </c>
      <c r="E771">
        <v>0</v>
      </c>
      <c r="F771" t="s">
        <v>1450</v>
      </c>
    </row>
    <row r="772" spans="1:6" x14ac:dyDescent="0.35">
      <c r="A772">
        <v>20260801</v>
      </c>
      <c r="B772" t="s">
        <v>1169</v>
      </c>
      <c r="C772" t="s">
        <v>1466</v>
      </c>
      <c r="D772">
        <v>6</v>
      </c>
      <c r="E772">
        <v>6</v>
      </c>
      <c r="F772" t="s">
        <v>1450</v>
      </c>
    </row>
    <row r="773" spans="1:6" x14ac:dyDescent="0.35">
      <c r="A773">
        <v>20260801</v>
      </c>
      <c r="B773" t="s">
        <v>1169</v>
      </c>
      <c r="C773" t="s">
        <v>1467</v>
      </c>
      <c r="D773">
        <v>9</v>
      </c>
      <c r="E773">
        <v>8.5</v>
      </c>
      <c r="F773" t="s">
        <v>1450</v>
      </c>
    </row>
    <row r="774" spans="1:6" x14ac:dyDescent="0.35">
      <c r="A774">
        <v>20260801</v>
      </c>
      <c r="B774" t="s">
        <v>1169</v>
      </c>
      <c r="C774" t="s">
        <v>1468</v>
      </c>
      <c r="D774">
        <v>5</v>
      </c>
      <c r="E774">
        <v>4</v>
      </c>
      <c r="F774" t="s">
        <v>1450</v>
      </c>
    </row>
    <row r="775" spans="1:6" x14ac:dyDescent="0.35">
      <c r="A775">
        <v>20260801</v>
      </c>
      <c r="B775" t="s">
        <v>1169</v>
      </c>
      <c r="C775" t="s">
        <v>1469</v>
      </c>
      <c r="D775">
        <v>3</v>
      </c>
      <c r="E775">
        <v>0</v>
      </c>
      <c r="F775" t="s">
        <v>1450</v>
      </c>
    </row>
    <row r="776" spans="1:6" x14ac:dyDescent="0.35">
      <c r="A776">
        <v>20260801</v>
      </c>
      <c r="B776" t="s">
        <v>1169</v>
      </c>
      <c r="C776" t="s">
        <v>1470</v>
      </c>
      <c r="D776">
        <v>1.5</v>
      </c>
      <c r="E776">
        <v>0</v>
      </c>
      <c r="F776" t="s">
        <v>1450</v>
      </c>
    </row>
    <row r="777" spans="1:6" x14ac:dyDescent="0.35">
      <c r="A777">
        <v>20260801</v>
      </c>
      <c r="B777" t="s">
        <v>1175</v>
      </c>
      <c r="C777" t="s">
        <v>1466</v>
      </c>
      <c r="D777">
        <v>6</v>
      </c>
      <c r="E777">
        <v>6</v>
      </c>
      <c r="F777" t="s">
        <v>1450</v>
      </c>
    </row>
    <row r="778" spans="1:6" x14ac:dyDescent="0.35">
      <c r="A778">
        <v>20260801</v>
      </c>
      <c r="B778" t="s">
        <v>1175</v>
      </c>
      <c r="C778" t="s">
        <v>1467</v>
      </c>
      <c r="D778">
        <v>9</v>
      </c>
      <c r="E778">
        <v>8.5</v>
      </c>
      <c r="F778" t="s">
        <v>1450</v>
      </c>
    </row>
    <row r="779" spans="1:6" x14ac:dyDescent="0.35">
      <c r="A779">
        <v>20260801</v>
      </c>
      <c r="B779" t="s">
        <v>1175</v>
      </c>
      <c r="C779" t="s">
        <v>1468</v>
      </c>
      <c r="D779">
        <v>5</v>
      </c>
      <c r="E779">
        <v>4</v>
      </c>
      <c r="F779" t="s">
        <v>1450</v>
      </c>
    </row>
    <row r="780" spans="1:6" x14ac:dyDescent="0.35">
      <c r="A780">
        <v>20260801</v>
      </c>
      <c r="B780" t="s">
        <v>1175</v>
      </c>
      <c r="C780" t="s">
        <v>1469</v>
      </c>
      <c r="D780">
        <v>3</v>
      </c>
      <c r="E780">
        <v>0</v>
      </c>
      <c r="F780" t="s">
        <v>1450</v>
      </c>
    </row>
    <row r="781" spans="1:6" x14ac:dyDescent="0.35">
      <c r="A781">
        <v>20260801</v>
      </c>
      <c r="B781" t="s">
        <v>1175</v>
      </c>
      <c r="C781" t="s">
        <v>1470</v>
      </c>
      <c r="D781">
        <v>1.5</v>
      </c>
      <c r="E781">
        <v>0</v>
      </c>
      <c r="F781" t="s">
        <v>1450</v>
      </c>
    </row>
    <row r="782" spans="1:6" x14ac:dyDescent="0.35">
      <c r="A782">
        <v>20260801</v>
      </c>
      <c r="B782" t="s">
        <v>1130</v>
      </c>
      <c r="C782" t="s">
        <v>1466</v>
      </c>
      <c r="D782">
        <v>6</v>
      </c>
      <c r="E782">
        <v>6</v>
      </c>
      <c r="F782" t="s">
        <v>1450</v>
      </c>
    </row>
    <row r="783" spans="1:6" x14ac:dyDescent="0.35">
      <c r="A783">
        <v>20260801</v>
      </c>
      <c r="B783" t="s">
        <v>1130</v>
      </c>
      <c r="C783" t="s">
        <v>1467</v>
      </c>
      <c r="D783">
        <v>9</v>
      </c>
      <c r="E783">
        <v>8.5</v>
      </c>
      <c r="F783" t="s">
        <v>1450</v>
      </c>
    </row>
    <row r="784" spans="1:6" x14ac:dyDescent="0.35">
      <c r="A784">
        <v>20260801</v>
      </c>
      <c r="B784" t="s">
        <v>1130</v>
      </c>
      <c r="C784" t="s">
        <v>1468</v>
      </c>
      <c r="D784">
        <v>5</v>
      </c>
      <c r="E784">
        <v>4</v>
      </c>
      <c r="F784" t="s">
        <v>1450</v>
      </c>
    </row>
    <row r="785" spans="1:6" x14ac:dyDescent="0.35">
      <c r="A785">
        <v>20260801</v>
      </c>
      <c r="B785" t="s">
        <v>1130</v>
      </c>
      <c r="C785" t="s">
        <v>1469</v>
      </c>
      <c r="D785">
        <v>3</v>
      </c>
      <c r="E785">
        <v>0</v>
      </c>
      <c r="F785" t="s">
        <v>1450</v>
      </c>
    </row>
    <row r="786" spans="1:6" x14ac:dyDescent="0.35">
      <c r="A786">
        <v>20260801</v>
      </c>
      <c r="B786" t="s">
        <v>1130</v>
      </c>
      <c r="C786" t="s">
        <v>1470</v>
      </c>
      <c r="D786">
        <v>1.5</v>
      </c>
      <c r="E786">
        <v>0</v>
      </c>
      <c r="F786" t="s">
        <v>1450</v>
      </c>
    </row>
    <row r="787" spans="1:6" x14ac:dyDescent="0.35">
      <c r="A787">
        <v>20260801</v>
      </c>
      <c r="B787" t="s">
        <v>1173</v>
      </c>
      <c r="C787" t="s">
        <v>1466</v>
      </c>
      <c r="D787">
        <v>6</v>
      </c>
      <c r="E787">
        <v>6</v>
      </c>
      <c r="F787" t="s">
        <v>1450</v>
      </c>
    </row>
    <row r="788" spans="1:6" x14ac:dyDescent="0.35">
      <c r="A788">
        <v>20260801</v>
      </c>
      <c r="B788" t="s">
        <v>1173</v>
      </c>
      <c r="C788" t="s">
        <v>1467</v>
      </c>
      <c r="D788">
        <v>9</v>
      </c>
      <c r="E788">
        <v>8.5</v>
      </c>
      <c r="F788" t="s">
        <v>1450</v>
      </c>
    </row>
    <row r="789" spans="1:6" x14ac:dyDescent="0.35">
      <c r="A789">
        <v>20260801</v>
      </c>
      <c r="B789" t="s">
        <v>1173</v>
      </c>
      <c r="C789" t="s">
        <v>1468</v>
      </c>
      <c r="D789">
        <v>5</v>
      </c>
      <c r="E789">
        <v>4</v>
      </c>
      <c r="F789" t="s">
        <v>1450</v>
      </c>
    </row>
    <row r="790" spans="1:6" x14ac:dyDescent="0.35">
      <c r="A790">
        <v>20260801</v>
      </c>
      <c r="B790" t="s">
        <v>1173</v>
      </c>
      <c r="C790" t="s">
        <v>1469</v>
      </c>
      <c r="D790">
        <v>3</v>
      </c>
      <c r="E790">
        <v>0</v>
      </c>
      <c r="F790" t="s">
        <v>1450</v>
      </c>
    </row>
    <row r="791" spans="1:6" x14ac:dyDescent="0.35">
      <c r="A791">
        <v>20260801</v>
      </c>
      <c r="B791" t="s">
        <v>1173</v>
      </c>
      <c r="C791" t="s">
        <v>1470</v>
      </c>
      <c r="D791">
        <v>1.5</v>
      </c>
      <c r="E791">
        <v>0</v>
      </c>
      <c r="F791" t="s">
        <v>1450</v>
      </c>
    </row>
    <row r="792" spans="1:6" x14ac:dyDescent="0.35">
      <c r="A792">
        <v>20260801</v>
      </c>
      <c r="B792" t="s">
        <v>1155</v>
      </c>
      <c r="C792" t="s">
        <v>1466</v>
      </c>
      <c r="D792">
        <v>6</v>
      </c>
      <c r="E792">
        <v>6</v>
      </c>
      <c r="F792" t="s">
        <v>1450</v>
      </c>
    </row>
    <row r="793" spans="1:6" x14ac:dyDescent="0.35">
      <c r="A793">
        <v>20260801</v>
      </c>
      <c r="B793" t="s">
        <v>1155</v>
      </c>
      <c r="C793" t="s">
        <v>1467</v>
      </c>
      <c r="D793">
        <v>9</v>
      </c>
      <c r="E793">
        <v>8.5</v>
      </c>
      <c r="F793" t="s">
        <v>1450</v>
      </c>
    </row>
    <row r="794" spans="1:6" x14ac:dyDescent="0.35">
      <c r="A794">
        <v>20260801</v>
      </c>
      <c r="B794" t="s">
        <v>1155</v>
      </c>
      <c r="C794" t="s">
        <v>1468</v>
      </c>
      <c r="D794">
        <v>5</v>
      </c>
      <c r="E794">
        <v>4</v>
      </c>
      <c r="F794" t="s">
        <v>1450</v>
      </c>
    </row>
    <row r="795" spans="1:6" x14ac:dyDescent="0.35">
      <c r="A795">
        <v>20260801</v>
      </c>
      <c r="B795" t="s">
        <v>1155</v>
      </c>
      <c r="C795" t="s">
        <v>1469</v>
      </c>
      <c r="D795">
        <v>3</v>
      </c>
      <c r="E795">
        <v>0</v>
      </c>
      <c r="F795" t="s">
        <v>1450</v>
      </c>
    </row>
    <row r="796" spans="1:6" x14ac:dyDescent="0.35">
      <c r="A796">
        <v>20260801</v>
      </c>
      <c r="B796" t="s">
        <v>1155</v>
      </c>
      <c r="C796" t="s">
        <v>1470</v>
      </c>
      <c r="D796">
        <v>1.5</v>
      </c>
      <c r="E796">
        <v>0</v>
      </c>
      <c r="F796" t="s">
        <v>1450</v>
      </c>
    </row>
    <row r="797" spans="1:6" x14ac:dyDescent="0.35">
      <c r="A797">
        <v>20260801</v>
      </c>
      <c r="B797" t="s">
        <v>1138</v>
      </c>
      <c r="C797" t="s">
        <v>1466</v>
      </c>
      <c r="D797">
        <v>6</v>
      </c>
      <c r="E797">
        <v>6</v>
      </c>
      <c r="F797" t="s">
        <v>1450</v>
      </c>
    </row>
    <row r="798" spans="1:6" x14ac:dyDescent="0.35">
      <c r="A798">
        <v>20260801</v>
      </c>
      <c r="B798" t="s">
        <v>1138</v>
      </c>
      <c r="C798" t="s">
        <v>1467</v>
      </c>
      <c r="D798">
        <v>9</v>
      </c>
      <c r="E798">
        <v>8.5</v>
      </c>
      <c r="F798" t="s">
        <v>1450</v>
      </c>
    </row>
    <row r="799" spans="1:6" x14ac:dyDescent="0.35">
      <c r="A799">
        <v>20260801</v>
      </c>
      <c r="B799" t="s">
        <v>1138</v>
      </c>
      <c r="C799" t="s">
        <v>1468</v>
      </c>
      <c r="D799">
        <v>5</v>
      </c>
      <c r="E799">
        <v>4</v>
      </c>
      <c r="F799" t="s">
        <v>1450</v>
      </c>
    </row>
    <row r="800" spans="1:6" x14ac:dyDescent="0.35">
      <c r="A800">
        <v>20260801</v>
      </c>
      <c r="B800" t="s">
        <v>1138</v>
      </c>
      <c r="C800" t="s">
        <v>1469</v>
      </c>
      <c r="D800">
        <v>3</v>
      </c>
      <c r="E800">
        <v>0</v>
      </c>
      <c r="F800" t="s">
        <v>1450</v>
      </c>
    </row>
    <row r="801" spans="1:6" x14ac:dyDescent="0.35">
      <c r="A801">
        <v>20260801</v>
      </c>
      <c r="B801" t="s">
        <v>1138</v>
      </c>
      <c r="C801" t="s">
        <v>1470</v>
      </c>
      <c r="D801">
        <v>1.5</v>
      </c>
      <c r="E801">
        <v>0</v>
      </c>
      <c r="F801" t="s">
        <v>1450</v>
      </c>
    </row>
    <row r="802" spans="1:6" x14ac:dyDescent="0.35">
      <c r="A802">
        <v>20260101</v>
      </c>
      <c r="B802" t="s">
        <v>1150</v>
      </c>
      <c r="C802" t="s">
        <v>1466</v>
      </c>
      <c r="D802">
        <v>6</v>
      </c>
      <c r="E802">
        <v>6</v>
      </c>
      <c r="F802" t="s">
        <v>1452</v>
      </c>
    </row>
    <row r="803" spans="1:6" x14ac:dyDescent="0.35">
      <c r="A803">
        <v>20260101</v>
      </c>
      <c r="B803" t="s">
        <v>1150</v>
      </c>
      <c r="C803" t="s">
        <v>1467</v>
      </c>
      <c r="D803">
        <v>9</v>
      </c>
      <c r="E803">
        <v>8.5</v>
      </c>
      <c r="F803" t="s">
        <v>1452</v>
      </c>
    </row>
    <row r="804" spans="1:6" x14ac:dyDescent="0.35">
      <c r="A804">
        <v>20260101</v>
      </c>
      <c r="B804" t="s">
        <v>1150</v>
      </c>
      <c r="C804" t="s">
        <v>1468</v>
      </c>
      <c r="D804">
        <v>5</v>
      </c>
      <c r="E804">
        <v>4</v>
      </c>
      <c r="F804" t="s">
        <v>1452</v>
      </c>
    </row>
    <row r="805" spans="1:6" x14ac:dyDescent="0.35">
      <c r="A805">
        <v>20260101</v>
      </c>
      <c r="B805" t="s">
        <v>1150</v>
      </c>
      <c r="C805" t="s">
        <v>1469</v>
      </c>
      <c r="D805">
        <v>3</v>
      </c>
      <c r="E805">
        <v>0</v>
      </c>
      <c r="F805" t="s">
        <v>1452</v>
      </c>
    </row>
    <row r="806" spans="1:6" x14ac:dyDescent="0.35">
      <c r="A806">
        <v>20260101</v>
      </c>
      <c r="B806" t="s">
        <v>1150</v>
      </c>
      <c r="C806" t="s">
        <v>1470</v>
      </c>
      <c r="D806">
        <v>1.5</v>
      </c>
      <c r="E806">
        <v>0</v>
      </c>
      <c r="F806" t="s">
        <v>1452</v>
      </c>
    </row>
    <row r="807" spans="1:6" x14ac:dyDescent="0.35">
      <c r="A807">
        <v>20260101</v>
      </c>
      <c r="B807" t="s">
        <v>1158</v>
      </c>
      <c r="C807" t="s">
        <v>1466</v>
      </c>
      <c r="D807">
        <v>6</v>
      </c>
      <c r="E807">
        <v>6</v>
      </c>
      <c r="F807" t="s">
        <v>1452</v>
      </c>
    </row>
    <row r="808" spans="1:6" x14ac:dyDescent="0.35">
      <c r="A808">
        <v>20260101</v>
      </c>
      <c r="B808" t="s">
        <v>1158</v>
      </c>
      <c r="C808" t="s">
        <v>1467</v>
      </c>
      <c r="D808">
        <v>9</v>
      </c>
      <c r="E808">
        <v>8.5</v>
      </c>
      <c r="F808" t="s">
        <v>1452</v>
      </c>
    </row>
    <row r="809" spans="1:6" x14ac:dyDescent="0.35">
      <c r="A809">
        <v>20260101</v>
      </c>
      <c r="B809" t="s">
        <v>1158</v>
      </c>
      <c r="C809" t="s">
        <v>1468</v>
      </c>
      <c r="D809">
        <v>5</v>
      </c>
      <c r="E809">
        <v>4</v>
      </c>
      <c r="F809" t="s">
        <v>1452</v>
      </c>
    </row>
    <row r="810" spans="1:6" x14ac:dyDescent="0.35">
      <c r="A810">
        <v>20260101</v>
      </c>
      <c r="B810" t="s">
        <v>1158</v>
      </c>
      <c r="C810" t="s">
        <v>1469</v>
      </c>
      <c r="D810">
        <v>3</v>
      </c>
      <c r="E810">
        <v>0</v>
      </c>
      <c r="F810" t="s">
        <v>1452</v>
      </c>
    </row>
    <row r="811" spans="1:6" x14ac:dyDescent="0.35">
      <c r="A811">
        <v>20260101</v>
      </c>
      <c r="B811" t="s">
        <v>1158</v>
      </c>
      <c r="C811" t="s">
        <v>1470</v>
      </c>
      <c r="D811">
        <v>1.5</v>
      </c>
      <c r="E811">
        <v>0</v>
      </c>
      <c r="F811" t="s">
        <v>1452</v>
      </c>
    </row>
    <row r="812" spans="1:6" x14ac:dyDescent="0.35">
      <c r="A812">
        <v>20260101</v>
      </c>
      <c r="B812" t="s">
        <v>1205</v>
      </c>
      <c r="C812" t="s">
        <v>1466</v>
      </c>
      <c r="D812">
        <v>6</v>
      </c>
      <c r="E812">
        <v>6</v>
      </c>
      <c r="F812" t="s">
        <v>1452</v>
      </c>
    </row>
    <row r="813" spans="1:6" x14ac:dyDescent="0.35">
      <c r="A813">
        <v>20260101</v>
      </c>
      <c r="B813" t="s">
        <v>1205</v>
      </c>
      <c r="C813" t="s">
        <v>1467</v>
      </c>
      <c r="D813">
        <v>9</v>
      </c>
      <c r="E813">
        <v>8.5</v>
      </c>
      <c r="F813" t="s">
        <v>1452</v>
      </c>
    </row>
    <row r="814" spans="1:6" x14ac:dyDescent="0.35">
      <c r="A814">
        <v>20260101</v>
      </c>
      <c r="B814" t="s">
        <v>1205</v>
      </c>
      <c r="C814" t="s">
        <v>1468</v>
      </c>
      <c r="D814">
        <v>5</v>
      </c>
      <c r="E814">
        <v>4</v>
      </c>
      <c r="F814" t="s">
        <v>1452</v>
      </c>
    </row>
    <row r="815" spans="1:6" x14ac:dyDescent="0.35">
      <c r="A815">
        <v>20260101</v>
      </c>
      <c r="B815" t="s">
        <v>1205</v>
      </c>
      <c r="C815" t="s">
        <v>1469</v>
      </c>
      <c r="D815">
        <v>3</v>
      </c>
      <c r="E815">
        <v>0</v>
      </c>
      <c r="F815" t="s">
        <v>1452</v>
      </c>
    </row>
    <row r="816" spans="1:6" x14ac:dyDescent="0.35">
      <c r="A816">
        <v>20260101</v>
      </c>
      <c r="B816" t="s">
        <v>1205</v>
      </c>
      <c r="C816" t="s">
        <v>1470</v>
      </c>
      <c r="D816">
        <v>1.5</v>
      </c>
      <c r="E816">
        <v>0</v>
      </c>
      <c r="F816" t="s">
        <v>1452</v>
      </c>
    </row>
    <row r="817" spans="1:6" x14ac:dyDescent="0.35">
      <c r="A817">
        <v>20260101</v>
      </c>
      <c r="B817" t="s">
        <v>1164</v>
      </c>
      <c r="C817" t="s">
        <v>1466</v>
      </c>
      <c r="D817">
        <v>6</v>
      </c>
      <c r="E817">
        <v>6</v>
      </c>
      <c r="F817" t="s">
        <v>1452</v>
      </c>
    </row>
    <row r="818" spans="1:6" x14ac:dyDescent="0.35">
      <c r="A818">
        <v>20260101</v>
      </c>
      <c r="B818" t="s">
        <v>1164</v>
      </c>
      <c r="C818" t="s">
        <v>1467</v>
      </c>
      <c r="D818">
        <v>9</v>
      </c>
      <c r="E818">
        <v>8.5</v>
      </c>
      <c r="F818" t="s">
        <v>1452</v>
      </c>
    </row>
    <row r="819" spans="1:6" x14ac:dyDescent="0.35">
      <c r="A819">
        <v>20260101</v>
      </c>
      <c r="B819" t="s">
        <v>1164</v>
      </c>
      <c r="C819" t="s">
        <v>1468</v>
      </c>
      <c r="D819">
        <v>5</v>
      </c>
      <c r="E819">
        <v>4</v>
      </c>
      <c r="F819" t="s">
        <v>1452</v>
      </c>
    </row>
    <row r="820" spans="1:6" x14ac:dyDescent="0.35">
      <c r="A820">
        <v>20260101</v>
      </c>
      <c r="B820" t="s">
        <v>1164</v>
      </c>
      <c r="C820" t="s">
        <v>1469</v>
      </c>
      <c r="D820">
        <v>3</v>
      </c>
      <c r="E820">
        <v>0</v>
      </c>
      <c r="F820" t="s">
        <v>1452</v>
      </c>
    </row>
    <row r="821" spans="1:6" x14ac:dyDescent="0.35">
      <c r="A821">
        <v>20260101</v>
      </c>
      <c r="B821" t="s">
        <v>1164</v>
      </c>
      <c r="C821" t="s">
        <v>1470</v>
      </c>
      <c r="D821">
        <v>1.5</v>
      </c>
      <c r="E821">
        <v>0</v>
      </c>
      <c r="F821" t="s">
        <v>1452</v>
      </c>
    </row>
    <row r="822" spans="1:6" x14ac:dyDescent="0.35">
      <c r="A822">
        <v>20260101</v>
      </c>
      <c r="B822" t="s">
        <v>1169</v>
      </c>
      <c r="C822" t="s">
        <v>1466</v>
      </c>
      <c r="D822">
        <v>6</v>
      </c>
      <c r="E822">
        <v>6</v>
      </c>
      <c r="F822" t="s">
        <v>1452</v>
      </c>
    </row>
    <row r="823" spans="1:6" x14ac:dyDescent="0.35">
      <c r="A823">
        <v>20260101</v>
      </c>
      <c r="B823" t="s">
        <v>1169</v>
      </c>
      <c r="C823" t="s">
        <v>1467</v>
      </c>
      <c r="D823">
        <v>9</v>
      </c>
      <c r="E823">
        <v>8.5</v>
      </c>
      <c r="F823" t="s">
        <v>1452</v>
      </c>
    </row>
    <row r="824" spans="1:6" x14ac:dyDescent="0.35">
      <c r="A824">
        <v>20260101</v>
      </c>
      <c r="B824" t="s">
        <v>1169</v>
      </c>
      <c r="C824" t="s">
        <v>1468</v>
      </c>
      <c r="D824">
        <v>5</v>
      </c>
      <c r="E824">
        <v>4</v>
      </c>
      <c r="F824" t="s">
        <v>1452</v>
      </c>
    </row>
    <row r="825" spans="1:6" x14ac:dyDescent="0.35">
      <c r="A825">
        <v>20260101</v>
      </c>
      <c r="B825" t="s">
        <v>1169</v>
      </c>
      <c r="C825" t="s">
        <v>1469</v>
      </c>
      <c r="D825">
        <v>3</v>
      </c>
      <c r="E825">
        <v>0</v>
      </c>
      <c r="F825" t="s">
        <v>1452</v>
      </c>
    </row>
    <row r="826" spans="1:6" x14ac:dyDescent="0.35">
      <c r="A826">
        <v>20260101</v>
      </c>
      <c r="B826" t="s">
        <v>1169</v>
      </c>
      <c r="C826" t="s">
        <v>1470</v>
      </c>
      <c r="D826">
        <v>1.5</v>
      </c>
      <c r="E826">
        <v>0</v>
      </c>
      <c r="F826" t="s">
        <v>1452</v>
      </c>
    </row>
    <row r="827" spans="1:6" x14ac:dyDescent="0.35">
      <c r="A827">
        <v>20260101</v>
      </c>
      <c r="B827" t="s">
        <v>1175</v>
      </c>
      <c r="C827" t="s">
        <v>1466</v>
      </c>
      <c r="D827">
        <v>6</v>
      </c>
      <c r="E827">
        <v>6</v>
      </c>
      <c r="F827" t="s">
        <v>1452</v>
      </c>
    </row>
    <row r="828" spans="1:6" x14ac:dyDescent="0.35">
      <c r="A828">
        <v>20260101</v>
      </c>
      <c r="B828" t="s">
        <v>1175</v>
      </c>
      <c r="C828" t="s">
        <v>1467</v>
      </c>
      <c r="D828">
        <v>9</v>
      </c>
      <c r="E828">
        <v>8.5</v>
      </c>
      <c r="F828" t="s">
        <v>1452</v>
      </c>
    </row>
    <row r="829" spans="1:6" x14ac:dyDescent="0.35">
      <c r="A829">
        <v>20260101</v>
      </c>
      <c r="B829" t="s">
        <v>1175</v>
      </c>
      <c r="C829" t="s">
        <v>1468</v>
      </c>
      <c r="D829">
        <v>5</v>
      </c>
      <c r="E829">
        <v>4</v>
      </c>
      <c r="F829" t="s">
        <v>1452</v>
      </c>
    </row>
    <row r="830" spans="1:6" x14ac:dyDescent="0.35">
      <c r="A830">
        <v>20260101</v>
      </c>
      <c r="B830" t="s">
        <v>1175</v>
      </c>
      <c r="C830" t="s">
        <v>1469</v>
      </c>
      <c r="D830">
        <v>3</v>
      </c>
      <c r="E830">
        <v>0</v>
      </c>
      <c r="F830" t="s">
        <v>1452</v>
      </c>
    </row>
    <row r="831" spans="1:6" x14ac:dyDescent="0.35">
      <c r="A831">
        <v>20260101</v>
      </c>
      <c r="B831" t="s">
        <v>1175</v>
      </c>
      <c r="C831" t="s">
        <v>1470</v>
      </c>
      <c r="D831">
        <v>1.5</v>
      </c>
      <c r="E831">
        <v>0</v>
      </c>
      <c r="F831" t="s">
        <v>1452</v>
      </c>
    </row>
    <row r="832" spans="1:6" x14ac:dyDescent="0.35">
      <c r="A832">
        <v>20260101</v>
      </c>
      <c r="B832" t="s">
        <v>1130</v>
      </c>
      <c r="C832" t="s">
        <v>1466</v>
      </c>
      <c r="D832">
        <v>6</v>
      </c>
      <c r="E832">
        <v>6</v>
      </c>
      <c r="F832" t="s">
        <v>1452</v>
      </c>
    </row>
    <row r="833" spans="1:6" x14ac:dyDescent="0.35">
      <c r="A833">
        <v>20260101</v>
      </c>
      <c r="B833" t="s">
        <v>1130</v>
      </c>
      <c r="C833" t="s">
        <v>1467</v>
      </c>
      <c r="D833">
        <v>9</v>
      </c>
      <c r="E833">
        <v>8.5</v>
      </c>
      <c r="F833" t="s">
        <v>1452</v>
      </c>
    </row>
    <row r="834" spans="1:6" x14ac:dyDescent="0.35">
      <c r="A834">
        <v>20260101</v>
      </c>
      <c r="B834" t="s">
        <v>1130</v>
      </c>
      <c r="C834" t="s">
        <v>1468</v>
      </c>
      <c r="D834">
        <v>5</v>
      </c>
      <c r="E834">
        <v>4</v>
      </c>
      <c r="F834" t="s">
        <v>1452</v>
      </c>
    </row>
    <row r="835" spans="1:6" x14ac:dyDescent="0.35">
      <c r="A835">
        <v>20260101</v>
      </c>
      <c r="B835" t="s">
        <v>1130</v>
      </c>
      <c r="C835" t="s">
        <v>1469</v>
      </c>
      <c r="D835">
        <v>3</v>
      </c>
      <c r="E835">
        <v>0</v>
      </c>
      <c r="F835" t="s">
        <v>1452</v>
      </c>
    </row>
    <row r="836" spans="1:6" x14ac:dyDescent="0.35">
      <c r="A836">
        <v>20260101</v>
      </c>
      <c r="B836" t="s">
        <v>1130</v>
      </c>
      <c r="C836" t="s">
        <v>1470</v>
      </c>
      <c r="D836">
        <v>1.5</v>
      </c>
      <c r="E836">
        <v>0</v>
      </c>
      <c r="F836" t="s">
        <v>1452</v>
      </c>
    </row>
    <row r="837" spans="1:6" x14ac:dyDescent="0.35">
      <c r="A837">
        <v>20260101</v>
      </c>
      <c r="B837" t="s">
        <v>1173</v>
      </c>
      <c r="C837" t="s">
        <v>1466</v>
      </c>
      <c r="D837">
        <v>6</v>
      </c>
      <c r="E837">
        <v>6</v>
      </c>
      <c r="F837" t="s">
        <v>1452</v>
      </c>
    </row>
    <row r="838" spans="1:6" x14ac:dyDescent="0.35">
      <c r="A838">
        <v>20260101</v>
      </c>
      <c r="B838" t="s">
        <v>1173</v>
      </c>
      <c r="C838" t="s">
        <v>1467</v>
      </c>
      <c r="D838">
        <v>9</v>
      </c>
      <c r="E838">
        <v>8.5</v>
      </c>
      <c r="F838" t="s">
        <v>1452</v>
      </c>
    </row>
    <row r="839" spans="1:6" x14ac:dyDescent="0.35">
      <c r="A839">
        <v>20260101</v>
      </c>
      <c r="B839" t="s">
        <v>1173</v>
      </c>
      <c r="C839" t="s">
        <v>1468</v>
      </c>
      <c r="D839">
        <v>5</v>
      </c>
      <c r="E839">
        <v>4</v>
      </c>
      <c r="F839" t="s">
        <v>1452</v>
      </c>
    </row>
    <row r="840" spans="1:6" x14ac:dyDescent="0.35">
      <c r="A840">
        <v>20260101</v>
      </c>
      <c r="B840" t="s">
        <v>1173</v>
      </c>
      <c r="C840" t="s">
        <v>1469</v>
      </c>
      <c r="D840">
        <v>3</v>
      </c>
      <c r="E840">
        <v>0</v>
      </c>
      <c r="F840" t="s">
        <v>1452</v>
      </c>
    </row>
    <row r="841" spans="1:6" x14ac:dyDescent="0.35">
      <c r="A841">
        <v>20260101</v>
      </c>
      <c r="B841" t="s">
        <v>1173</v>
      </c>
      <c r="C841" t="s">
        <v>1470</v>
      </c>
      <c r="D841">
        <v>1.5</v>
      </c>
      <c r="E841">
        <v>0</v>
      </c>
      <c r="F841" t="s">
        <v>1452</v>
      </c>
    </row>
    <row r="842" spans="1:6" x14ac:dyDescent="0.35">
      <c r="A842">
        <v>20260101</v>
      </c>
      <c r="B842" t="s">
        <v>1155</v>
      </c>
      <c r="C842" t="s">
        <v>1466</v>
      </c>
      <c r="D842">
        <v>6</v>
      </c>
      <c r="E842">
        <v>6</v>
      </c>
      <c r="F842" t="s">
        <v>1452</v>
      </c>
    </row>
    <row r="843" spans="1:6" x14ac:dyDescent="0.35">
      <c r="A843">
        <v>20260101</v>
      </c>
      <c r="B843" t="s">
        <v>1155</v>
      </c>
      <c r="C843" t="s">
        <v>1467</v>
      </c>
      <c r="D843">
        <v>9</v>
      </c>
      <c r="E843">
        <v>8.5</v>
      </c>
      <c r="F843" t="s">
        <v>1452</v>
      </c>
    </row>
    <row r="844" spans="1:6" x14ac:dyDescent="0.35">
      <c r="A844">
        <v>20260101</v>
      </c>
      <c r="B844" t="s">
        <v>1155</v>
      </c>
      <c r="C844" t="s">
        <v>1468</v>
      </c>
      <c r="D844">
        <v>5</v>
      </c>
      <c r="E844">
        <v>4</v>
      </c>
      <c r="F844" t="s">
        <v>1452</v>
      </c>
    </row>
    <row r="845" spans="1:6" x14ac:dyDescent="0.35">
      <c r="A845">
        <v>20260101</v>
      </c>
      <c r="B845" t="s">
        <v>1155</v>
      </c>
      <c r="C845" t="s">
        <v>1469</v>
      </c>
      <c r="D845">
        <v>3</v>
      </c>
      <c r="E845">
        <v>0</v>
      </c>
      <c r="F845" t="s">
        <v>1452</v>
      </c>
    </row>
    <row r="846" spans="1:6" x14ac:dyDescent="0.35">
      <c r="A846">
        <v>20260101</v>
      </c>
      <c r="B846" t="s">
        <v>1155</v>
      </c>
      <c r="C846" t="s">
        <v>1470</v>
      </c>
      <c r="D846">
        <v>1.5</v>
      </c>
      <c r="E846">
        <v>0</v>
      </c>
      <c r="F846" t="s">
        <v>1452</v>
      </c>
    </row>
    <row r="847" spans="1:6" x14ac:dyDescent="0.35">
      <c r="A847">
        <v>20260101</v>
      </c>
      <c r="B847" t="s">
        <v>1138</v>
      </c>
      <c r="C847" t="s">
        <v>1466</v>
      </c>
      <c r="D847">
        <v>6</v>
      </c>
      <c r="E847">
        <v>6</v>
      </c>
      <c r="F847" t="s">
        <v>1452</v>
      </c>
    </row>
    <row r="848" spans="1:6" x14ac:dyDescent="0.35">
      <c r="A848">
        <v>20260101</v>
      </c>
      <c r="B848" t="s">
        <v>1138</v>
      </c>
      <c r="C848" t="s">
        <v>1467</v>
      </c>
      <c r="D848">
        <v>9</v>
      </c>
      <c r="E848">
        <v>8.5</v>
      </c>
      <c r="F848" t="s">
        <v>1452</v>
      </c>
    </row>
    <row r="849" spans="1:6" x14ac:dyDescent="0.35">
      <c r="A849">
        <v>20260101</v>
      </c>
      <c r="B849" t="s">
        <v>1138</v>
      </c>
      <c r="C849" t="s">
        <v>1468</v>
      </c>
      <c r="D849">
        <v>5</v>
      </c>
      <c r="E849">
        <v>4</v>
      </c>
      <c r="F849" t="s">
        <v>1452</v>
      </c>
    </row>
    <row r="850" spans="1:6" x14ac:dyDescent="0.35">
      <c r="A850">
        <v>20260101</v>
      </c>
      <c r="B850" t="s">
        <v>1138</v>
      </c>
      <c r="C850" t="s">
        <v>1469</v>
      </c>
      <c r="D850">
        <v>3</v>
      </c>
      <c r="E850">
        <v>0</v>
      </c>
      <c r="F850" t="s">
        <v>1452</v>
      </c>
    </row>
    <row r="851" spans="1:6" x14ac:dyDescent="0.35">
      <c r="A851">
        <v>20260101</v>
      </c>
      <c r="B851" t="s">
        <v>1138</v>
      </c>
      <c r="C851" t="s">
        <v>1470</v>
      </c>
      <c r="D851">
        <v>1.5</v>
      </c>
      <c r="E851">
        <v>0</v>
      </c>
      <c r="F851" t="s">
        <v>1452</v>
      </c>
    </row>
    <row r="852" spans="1:6" x14ac:dyDescent="0.35">
      <c r="A852">
        <v>20260201</v>
      </c>
      <c r="B852" t="s">
        <v>1150</v>
      </c>
      <c r="C852" t="s">
        <v>1466</v>
      </c>
      <c r="D852">
        <v>6</v>
      </c>
      <c r="E852">
        <v>6</v>
      </c>
      <c r="F852" t="s">
        <v>1452</v>
      </c>
    </row>
    <row r="853" spans="1:6" x14ac:dyDescent="0.35">
      <c r="A853">
        <v>20260201</v>
      </c>
      <c r="B853" t="s">
        <v>1150</v>
      </c>
      <c r="C853" t="s">
        <v>1467</v>
      </c>
      <c r="D853">
        <v>9</v>
      </c>
      <c r="E853">
        <v>8.5</v>
      </c>
      <c r="F853" t="s">
        <v>1452</v>
      </c>
    </row>
    <row r="854" spans="1:6" x14ac:dyDescent="0.35">
      <c r="A854">
        <v>20260201</v>
      </c>
      <c r="B854" t="s">
        <v>1150</v>
      </c>
      <c r="C854" t="s">
        <v>1468</v>
      </c>
      <c r="D854">
        <v>5</v>
      </c>
      <c r="E854">
        <v>4</v>
      </c>
      <c r="F854" t="s">
        <v>1452</v>
      </c>
    </row>
    <row r="855" spans="1:6" x14ac:dyDescent="0.35">
      <c r="A855">
        <v>20260201</v>
      </c>
      <c r="B855" t="s">
        <v>1150</v>
      </c>
      <c r="C855" t="s">
        <v>1469</v>
      </c>
      <c r="D855">
        <v>3</v>
      </c>
      <c r="E855">
        <v>0</v>
      </c>
      <c r="F855" t="s">
        <v>1452</v>
      </c>
    </row>
    <row r="856" spans="1:6" x14ac:dyDescent="0.35">
      <c r="A856">
        <v>20260201</v>
      </c>
      <c r="B856" t="s">
        <v>1150</v>
      </c>
      <c r="C856" t="s">
        <v>1470</v>
      </c>
      <c r="D856">
        <v>1.5</v>
      </c>
      <c r="E856">
        <v>0</v>
      </c>
      <c r="F856" t="s">
        <v>1452</v>
      </c>
    </row>
    <row r="857" spans="1:6" x14ac:dyDescent="0.35">
      <c r="A857">
        <v>20260201</v>
      </c>
      <c r="B857" t="s">
        <v>1158</v>
      </c>
      <c r="C857" t="s">
        <v>1466</v>
      </c>
      <c r="D857">
        <v>6</v>
      </c>
      <c r="E857">
        <v>6</v>
      </c>
      <c r="F857" t="s">
        <v>1452</v>
      </c>
    </row>
    <row r="858" spans="1:6" x14ac:dyDescent="0.35">
      <c r="A858">
        <v>20260201</v>
      </c>
      <c r="B858" t="s">
        <v>1158</v>
      </c>
      <c r="C858" t="s">
        <v>1467</v>
      </c>
      <c r="D858">
        <v>9</v>
      </c>
      <c r="E858">
        <v>8.5</v>
      </c>
      <c r="F858" t="s">
        <v>1452</v>
      </c>
    </row>
    <row r="859" spans="1:6" x14ac:dyDescent="0.35">
      <c r="A859">
        <v>20260201</v>
      </c>
      <c r="B859" t="s">
        <v>1158</v>
      </c>
      <c r="C859" t="s">
        <v>1468</v>
      </c>
      <c r="D859">
        <v>5</v>
      </c>
      <c r="E859">
        <v>4</v>
      </c>
      <c r="F859" t="s">
        <v>1452</v>
      </c>
    </row>
    <row r="860" spans="1:6" x14ac:dyDescent="0.35">
      <c r="A860">
        <v>20260201</v>
      </c>
      <c r="B860" t="s">
        <v>1158</v>
      </c>
      <c r="C860" t="s">
        <v>1469</v>
      </c>
      <c r="D860">
        <v>3</v>
      </c>
      <c r="E860">
        <v>0</v>
      </c>
      <c r="F860" t="s">
        <v>1452</v>
      </c>
    </row>
    <row r="861" spans="1:6" x14ac:dyDescent="0.35">
      <c r="A861">
        <v>20260201</v>
      </c>
      <c r="B861" t="s">
        <v>1158</v>
      </c>
      <c r="C861" t="s">
        <v>1470</v>
      </c>
      <c r="D861">
        <v>1.5</v>
      </c>
      <c r="E861">
        <v>0</v>
      </c>
      <c r="F861" t="s">
        <v>1452</v>
      </c>
    </row>
    <row r="862" spans="1:6" x14ac:dyDescent="0.35">
      <c r="A862">
        <v>20260201</v>
      </c>
      <c r="B862" t="s">
        <v>1205</v>
      </c>
      <c r="C862" t="s">
        <v>1466</v>
      </c>
      <c r="D862">
        <v>6</v>
      </c>
      <c r="E862">
        <v>6</v>
      </c>
      <c r="F862" t="s">
        <v>1452</v>
      </c>
    </row>
    <row r="863" spans="1:6" x14ac:dyDescent="0.35">
      <c r="A863">
        <v>20260201</v>
      </c>
      <c r="B863" t="s">
        <v>1205</v>
      </c>
      <c r="C863" t="s">
        <v>1467</v>
      </c>
      <c r="D863">
        <v>9</v>
      </c>
      <c r="E863">
        <v>8.5</v>
      </c>
      <c r="F863" t="s">
        <v>1452</v>
      </c>
    </row>
    <row r="864" spans="1:6" x14ac:dyDescent="0.35">
      <c r="A864">
        <v>20260201</v>
      </c>
      <c r="B864" t="s">
        <v>1205</v>
      </c>
      <c r="C864" t="s">
        <v>1468</v>
      </c>
      <c r="D864">
        <v>5</v>
      </c>
      <c r="E864">
        <v>4</v>
      </c>
      <c r="F864" t="s">
        <v>1452</v>
      </c>
    </row>
    <row r="865" spans="1:6" x14ac:dyDescent="0.35">
      <c r="A865">
        <v>20260201</v>
      </c>
      <c r="B865" t="s">
        <v>1205</v>
      </c>
      <c r="C865" t="s">
        <v>1469</v>
      </c>
      <c r="D865">
        <v>3</v>
      </c>
      <c r="E865">
        <v>0</v>
      </c>
      <c r="F865" t="s">
        <v>1452</v>
      </c>
    </row>
    <row r="866" spans="1:6" x14ac:dyDescent="0.35">
      <c r="A866">
        <v>20260201</v>
      </c>
      <c r="B866" t="s">
        <v>1205</v>
      </c>
      <c r="C866" t="s">
        <v>1470</v>
      </c>
      <c r="D866">
        <v>1.5</v>
      </c>
      <c r="E866">
        <v>0</v>
      </c>
      <c r="F866" t="s">
        <v>1452</v>
      </c>
    </row>
    <row r="867" spans="1:6" x14ac:dyDescent="0.35">
      <c r="A867">
        <v>20260201</v>
      </c>
      <c r="B867" t="s">
        <v>1164</v>
      </c>
      <c r="C867" t="s">
        <v>1466</v>
      </c>
      <c r="D867">
        <v>6</v>
      </c>
      <c r="E867">
        <v>6</v>
      </c>
      <c r="F867" t="s">
        <v>1452</v>
      </c>
    </row>
    <row r="868" spans="1:6" x14ac:dyDescent="0.35">
      <c r="A868">
        <v>20260201</v>
      </c>
      <c r="B868" t="s">
        <v>1164</v>
      </c>
      <c r="C868" t="s">
        <v>1467</v>
      </c>
      <c r="D868">
        <v>9</v>
      </c>
      <c r="E868">
        <v>8.5</v>
      </c>
      <c r="F868" t="s">
        <v>1452</v>
      </c>
    </row>
    <row r="869" spans="1:6" x14ac:dyDescent="0.35">
      <c r="A869">
        <v>20260201</v>
      </c>
      <c r="B869" t="s">
        <v>1164</v>
      </c>
      <c r="C869" t="s">
        <v>1468</v>
      </c>
      <c r="D869">
        <v>5</v>
      </c>
      <c r="E869">
        <v>4</v>
      </c>
      <c r="F869" t="s">
        <v>1452</v>
      </c>
    </row>
    <row r="870" spans="1:6" x14ac:dyDescent="0.35">
      <c r="A870">
        <v>20260201</v>
      </c>
      <c r="B870" t="s">
        <v>1164</v>
      </c>
      <c r="C870" t="s">
        <v>1469</v>
      </c>
      <c r="D870">
        <v>3</v>
      </c>
      <c r="E870">
        <v>0</v>
      </c>
      <c r="F870" t="s">
        <v>1452</v>
      </c>
    </row>
    <row r="871" spans="1:6" x14ac:dyDescent="0.35">
      <c r="A871">
        <v>20260201</v>
      </c>
      <c r="B871" t="s">
        <v>1164</v>
      </c>
      <c r="C871" t="s">
        <v>1470</v>
      </c>
      <c r="D871">
        <v>1.5</v>
      </c>
      <c r="E871">
        <v>0</v>
      </c>
      <c r="F871" t="s">
        <v>1452</v>
      </c>
    </row>
    <row r="872" spans="1:6" x14ac:dyDescent="0.35">
      <c r="A872">
        <v>20260201</v>
      </c>
      <c r="B872" t="s">
        <v>1169</v>
      </c>
      <c r="C872" t="s">
        <v>1466</v>
      </c>
      <c r="D872">
        <v>6</v>
      </c>
      <c r="E872">
        <v>6</v>
      </c>
      <c r="F872" t="s">
        <v>1452</v>
      </c>
    </row>
    <row r="873" spans="1:6" x14ac:dyDescent="0.35">
      <c r="A873">
        <v>20260201</v>
      </c>
      <c r="B873" t="s">
        <v>1169</v>
      </c>
      <c r="C873" t="s">
        <v>1467</v>
      </c>
      <c r="D873">
        <v>9</v>
      </c>
      <c r="E873">
        <v>8.5</v>
      </c>
      <c r="F873" t="s">
        <v>1452</v>
      </c>
    </row>
    <row r="874" spans="1:6" x14ac:dyDescent="0.35">
      <c r="A874">
        <v>20260201</v>
      </c>
      <c r="B874" t="s">
        <v>1169</v>
      </c>
      <c r="C874" t="s">
        <v>1468</v>
      </c>
      <c r="D874">
        <v>5</v>
      </c>
      <c r="E874">
        <v>4</v>
      </c>
      <c r="F874" t="s">
        <v>1452</v>
      </c>
    </row>
    <row r="875" spans="1:6" x14ac:dyDescent="0.35">
      <c r="A875">
        <v>20260201</v>
      </c>
      <c r="B875" t="s">
        <v>1169</v>
      </c>
      <c r="C875" t="s">
        <v>1469</v>
      </c>
      <c r="D875">
        <v>3</v>
      </c>
      <c r="E875">
        <v>0</v>
      </c>
      <c r="F875" t="s">
        <v>1452</v>
      </c>
    </row>
    <row r="876" spans="1:6" x14ac:dyDescent="0.35">
      <c r="A876">
        <v>20260201</v>
      </c>
      <c r="B876" t="s">
        <v>1169</v>
      </c>
      <c r="C876" t="s">
        <v>1470</v>
      </c>
      <c r="D876">
        <v>1.5</v>
      </c>
      <c r="E876">
        <v>0</v>
      </c>
      <c r="F876" t="s">
        <v>1452</v>
      </c>
    </row>
    <row r="877" spans="1:6" x14ac:dyDescent="0.35">
      <c r="A877">
        <v>20260201</v>
      </c>
      <c r="B877" t="s">
        <v>1175</v>
      </c>
      <c r="C877" t="s">
        <v>1466</v>
      </c>
      <c r="D877">
        <v>6</v>
      </c>
      <c r="E877">
        <v>6</v>
      </c>
      <c r="F877" t="s">
        <v>1452</v>
      </c>
    </row>
    <row r="878" spans="1:6" x14ac:dyDescent="0.35">
      <c r="A878">
        <v>20260201</v>
      </c>
      <c r="B878" t="s">
        <v>1175</v>
      </c>
      <c r="C878" t="s">
        <v>1467</v>
      </c>
      <c r="D878">
        <v>9</v>
      </c>
      <c r="E878">
        <v>8.5</v>
      </c>
      <c r="F878" t="s">
        <v>1452</v>
      </c>
    </row>
    <row r="879" spans="1:6" x14ac:dyDescent="0.35">
      <c r="A879">
        <v>20260201</v>
      </c>
      <c r="B879" t="s">
        <v>1175</v>
      </c>
      <c r="C879" t="s">
        <v>1468</v>
      </c>
      <c r="D879">
        <v>5</v>
      </c>
      <c r="E879">
        <v>4</v>
      </c>
      <c r="F879" t="s">
        <v>1452</v>
      </c>
    </row>
    <row r="880" spans="1:6" x14ac:dyDescent="0.35">
      <c r="A880">
        <v>20260201</v>
      </c>
      <c r="B880" t="s">
        <v>1175</v>
      </c>
      <c r="C880" t="s">
        <v>1469</v>
      </c>
      <c r="D880">
        <v>3</v>
      </c>
      <c r="E880">
        <v>0</v>
      </c>
      <c r="F880" t="s">
        <v>1452</v>
      </c>
    </row>
    <row r="881" spans="1:6" x14ac:dyDescent="0.35">
      <c r="A881">
        <v>20260201</v>
      </c>
      <c r="B881" t="s">
        <v>1175</v>
      </c>
      <c r="C881" t="s">
        <v>1470</v>
      </c>
      <c r="D881">
        <v>1.5</v>
      </c>
      <c r="E881">
        <v>0</v>
      </c>
      <c r="F881" t="s">
        <v>1452</v>
      </c>
    </row>
    <row r="882" spans="1:6" x14ac:dyDescent="0.35">
      <c r="A882">
        <v>20260201</v>
      </c>
      <c r="B882" t="s">
        <v>1130</v>
      </c>
      <c r="C882" t="s">
        <v>1466</v>
      </c>
      <c r="D882">
        <v>6</v>
      </c>
      <c r="E882">
        <v>6</v>
      </c>
      <c r="F882" t="s">
        <v>1452</v>
      </c>
    </row>
    <row r="883" spans="1:6" x14ac:dyDescent="0.35">
      <c r="A883">
        <v>20260201</v>
      </c>
      <c r="B883" t="s">
        <v>1130</v>
      </c>
      <c r="C883" t="s">
        <v>1467</v>
      </c>
      <c r="D883">
        <v>9</v>
      </c>
      <c r="E883">
        <v>8.5</v>
      </c>
      <c r="F883" t="s">
        <v>1452</v>
      </c>
    </row>
    <row r="884" spans="1:6" x14ac:dyDescent="0.35">
      <c r="A884">
        <v>20260201</v>
      </c>
      <c r="B884" t="s">
        <v>1130</v>
      </c>
      <c r="C884" t="s">
        <v>1468</v>
      </c>
      <c r="D884">
        <v>5</v>
      </c>
      <c r="E884">
        <v>4</v>
      </c>
      <c r="F884" t="s">
        <v>1452</v>
      </c>
    </row>
    <row r="885" spans="1:6" x14ac:dyDescent="0.35">
      <c r="A885">
        <v>20260201</v>
      </c>
      <c r="B885" t="s">
        <v>1130</v>
      </c>
      <c r="C885" t="s">
        <v>1469</v>
      </c>
      <c r="D885">
        <v>3</v>
      </c>
      <c r="E885">
        <v>0</v>
      </c>
      <c r="F885" t="s">
        <v>1452</v>
      </c>
    </row>
    <row r="886" spans="1:6" x14ac:dyDescent="0.35">
      <c r="A886">
        <v>20260201</v>
      </c>
      <c r="B886" t="s">
        <v>1130</v>
      </c>
      <c r="C886" t="s">
        <v>1470</v>
      </c>
      <c r="D886">
        <v>1.5</v>
      </c>
      <c r="E886">
        <v>0</v>
      </c>
      <c r="F886" t="s">
        <v>1452</v>
      </c>
    </row>
    <row r="887" spans="1:6" x14ac:dyDescent="0.35">
      <c r="A887">
        <v>20260201</v>
      </c>
      <c r="B887" t="s">
        <v>1173</v>
      </c>
      <c r="C887" t="s">
        <v>1466</v>
      </c>
      <c r="D887">
        <v>6</v>
      </c>
      <c r="E887">
        <v>6</v>
      </c>
      <c r="F887" t="s">
        <v>1452</v>
      </c>
    </row>
    <row r="888" spans="1:6" x14ac:dyDescent="0.35">
      <c r="A888">
        <v>20260201</v>
      </c>
      <c r="B888" t="s">
        <v>1173</v>
      </c>
      <c r="C888" t="s">
        <v>1467</v>
      </c>
      <c r="D888">
        <v>9</v>
      </c>
      <c r="E888">
        <v>8.5</v>
      </c>
      <c r="F888" t="s">
        <v>1452</v>
      </c>
    </row>
    <row r="889" spans="1:6" x14ac:dyDescent="0.35">
      <c r="A889">
        <v>20260201</v>
      </c>
      <c r="B889" t="s">
        <v>1173</v>
      </c>
      <c r="C889" t="s">
        <v>1468</v>
      </c>
      <c r="D889">
        <v>5</v>
      </c>
      <c r="E889">
        <v>4</v>
      </c>
      <c r="F889" t="s">
        <v>1452</v>
      </c>
    </row>
    <row r="890" spans="1:6" x14ac:dyDescent="0.35">
      <c r="A890">
        <v>20260201</v>
      </c>
      <c r="B890" t="s">
        <v>1173</v>
      </c>
      <c r="C890" t="s">
        <v>1469</v>
      </c>
      <c r="D890">
        <v>3</v>
      </c>
      <c r="E890">
        <v>0</v>
      </c>
      <c r="F890" t="s">
        <v>1452</v>
      </c>
    </row>
    <row r="891" spans="1:6" x14ac:dyDescent="0.35">
      <c r="A891">
        <v>20260201</v>
      </c>
      <c r="B891" t="s">
        <v>1173</v>
      </c>
      <c r="C891" t="s">
        <v>1470</v>
      </c>
      <c r="D891">
        <v>1.5</v>
      </c>
      <c r="E891">
        <v>0</v>
      </c>
      <c r="F891" t="s">
        <v>1452</v>
      </c>
    </row>
    <row r="892" spans="1:6" x14ac:dyDescent="0.35">
      <c r="A892">
        <v>20260201</v>
      </c>
      <c r="B892" t="s">
        <v>1155</v>
      </c>
      <c r="C892" t="s">
        <v>1466</v>
      </c>
      <c r="D892">
        <v>6</v>
      </c>
      <c r="E892">
        <v>6</v>
      </c>
      <c r="F892" t="s">
        <v>1452</v>
      </c>
    </row>
    <row r="893" spans="1:6" x14ac:dyDescent="0.35">
      <c r="A893">
        <v>20260201</v>
      </c>
      <c r="B893" t="s">
        <v>1155</v>
      </c>
      <c r="C893" t="s">
        <v>1467</v>
      </c>
      <c r="D893">
        <v>9</v>
      </c>
      <c r="E893">
        <v>8.5</v>
      </c>
      <c r="F893" t="s">
        <v>1452</v>
      </c>
    </row>
    <row r="894" spans="1:6" x14ac:dyDescent="0.35">
      <c r="A894">
        <v>20260201</v>
      </c>
      <c r="B894" t="s">
        <v>1155</v>
      </c>
      <c r="C894" t="s">
        <v>1468</v>
      </c>
      <c r="D894">
        <v>5</v>
      </c>
      <c r="E894">
        <v>4</v>
      </c>
      <c r="F894" t="s">
        <v>1452</v>
      </c>
    </row>
    <row r="895" spans="1:6" x14ac:dyDescent="0.35">
      <c r="A895">
        <v>20260201</v>
      </c>
      <c r="B895" t="s">
        <v>1155</v>
      </c>
      <c r="C895" t="s">
        <v>1469</v>
      </c>
      <c r="D895">
        <v>3</v>
      </c>
      <c r="E895">
        <v>0</v>
      </c>
      <c r="F895" t="s">
        <v>1452</v>
      </c>
    </row>
    <row r="896" spans="1:6" x14ac:dyDescent="0.35">
      <c r="A896">
        <v>20260201</v>
      </c>
      <c r="B896" t="s">
        <v>1155</v>
      </c>
      <c r="C896" t="s">
        <v>1470</v>
      </c>
      <c r="D896">
        <v>1.5</v>
      </c>
      <c r="E896">
        <v>0</v>
      </c>
      <c r="F896" t="s">
        <v>1452</v>
      </c>
    </row>
    <row r="897" spans="1:6" x14ac:dyDescent="0.35">
      <c r="A897">
        <v>20260201</v>
      </c>
      <c r="B897" t="s">
        <v>1138</v>
      </c>
      <c r="C897" t="s">
        <v>1466</v>
      </c>
      <c r="D897">
        <v>6</v>
      </c>
      <c r="E897">
        <v>6</v>
      </c>
      <c r="F897" t="s">
        <v>1452</v>
      </c>
    </row>
    <row r="898" spans="1:6" x14ac:dyDescent="0.35">
      <c r="A898">
        <v>20260201</v>
      </c>
      <c r="B898" t="s">
        <v>1138</v>
      </c>
      <c r="C898" t="s">
        <v>1467</v>
      </c>
      <c r="D898">
        <v>9</v>
      </c>
      <c r="E898">
        <v>8.5</v>
      </c>
      <c r="F898" t="s">
        <v>1452</v>
      </c>
    </row>
    <row r="899" spans="1:6" x14ac:dyDescent="0.35">
      <c r="A899">
        <v>20260201</v>
      </c>
      <c r="B899" t="s">
        <v>1138</v>
      </c>
      <c r="C899" t="s">
        <v>1468</v>
      </c>
      <c r="D899">
        <v>5</v>
      </c>
      <c r="E899">
        <v>4</v>
      </c>
      <c r="F899" t="s">
        <v>1452</v>
      </c>
    </row>
    <row r="900" spans="1:6" x14ac:dyDescent="0.35">
      <c r="A900">
        <v>20260201</v>
      </c>
      <c r="B900" t="s">
        <v>1138</v>
      </c>
      <c r="C900" t="s">
        <v>1469</v>
      </c>
      <c r="D900">
        <v>3</v>
      </c>
      <c r="E900">
        <v>0</v>
      </c>
      <c r="F900" t="s">
        <v>1452</v>
      </c>
    </row>
    <row r="901" spans="1:6" x14ac:dyDescent="0.35">
      <c r="A901">
        <v>20260201</v>
      </c>
      <c r="B901" t="s">
        <v>1138</v>
      </c>
      <c r="C901" t="s">
        <v>1470</v>
      </c>
      <c r="D901">
        <v>1.5</v>
      </c>
      <c r="E901">
        <v>0</v>
      </c>
      <c r="F901" t="s">
        <v>1452</v>
      </c>
    </row>
    <row r="902" spans="1:6" x14ac:dyDescent="0.35">
      <c r="A902">
        <v>20260301</v>
      </c>
      <c r="B902" t="s">
        <v>1150</v>
      </c>
      <c r="C902" t="s">
        <v>1466</v>
      </c>
      <c r="D902">
        <v>6</v>
      </c>
      <c r="E902">
        <v>6</v>
      </c>
      <c r="F902" t="s">
        <v>1452</v>
      </c>
    </row>
    <row r="903" spans="1:6" x14ac:dyDescent="0.35">
      <c r="A903">
        <v>20260301</v>
      </c>
      <c r="B903" t="s">
        <v>1150</v>
      </c>
      <c r="C903" t="s">
        <v>1467</v>
      </c>
      <c r="D903">
        <v>9</v>
      </c>
      <c r="E903">
        <v>8.5</v>
      </c>
      <c r="F903" t="s">
        <v>1452</v>
      </c>
    </row>
    <row r="904" spans="1:6" x14ac:dyDescent="0.35">
      <c r="A904">
        <v>20260301</v>
      </c>
      <c r="B904" t="s">
        <v>1150</v>
      </c>
      <c r="C904" t="s">
        <v>1468</v>
      </c>
      <c r="D904">
        <v>5</v>
      </c>
      <c r="E904">
        <v>4</v>
      </c>
      <c r="F904" t="s">
        <v>1452</v>
      </c>
    </row>
    <row r="905" spans="1:6" x14ac:dyDescent="0.35">
      <c r="A905">
        <v>20260301</v>
      </c>
      <c r="B905" t="s">
        <v>1150</v>
      </c>
      <c r="C905" t="s">
        <v>1469</v>
      </c>
      <c r="D905">
        <v>3</v>
      </c>
      <c r="E905">
        <v>0</v>
      </c>
      <c r="F905" t="s">
        <v>1452</v>
      </c>
    </row>
    <row r="906" spans="1:6" x14ac:dyDescent="0.35">
      <c r="A906">
        <v>20260301</v>
      </c>
      <c r="B906" t="s">
        <v>1150</v>
      </c>
      <c r="C906" t="s">
        <v>1470</v>
      </c>
      <c r="D906">
        <v>1.5</v>
      </c>
      <c r="E906">
        <v>0</v>
      </c>
      <c r="F906" t="s">
        <v>1452</v>
      </c>
    </row>
    <row r="907" spans="1:6" x14ac:dyDescent="0.35">
      <c r="A907">
        <v>20260301</v>
      </c>
      <c r="B907" t="s">
        <v>1158</v>
      </c>
      <c r="C907" t="s">
        <v>1466</v>
      </c>
      <c r="D907">
        <v>6</v>
      </c>
      <c r="E907">
        <v>6</v>
      </c>
      <c r="F907" t="s">
        <v>1452</v>
      </c>
    </row>
    <row r="908" spans="1:6" x14ac:dyDescent="0.35">
      <c r="A908">
        <v>20260301</v>
      </c>
      <c r="B908" t="s">
        <v>1158</v>
      </c>
      <c r="C908" t="s">
        <v>1467</v>
      </c>
      <c r="D908">
        <v>9</v>
      </c>
      <c r="E908">
        <v>8.5</v>
      </c>
      <c r="F908" t="s">
        <v>1452</v>
      </c>
    </row>
    <row r="909" spans="1:6" x14ac:dyDescent="0.35">
      <c r="A909">
        <v>20260301</v>
      </c>
      <c r="B909" t="s">
        <v>1158</v>
      </c>
      <c r="C909" t="s">
        <v>1468</v>
      </c>
      <c r="D909">
        <v>5</v>
      </c>
      <c r="E909">
        <v>4</v>
      </c>
      <c r="F909" t="s">
        <v>1452</v>
      </c>
    </row>
    <row r="910" spans="1:6" x14ac:dyDescent="0.35">
      <c r="A910">
        <v>20260301</v>
      </c>
      <c r="B910" t="s">
        <v>1158</v>
      </c>
      <c r="C910" t="s">
        <v>1469</v>
      </c>
      <c r="D910">
        <v>3</v>
      </c>
      <c r="E910">
        <v>0</v>
      </c>
      <c r="F910" t="s">
        <v>1452</v>
      </c>
    </row>
    <row r="911" spans="1:6" x14ac:dyDescent="0.35">
      <c r="A911">
        <v>20260301</v>
      </c>
      <c r="B911" t="s">
        <v>1158</v>
      </c>
      <c r="C911" t="s">
        <v>1470</v>
      </c>
      <c r="D911">
        <v>1.5</v>
      </c>
      <c r="E911">
        <v>0</v>
      </c>
      <c r="F911" t="s">
        <v>1452</v>
      </c>
    </row>
    <row r="912" spans="1:6" x14ac:dyDescent="0.35">
      <c r="A912">
        <v>20260301</v>
      </c>
      <c r="B912" t="s">
        <v>1205</v>
      </c>
      <c r="C912" t="s">
        <v>1466</v>
      </c>
      <c r="D912">
        <v>6</v>
      </c>
      <c r="E912">
        <v>6</v>
      </c>
      <c r="F912" t="s">
        <v>1452</v>
      </c>
    </row>
    <row r="913" spans="1:6" x14ac:dyDescent="0.35">
      <c r="A913">
        <v>20260301</v>
      </c>
      <c r="B913" t="s">
        <v>1205</v>
      </c>
      <c r="C913" t="s">
        <v>1467</v>
      </c>
      <c r="D913">
        <v>9</v>
      </c>
      <c r="E913">
        <v>8.5</v>
      </c>
      <c r="F913" t="s">
        <v>1452</v>
      </c>
    </row>
    <row r="914" spans="1:6" x14ac:dyDescent="0.35">
      <c r="A914">
        <v>20260301</v>
      </c>
      <c r="B914" t="s">
        <v>1205</v>
      </c>
      <c r="C914" t="s">
        <v>1468</v>
      </c>
      <c r="D914">
        <v>5</v>
      </c>
      <c r="E914">
        <v>4</v>
      </c>
      <c r="F914" t="s">
        <v>1452</v>
      </c>
    </row>
    <row r="915" spans="1:6" x14ac:dyDescent="0.35">
      <c r="A915">
        <v>20260301</v>
      </c>
      <c r="B915" t="s">
        <v>1205</v>
      </c>
      <c r="C915" t="s">
        <v>1469</v>
      </c>
      <c r="D915">
        <v>3</v>
      </c>
      <c r="E915">
        <v>0</v>
      </c>
      <c r="F915" t="s">
        <v>1452</v>
      </c>
    </row>
    <row r="916" spans="1:6" x14ac:dyDescent="0.35">
      <c r="A916">
        <v>20260301</v>
      </c>
      <c r="B916" t="s">
        <v>1205</v>
      </c>
      <c r="C916" t="s">
        <v>1470</v>
      </c>
      <c r="D916">
        <v>1.5</v>
      </c>
      <c r="E916">
        <v>0</v>
      </c>
      <c r="F916" t="s">
        <v>1452</v>
      </c>
    </row>
    <row r="917" spans="1:6" x14ac:dyDescent="0.35">
      <c r="A917">
        <v>20260301</v>
      </c>
      <c r="B917" t="s">
        <v>1164</v>
      </c>
      <c r="C917" t="s">
        <v>1466</v>
      </c>
      <c r="D917">
        <v>6</v>
      </c>
      <c r="E917">
        <v>6</v>
      </c>
      <c r="F917" t="s">
        <v>1452</v>
      </c>
    </row>
    <row r="918" spans="1:6" x14ac:dyDescent="0.35">
      <c r="A918">
        <v>20260301</v>
      </c>
      <c r="B918" t="s">
        <v>1164</v>
      </c>
      <c r="C918" t="s">
        <v>1467</v>
      </c>
      <c r="D918">
        <v>9</v>
      </c>
      <c r="E918">
        <v>8.5</v>
      </c>
      <c r="F918" t="s">
        <v>1452</v>
      </c>
    </row>
    <row r="919" spans="1:6" x14ac:dyDescent="0.35">
      <c r="A919">
        <v>20260301</v>
      </c>
      <c r="B919" t="s">
        <v>1164</v>
      </c>
      <c r="C919" t="s">
        <v>1468</v>
      </c>
      <c r="D919">
        <v>5</v>
      </c>
      <c r="E919">
        <v>4</v>
      </c>
      <c r="F919" t="s">
        <v>1452</v>
      </c>
    </row>
    <row r="920" spans="1:6" x14ac:dyDescent="0.35">
      <c r="A920">
        <v>20260301</v>
      </c>
      <c r="B920" t="s">
        <v>1164</v>
      </c>
      <c r="C920" t="s">
        <v>1469</v>
      </c>
      <c r="D920">
        <v>3</v>
      </c>
      <c r="E920">
        <v>0</v>
      </c>
      <c r="F920" t="s">
        <v>1452</v>
      </c>
    </row>
    <row r="921" spans="1:6" x14ac:dyDescent="0.35">
      <c r="A921">
        <v>20260301</v>
      </c>
      <c r="B921" t="s">
        <v>1164</v>
      </c>
      <c r="C921" t="s">
        <v>1470</v>
      </c>
      <c r="D921">
        <v>1.5</v>
      </c>
      <c r="E921">
        <v>0</v>
      </c>
      <c r="F921" t="s">
        <v>1452</v>
      </c>
    </row>
    <row r="922" spans="1:6" x14ac:dyDescent="0.35">
      <c r="A922">
        <v>20260301</v>
      </c>
      <c r="B922" t="s">
        <v>1169</v>
      </c>
      <c r="C922" t="s">
        <v>1466</v>
      </c>
      <c r="D922">
        <v>6</v>
      </c>
      <c r="E922">
        <v>6</v>
      </c>
      <c r="F922" t="s">
        <v>1452</v>
      </c>
    </row>
    <row r="923" spans="1:6" x14ac:dyDescent="0.35">
      <c r="A923">
        <v>20260301</v>
      </c>
      <c r="B923" t="s">
        <v>1169</v>
      </c>
      <c r="C923" t="s">
        <v>1467</v>
      </c>
      <c r="D923">
        <v>9</v>
      </c>
      <c r="E923">
        <v>8.5</v>
      </c>
      <c r="F923" t="s">
        <v>1452</v>
      </c>
    </row>
    <row r="924" spans="1:6" x14ac:dyDescent="0.35">
      <c r="A924">
        <v>20260301</v>
      </c>
      <c r="B924" t="s">
        <v>1169</v>
      </c>
      <c r="C924" t="s">
        <v>1468</v>
      </c>
      <c r="D924">
        <v>5</v>
      </c>
      <c r="E924">
        <v>4</v>
      </c>
      <c r="F924" t="s">
        <v>1452</v>
      </c>
    </row>
    <row r="925" spans="1:6" x14ac:dyDescent="0.35">
      <c r="A925">
        <v>20260301</v>
      </c>
      <c r="B925" t="s">
        <v>1169</v>
      </c>
      <c r="C925" t="s">
        <v>1469</v>
      </c>
      <c r="D925">
        <v>3</v>
      </c>
      <c r="E925">
        <v>0</v>
      </c>
      <c r="F925" t="s">
        <v>1452</v>
      </c>
    </row>
    <row r="926" spans="1:6" x14ac:dyDescent="0.35">
      <c r="A926">
        <v>20260301</v>
      </c>
      <c r="B926" t="s">
        <v>1169</v>
      </c>
      <c r="C926" t="s">
        <v>1470</v>
      </c>
      <c r="D926">
        <v>1.5</v>
      </c>
      <c r="E926">
        <v>0</v>
      </c>
      <c r="F926" t="s">
        <v>1452</v>
      </c>
    </row>
    <row r="927" spans="1:6" x14ac:dyDescent="0.35">
      <c r="A927">
        <v>20260301</v>
      </c>
      <c r="B927" t="s">
        <v>1175</v>
      </c>
      <c r="C927" t="s">
        <v>1466</v>
      </c>
      <c r="D927">
        <v>6</v>
      </c>
      <c r="E927">
        <v>6</v>
      </c>
      <c r="F927" t="s">
        <v>1452</v>
      </c>
    </row>
    <row r="928" spans="1:6" x14ac:dyDescent="0.35">
      <c r="A928">
        <v>20260301</v>
      </c>
      <c r="B928" t="s">
        <v>1175</v>
      </c>
      <c r="C928" t="s">
        <v>1467</v>
      </c>
      <c r="D928">
        <v>9</v>
      </c>
      <c r="E928">
        <v>8.5</v>
      </c>
      <c r="F928" t="s">
        <v>1452</v>
      </c>
    </row>
    <row r="929" spans="1:6" x14ac:dyDescent="0.35">
      <c r="A929">
        <v>20260301</v>
      </c>
      <c r="B929" t="s">
        <v>1175</v>
      </c>
      <c r="C929" t="s">
        <v>1468</v>
      </c>
      <c r="D929">
        <v>5</v>
      </c>
      <c r="E929">
        <v>4</v>
      </c>
      <c r="F929" t="s">
        <v>1452</v>
      </c>
    </row>
    <row r="930" spans="1:6" x14ac:dyDescent="0.35">
      <c r="A930">
        <v>20260301</v>
      </c>
      <c r="B930" t="s">
        <v>1175</v>
      </c>
      <c r="C930" t="s">
        <v>1469</v>
      </c>
      <c r="D930">
        <v>3</v>
      </c>
      <c r="E930">
        <v>0</v>
      </c>
      <c r="F930" t="s">
        <v>1452</v>
      </c>
    </row>
    <row r="931" spans="1:6" x14ac:dyDescent="0.35">
      <c r="A931">
        <v>20260301</v>
      </c>
      <c r="B931" t="s">
        <v>1175</v>
      </c>
      <c r="C931" t="s">
        <v>1470</v>
      </c>
      <c r="D931">
        <v>1.5</v>
      </c>
      <c r="E931">
        <v>0</v>
      </c>
      <c r="F931" t="s">
        <v>1452</v>
      </c>
    </row>
    <row r="932" spans="1:6" x14ac:dyDescent="0.35">
      <c r="A932">
        <v>20260301</v>
      </c>
      <c r="B932" t="s">
        <v>1130</v>
      </c>
      <c r="C932" t="s">
        <v>1466</v>
      </c>
      <c r="D932">
        <v>6</v>
      </c>
      <c r="E932">
        <v>6</v>
      </c>
      <c r="F932" t="s">
        <v>1452</v>
      </c>
    </row>
    <row r="933" spans="1:6" x14ac:dyDescent="0.35">
      <c r="A933">
        <v>20260301</v>
      </c>
      <c r="B933" t="s">
        <v>1130</v>
      </c>
      <c r="C933" t="s">
        <v>1467</v>
      </c>
      <c r="D933">
        <v>9</v>
      </c>
      <c r="E933">
        <v>8.5</v>
      </c>
      <c r="F933" t="s">
        <v>1452</v>
      </c>
    </row>
    <row r="934" spans="1:6" x14ac:dyDescent="0.35">
      <c r="A934">
        <v>20260301</v>
      </c>
      <c r="B934" t="s">
        <v>1130</v>
      </c>
      <c r="C934" t="s">
        <v>1468</v>
      </c>
      <c r="D934">
        <v>5</v>
      </c>
      <c r="E934">
        <v>4</v>
      </c>
      <c r="F934" t="s">
        <v>1452</v>
      </c>
    </row>
    <row r="935" spans="1:6" x14ac:dyDescent="0.35">
      <c r="A935">
        <v>20260301</v>
      </c>
      <c r="B935" t="s">
        <v>1130</v>
      </c>
      <c r="C935" t="s">
        <v>1469</v>
      </c>
      <c r="D935">
        <v>3</v>
      </c>
      <c r="E935">
        <v>0</v>
      </c>
      <c r="F935" t="s">
        <v>1452</v>
      </c>
    </row>
    <row r="936" spans="1:6" x14ac:dyDescent="0.35">
      <c r="A936">
        <v>20260301</v>
      </c>
      <c r="B936" t="s">
        <v>1130</v>
      </c>
      <c r="C936" t="s">
        <v>1470</v>
      </c>
      <c r="D936">
        <v>1.5</v>
      </c>
      <c r="E936">
        <v>0</v>
      </c>
      <c r="F936" t="s">
        <v>1452</v>
      </c>
    </row>
    <row r="937" spans="1:6" x14ac:dyDescent="0.35">
      <c r="A937">
        <v>20260301</v>
      </c>
      <c r="B937" t="s">
        <v>1173</v>
      </c>
      <c r="C937" t="s">
        <v>1466</v>
      </c>
      <c r="D937">
        <v>6</v>
      </c>
      <c r="E937">
        <v>6</v>
      </c>
      <c r="F937" t="s">
        <v>1452</v>
      </c>
    </row>
    <row r="938" spans="1:6" x14ac:dyDescent="0.35">
      <c r="A938">
        <v>20260301</v>
      </c>
      <c r="B938" t="s">
        <v>1173</v>
      </c>
      <c r="C938" t="s">
        <v>1467</v>
      </c>
      <c r="D938">
        <v>9</v>
      </c>
      <c r="E938">
        <v>8.5</v>
      </c>
      <c r="F938" t="s">
        <v>1452</v>
      </c>
    </row>
    <row r="939" spans="1:6" x14ac:dyDescent="0.35">
      <c r="A939">
        <v>20260301</v>
      </c>
      <c r="B939" t="s">
        <v>1173</v>
      </c>
      <c r="C939" t="s">
        <v>1468</v>
      </c>
      <c r="D939">
        <v>5</v>
      </c>
      <c r="E939">
        <v>4</v>
      </c>
      <c r="F939" t="s">
        <v>1452</v>
      </c>
    </row>
    <row r="940" spans="1:6" x14ac:dyDescent="0.35">
      <c r="A940">
        <v>20260301</v>
      </c>
      <c r="B940" t="s">
        <v>1173</v>
      </c>
      <c r="C940" t="s">
        <v>1469</v>
      </c>
      <c r="D940">
        <v>3</v>
      </c>
      <c r="E940">
        <v>0</v>
      </c>
      <c r="F940" t="s">
        <v>1452</v>
      </c>
    </row>
    <row r="941" spans="1:6" x14ac:dyDescent="0.35">
      <c r="A941">
        <v>20260301</v>
      </c>
      <c r="B941" t="s">
        <v>1173</v>
      </c>
      <c r="C941" t="s">
        <v>1470</v>
      </c>
      <c r="D941">
        <v>1.5</v>
      </c>
      <c r="E941">
        <v>0</v>
      </c>
      <c r="F941" t="s">
        <v>1452</v>
      </c>
    </row>
    <row r="942" spans="1:6" x14ac:dyDescent="0.35">
      <c r="A942">
        <v>20260301</v>
      </c>
      <c r="B942" t="s">
        <v>1155</v>
      </c>
      <c r="C942" t="s">
        <v>1466</v>
      </c>
      <c r="D942">
        <v>6</v>
      </c>
      <c r="E942">
        <v>6</v>
      </c>
      <c r="F942" t="s">
        <v>1452</v>
      </c>
    </row>
    <row r="943" spans="1:6" x14ac:dyDescent="0.35">
      <c r="A943">
        <v>20260301</v>
      </c>
      <c r="B943" t="s">
        <v>1155</v>
      </c>
      <c r="C943" t="s">
        <v>1467</v>
      </c>
      <c r="D943">
        <v>9</v>
      </c>
      <c r="E943">
        <v>8.5</v>
      </c>
      <c r="F943" t="s">
        <v>1452</v>
      </c>
    </row>
    <row r="944" spans="1:6" x14ac:dyDescent="0.35">
      <c r="A944">
        <v>20260301</v>
      </c>
      <c r="B944" t="s">
        <v>1155</v>
      </c>
      <c r="C944" t="s">
        <v>1468</v>
      </c>
      <c r="D944">
        <v>5</v>
      </c>
      <c r="E944">
        <v>4</v>
      </c>
      <c r="F944" t="s">
        <v>1452</v>
      </c>
    </row>
    <row r="945" spans="1:6" x14ac:dyDescent="0.35">
      <c r="A945">
        <v>20260301</v>
      </c>
      <c r="B945" t="s">
        <v>1155</v>
      </c>
      <c r="C945" t="s">
        <v>1469</v>
      </c>
      <c r="D945">
        <v>3</v>
      </c>
      <c r="E945">
        <v>0</v>
      </c>
      <c r="F945" t="s">
        <v>1452</v>
      </c>
    </row>
    <row r="946" spans="1:6" x14ac:dyDescent="0.35">
      <c r="A946">
        <v>20260301</v>
      </c>
      <c r="B946" t="s">
        <v>1155</v>
      </c>
      <c r="C946" t="s">
        <v>1470</v>
      </c>
      <c r="D946">
        <v>1.5</v>
      </c>
      <c r="E946">
        <v>0</v>
      </c>
      <c r="F946" t="s">
        <v>1452</v>
      </c>
    </row>
    <row r="947" spans="1:6" x14ac:dyDescent="0.35">
      <c r="A947">
        <v>20260301</v>
      </c>
      <c r="B947" t="s">
        <v>1138</v>
      </c>
      <c r="C947" t="s">
        <v>1466</v>
      </c>
      <c r="D947">
        <v>6</v>
      </c>
      <c r="E947">
        <v>6</v>
      </c>
      <c r="F947" t="s">
        <v>1452</v>
      </c>
    </row>
    <row r="948" spans="1:6" x14ac:dyDescent="0.35">
      <c r="A948">
        <v>20260301</v>
      </c>
      <c r="B948" t="s">
        <v>1138</v>
      </c>
      <c r="C948" t="s">
        <v>1467</v>
      </c>
      <c r="D948">
        <v>9</v>
      </c>
      <c r="E948">
        <v>8.5</v>
      </c>
      <c r="F948" t="s">
        <v>1452</v>
      </c>
    </row>
    <row r="949" spans="1:6" x14ac:dyDescent="0.35">
      <c r="A949">
        <v>20260301</v>
      </c>
      <c r="B949" t="s">
        <v>1138</v>
      </c>
      <c r="C949" t="s">
        <v>1468</v>
      </c>
      <c r="D949">
        <v>5</v>
      </c>
      <c r="E949">
        <v>4</v>
      </c>
      <c r="F949" t="s">
        <v>1452</v>
      </c>
    </row>
    <row r="950" spans="1:6" x14ac:dyDescent="0.35">
      <c r="A950">
        <v>20260301</v>
      </c>
      <c r="B950" t="s">
        <v>1138</v>
      </c>
      <c r="C950" t="s">
        <v>1469</v>
      </c>
      <c r="D950">
        <v>3</v>
      </c>
      <c r="E950">
        <v>0</v>
      </c>
      <c r="F950" t="s">
        <v>1452</v>
      </c>
    </row>
    <row r="951" spans="1:6" x14ac:dyDescent="0.35">
      <c r="A951">
        <v>20260301</v>
      </c>
      <c r="B951" t="s">
        <v>1138</v>
      </c>
      <c r="C951" t="s">
        <v>1470</v>
      </c>
      <c r="D951">
        <v>1.5</v>
      </c>
      <c r="E951">
        <v>0</v>
      </c>
      <c r="F951" t="s">
        <v>1452</v>
      </c>
    </row>
    <row r="952" spans="1:6" x14ac:dyDescent="0.35">
      <c r="A952">
        <v>20260401</v>
      </c>
      <c r="B952" t="s">
        <v>1150</v>
      </c>
      <c r="C952" t="s">
        <v>1466</v>
      </c>
      <c r="D952">
        <v>6</v>
      </c>
      <c r="E952">
        <v>6</v>
      </c>
      <c r="F952" t="s">
        <v>1452</v>
      </c>
    </row>
    <row r="953" spans="1:6" x14ac:dyDescent="0.35">
      <c r="A953">
        <v>20260401</v>
      </c>
      <c r="B953" t="s">
        <v>1150</v>
      </c>
      <c r="C953" t="s">
        <v>1467</v>
      </c>
      <c r="D953">
        <v>9</v>
      </c>
      <c r="E953">
        <v>8.5</v>
      </c>
      <c r="F953" t="s">
        <v>1452</v>
      </c>
    </row>
    <row r="954" spans="1:6" x14ac:dyDescent="0.35">
      <c r="A954">
        <v>20260401</v>
      </c>
      <c r="B954" t="s">
        <v>1150</v>
      </c>
      <c r="C954" t="s">
        <v>1468</v>
      </c>
      <c r="D954">
        <v>5</v>
      </c>
      <c r="E954">
        <v>4</v>
      </c>
      <c r="F954" t="s">
        <v>1452</v>
      </c>
    </row>
    <row r="955" spans="1:6" x14ac:dyDescent="0.35">
      <c r="A955">
        <v>20260401</v>
      </c>
      <c r="B955" t="s">
        <v>1150</v>
      </c>
      <c r="C955" t="s">
        <v>1469</v>
      </c>
      <c r="D955">
        <v>3</v>
      </c>
      <c r="E955">
        <v>0</v>
      </c>
      <c r="F955" t="s">
        <v>1452</v>
      </c>
    </row>
    <row r="956" spans="1:6" x14ac:dyDescent="0.35">
      <c r="A956">
        <v>20260401</v>
      </c>
      <c r="B956" t="s">
        <v>1150</v>
      </c>
      <c r="C956" t="s">
        <v>1470</v>
      </c>
      <c r="D956">
        <v>1.5</v>
      </c>
      <c r="E956">
        <v>0</v>
      </c>
      <c r="F956" t="s">
        <v>1452</v>
      </c>
    </row>
    <row r="957" spans="1:6" x14ac:dyDescent="0.35">
      <c r="A957">
        <v>20260401</v>
      </c>
      <c r="B957" t="s">
        <v>1158</v>
      </c>
      <c r="C957" t="s">
        <v>1466</v>
      </c>
      <c r="D957">
        <v>6</v>
      </c>
      <c r="E957">
        <v>6</v>
      </c>
      <c r="F957" t="s">
        <v>1452</v>
      </c>
    </row>
    <row r="958" spans="1:6" x14ac:dyDescent="0.35">
      <c r="A958">
        <v>20260401</v>
      </c>
      <c r="B958" t="s">
        <v>1158</v>
      </c>
      <c r="C958" t="s">
        <v>1467</v>
      </c>
      <c r="D958">
        <v>9</v>
      </c>
      <c r="E958">
        <v>8.5</v>
      </c>
      <c r="F958" t="s">
        <v>1452</v>
      </c>
    </row>
    <row r="959" spans="1:6" x14ac:dyDescent="0.35">
      <c r="A959">
        <v>20260401</v>
      </c>
      <c r="B959" t="s">
        <v>1158</v>
      </c>
      <c r="C959" t="s">
        <v>1468</v>
      </c>
      <c r="D959">
        <v>5</v>
      </c>
      <c r="E959">
        <v>4</v>
      </c>
      <c r="F959" t="s">
        <v>1452</v>
      </c>
    </row>
    <row r="960" spans="1:6" x14ac:dyDescent="0.35">
      <c r="A960">
        <v>20260401</v>
      </c>
      <c r="B960" t="s">
        <v>1158</v>
      </c>
      <c r="C960" t="s">
        <v>1469</v>
      </c>
      <c r="D960">
        <v>3</v>
      </c>
      <c r="E960">
        <v>0</v>
      </c>
      <c r="F960" t="s">
        <v>1452</v>
      </c>
    </row>
    <row r="961" spans="1:6" x14ac:dyDescent="0.35">
      <c r="A961">
        <v>20260401</v>
      </c>
      <c r="B961" t="s">
        <v>1158</v>
      </c>
      <c r="C961" t="s">
        <v>1470</v>
      </c>
      <c r="D961">
        <v>1.5</v>
      </c>
      <c r="E961">
        <v>0</v>
      </c>
      <c r="F961" t="s">
        <v>1452</v>
      </c>
    </row>
    <row r="962" spans="1:6" x14ac:dyDescent="0.35">
      <c r="A962">
        <v>20260401</v>
      </c>
      <c r="B962" t="s">
        <v>1205</v>
      </c>
      <c r="C962" t="s">
        <v>1466</v>
      </c>
      <c r="D962">
        <v>6</v>
      </c>
      <c r="E962">
        <v>6</v>
      </c>
      <c r="F962" t="s">
        <v>1452</v>
      </c>
    </row>
    <row r="963" spans="1:6" x14ac:dyDescent="0.35">
      <c r="A963">
        <v>20260401</v>
      </c>
      <c r="B963" t="s">
        <v>1205</v>
      </c>
      <c r="C963" t="s">
        <v>1467</v>
      </c>
      <c r="D963">
        <v>9</v>
      </c>
      <c r="E963">
        <v>8.5</v>
      </c>
      <c r="F963" t="s">
        <v>1452</v>
      </c>
    </row>
    <row r="964" spans="1:6" x14ac:dyDescent="0.35">
      <c r="A964">
        <v>20260401</v>
      </c>
      <c r="B964" t="s">
        <v>1205</v>
      </c>
      <c r="C964" t="s">
        <v>1468</v>
      </c>
      <c r="D964">
        <v>5</v>
      </c>
      <c r="E964">
        <v>4</v>
      </c>
      <c r="F964" t="s">
        <v>1452</v>
      </c>
    </row>
    <row r="965" spans="1:6" x14ac:dyDescent="0.35">
      <c r="A965">
        <v>20260401</v>
      </c>
      <c r="B965" t="s">
        <v>1205</v>
      </c>
      <c r="C965" t="s">
        <v>1469</v>
      </c>
      <c r="D965">
        <v>3</v>
      </c>
      <c r="E965">
        <v>0</v>
      </c>
      <c r="F965" t="s">
        <v>1452</v>
      </c>
    </row>
    <row r="966" spans="1:6" x14ac:dyDescent="0.35">
      <c r="A966">
        <v>20260401</v>
      </c>
      <c r="B966" t="s">
        <v>1205</v>
      </c>
      <c r="C966" t="s">
        <v>1470</v>
      </c>
      <c r="D966">
        <v>1.5</v>
      </c>
      <c r="E966">
        <v>0</v>
      </c>
      <c r="F966" t="s">
        <v>1452</v>
      </c>
    </row>
    <row r="967" spans="1:6" x14ac:dyDescent="0.35">
      <c r="A967">
        <v>20260401</v>
      </c>
      <c r="B967" t="s">
        <v>1164</v>
      </c>
      <c r="C967" t="s">
        <v>1466</v>
      </c>
      <c r="D967">
        <v>6</v>
      </c>
      <c r="E967">
        <v>6</v>
      </c>
      <c r="F967" t="s">
        <v>1452</v>
      </c>
    </row>
    <row r="968" spans="1:6" x14ac:dyDescent="0.35">
      <c r="A968">
        <v>20260401</v>
      </c>
      <c r="B968" t="s">
        <v>1164</v>
      </c>
      <c r="C968" t="s">
        <v>1467</v>
      </c>
      <c r="D968">
        <v>9</v>
      </c>
      <c r="E968">
        <v>8.5</v>
      </c>
      <c r="F968" t="s">
        <v>1452</v>
      </c>
    </row>
    <row r="969" spans="1:6" x14ac:dyDescent="0.35">
      <c r="A969">
        <v>20260401</v>
      </c>
      <c r="B969" t="s">
        <v>1164</v>
      </c>
      <c r="C969" t="s">
        <v>1468</v>
      </c>
      <c r="D969">
        <v>5</v>
      </c>
      <c r="E969">
        <v>4</v>
      </c>
      <c r="F969" t="s">
        <v>1452</v>
      </c>
    </row>
    <row r="970" spans="1:6" x14ac:dyDescent="0.35">
      <c r="A970">
        <v>20260401</v>
      </c>
      <c r="B970" t="s">
        <v>1164</v>
      </c>
      <c r="C970" t="s">
        <v>1469</v>
      </c>
      <c r="D970">
        <v>3</v>
      </c>
      <c r="E970">
        <v>0</v>
      </c>
      <c r="F970" t="s">
        <v>1452</v>
      </c>
    </row>
    <row r="971" spans="1:6" x14ac:dyDescent="0.35">
      <c r="A971">
        <v>20260401</v>
      </c>
      <c r="B971" t="s">
        <v>1164</v>
      </c>
      <c r="C971" t="s">
        <v>1470</v>
      </c>
      <c r="D971">
        <v>1.5</v>
      </c>
      <c r="E971">
        <v>0</v>
      </c>
      <c r="F971" t="s">
        <v>1452</v>
      </c>
    </row>
    <row r="972" spans="1:6" x14ac:dyDescent="0.35">
      <c r="A972">
        <v>20260401</v>
      </c>
      <c r="B972" t="s">
        <v>1169</v>
      </c>
      <c r="C972" t="s">
        <v>1466</v>
      </c>
      <c r="D972">
        <v>6</v>
      </c>
      <c r="E972">
        <v>6</v>
      </c>
      <c r="F972" t="s">
        <v>1452</v>
      </c>
    </row>
    <row r="973" spans="1:6" x14ac:dyDescent="0.35">
      <c r="A973">
        <v>20260401</v>
      </c>
      <c r="B973" t="s">
        <v>1169</v>
      </c>
      <c r="C973" t="s">
        <v>1467</v>
      </c>
      <c r="D973">
        <v>9</v>
      </c>
      <c r="E973">
        <v>8.5</v>
      </c>
      <c r="F973" t="s">
        <v>1452</v>
      </c>
    </row>
    <row r="974" spans="1:6" x14ac:dyDescent="0.35">
      <c r="A974">
        <v>20260401</v>
      </c>
      <c r="B974" t="s">
        <v>1169</v>
      </c>
      <c r="C974" t="s">
        <v>1468</v>
      </c>
      <c r="D974">
        <v>5</v>
      </c>
      <c r="E974">
        <v>4</v>
      </c>
      <c r="F974" t="s">
        <v>1452</v>
      </c>
    </row>
    <row r="975" spans="1:6" x14ac:dyDescent="0.35">
      <c r="A975">
        <v>20260401</v>
      </c>
      <c r="B975" t="s">
        <v>1169</v>
      </c>
      <c r="C975" t="s">
        <v>1469</v>
      </c>
      <c r="D975">
        <v>3</v>
      </c>
      <c r="E975">
        <v>0</v>
      </c>
      <c r="F975" t="s">
        <v>1452</v>
      </c>
    </row>
    <row r="976" spans="1:6" x14ac:dyDescent="0.35">
      <c r="A976">
        <v>20260401</v>
      </c>
      <c r="B976" t="s">
        <v>1169</v>
      </c>
      <c r="C976" t="s">
        <v>1470</v>
      </c>
      <c r="D976">
        <v>1.5</v>
      </c>
      <c r="E976">
        <v>0</v>
      </c>
      <c r="F976" t="s">
        <v>1452</v>
      </c>
    </row>
    <row r="977" spans="1:6" x14ac:dyDescent="0.35">
      <c r="A977">
        <v>20260401</v>
      </c>
      <c r="B977" t="s">
        <v>1175</v>
      </c>
      <c r="C977" t="s">
        <v>1466</v>
      </c>
      <c r="D977">
        <v>6</v>
      </c>
      <c r="E977">
        <v>6</v>
      </c>
      <c r="F977" t="s">
        <v>1452</v>
      </c>
    </row>
    <row r="978" spans="1:6" x14ac:dyDescent="0.35">
      <c r="A978">
        <v>20260401</v>
      </c>
      <c r="B978" t="s">
        <v>1175</v>
      </c>
      <c r="C978" t="s">
        <v>1467</v>
      </c>
      <c r="D978">
        <v>9</v>
      </c>
      <c r="E978">
        <v>8.5</v>
      </c>
      <c r="F978" t="s">
        <v>1452</v>
      </c>
    </row>
    <row r="979" spans="1:6" x14ac:dyDescent="0.35">
      <c r="A979">
        <v>20260401</v>
      </c>
      <c r="B979" t="s">
        <v>1175</v>
      </c>
      <c r="C979" t="s">
        <v>1468</v>
      </c>
      <c r="D979">
        <v>5</v>
      </c>
      <c r="E979">
        <v>4</v>
      </c>
      <c r="F979" t="s">
        <v>1452</v>
      </c>
    </row>
    <row r="980" spans="1:6" x14ac:dyDescent="0.35">
      <c r="A980">
        <v>20260401</v>
      </c>
      <c r="B980" t="s">
        <v>1175</v>
      </c>
      <c r="C980" t="s">
        <v>1469</v>
      </c>
      <c r="D980">
        <v>3</v>
      </c>
      <c r="E980">
        <v>0</v>
      </c>
      <c r="F980" t="s">
        <v>1452</v>
      </c>
    </row>
    <row r="981" spans="1:6" x14ac:dyDescent="0.35">
      <c r="A981">
        <v>20260401</v>
      </c>
      <c r="B981" t="s">
        <v>1175</v>
      </c>
      <c r="C981" t="s">
        <v>1470</v>
      </c>
      <c r="D981">
        <v>1.5</v>
      </c>
      <c r="E981">
        <v>0</v>
      </c>
      <c r="F981" t="s">
        <v>1452</v>
      </c>
    </row>
    <row r="982" spans="1:6" x14ac:dyDescent="0.35">
      <c r="A982">
        <v>20260401</v>
      </c>
      <c r="B982" t="s">
        <v>1130</v>
      </c>
      <c r="C982" t="s">
        <v>1466</v>
      </c>
      <c r="D982">
        <v>6</v>
      </c>
      <c r="E982">
        <v>6</v>
      </c>
      <c r="F982" t="s">
        <v>1452</v>
      </c>
    </row>
    <row r="983" spans="1:6" x14ac:dyDescent="0.35">
      <c r="A983">
        <v>20260401</v>
      </c>
      <c r="B983" t="s">
        <v>1130</v>
      </c>
      <c r="C983" t="s">
        <v>1467</v>
      </c>
      <c r="D983">
        <v>9</v>
      </c>
      <c r="E983">
        <v>8.5</v>
      </c>
      <c r="F983" t="s">
        <v>1452</v>
      </c>
    </row>
    <row r="984" spans="1:6" x14ac:dyDescent="0.35">
      <c r="A984">
        <v>20260401</v>
      </c>
      <c r="B984" t="s">
        <v>1130</v>
      </c>
      <c r="C984" t="s">
        <v>1468</v>
      </c>
      <c r="D984">
        <v>5</v>
      </c>
      <c r="E984">
        <v>4</v>
      </c>
      <c r="F984" t="s">
        <v>1452</v>
      </c>
    </row>
    <row r="985" spans="1:6" x14ac:dyDescent="0.35">
      <c r="A985">
        <v>20260401</v>
      </c>
      <c r="B985" t="s">
        <v>1130</v>
      </c>
      <c r="C985" t="s">
        <v>1469</v>
      </c>
      <c r="D985">
        <v>3</v>
      </c>
      <c r="E985">
        <v>0</v>
      </c>
      <c r="F985" t="s">
        <v>1452</v>
      </c>
    </row>
    <row r="986" spans="1:6" x14ac:dyDescent="0.35">
      <c r="A986">
        <v>20260401</v>
      </c>
      <c r="B986" t="s">
        <v>1130</v>
      </c>
      <c r="C986" t="s">
        <v>1470</v>
      </c>
      <c r="D986">
        <v>1.5</v>
      </c>
      <c r="E986">
        <v>0</v>
      </c>
      <c r="F986" t="s">
        <v>1452</v>
      </c>
    </row>
    <row r="987" spans="1:6" x14ac:dyDescent="0.35">
      <c r="A987">
        <v>20260401</v>
      </c>
      <c r="B987" t="s">
        <v>1173</v>
      </c>
      <c r="C987" t="s">
        <v>1466</v>
      </c>
      <c r="D987">
        <v>6</v>
      </c>
      <c r="E987">
        <v>6</v>
      </c>
      <c r="F987" t="s">
        <v>1452</v>
      </c>
    </row>
    <row r="988" spans="1:6" x14ac:dyDescent="0.35">
      <c r="A988">
        <v>20260401</v>
      </c>
      <c r="B988" t="s">
        <v>1173</v>
      </c>
      <c r="C988" t="s">
        <v>1467</v>
      </c>
      <c r="D988">
        <v>9</v>
      </c>
      <c r="E988">
        <v>8.5</v>
      </c>
      <c r="F988" t="s">
        <v>1452</v>
      </c>
    </row>
    <row r="989" spans="1:6" x14ac:dyDescent="0.35">
      <c r="A989">
        <v>20260401</v>
      </c>
      <c r="B989" t="s">
        <v>1173</v>
      </c>
      <c r="C989" t="s">
        <v>1468</v>
      </c>
      <c r="D989">
        <v>5</v>
      </c>
      <c r="E989">
        <v>4</v>
      </c>
      <c r="F989" t="s">
        <v>1452</v>
      </c>
    </row>
    <row r="990" spans="1:6" x14ac:dyDescent="0.35">
      <c r="A990">
        <v>20260401</v>
      </c>
      <c r="B990" t="s">
        <v>1173</v>
      </c>
      <c r="C990" t="s">
        <v>1469</v>
      </c>
      <c r="D990">
        <v>3</v>
      </c>
      <c r="E990">
        <v>0</v>
      </c>
      <c r="F990" t="s">
        <v>1452</v>
      </c>
    </row>
    <row r="991" spans="1:6" x14ac:dyDescent="0.35">
      <c r="A991">
        <v>20260401</v>
      </c>
      <c r="B991" t="s">
        <v>1173</v>
      </c>
      <c r="C991" t="s">
        <v>1470</v>
      </c>
      <c r="D991">
        <v>1.5</v>
      </c>
      <c r="E991">
        <v>0</v>
      </c>
      <c r="F991" t="s">
        <v>1452</v>
      </c>
    </row>
    <row r="992" spans="1:6" x14ac:dyDescent="0.35">
      <c r="A992">
        <v>20260401</v>
      </c>
      <c r="B992" t="s">
        <v>1155</v>
      </c>
      <c r="C992" t="s">
        <v>1466</v>
      </c>
      <c r="D992">
        <v>6</v>
      </c>
      <c r="E992">
        <v>6</v>
      </c>
      <c r="F992" t="s">
        <v>1452</v>
      </c>
    </row>
    <row r="993" spans="1:6" x14ac:dyDescent="0.35">
      <c r="A993">
        <v>20260401</v>
      </c>
      <c r="B993" t="s">
        <v>1155</v>
      </c>
      <c r="C993" t="s">
        <v>1467</v>
      </c>
      <c r="D993">
        <v>9</v>
      </c>
      <c r="E993">
        <v>8.5</v>
      </c>
      <c r="F993" t="s">
        <v>1452</v>
      </c>
    </row>
    <row r="994" spans="1:6" x14ac:dyDescent="0.35">
      <c r="A994">
        <v>20260401</v>
      </c>
      <c r="B994" t="s">
        <v>1155</v>
      </c>
      <c r="C994" t="s">
        <v>1468</v>
      </c>
      <c r="D994">
        <v>5</v>
      </c>
      <c r="E994">
        <v>4</v>
      </c>
      <c r="F994" t="s">
        <v>1452</v>
      </c>
    </row>
    <row r="995" spans="1:6" x14ac:dyDescent="0.35">
      <c r="A995">
        <v>20260401</v>
      </c>
      <c r="B995" t="s">
        <v>1155</v>
      </c>
      <c r="C995" t="s">
        <v>1469</v>
      </c>
      <c r="D995">
        <v>3</v>
      </c>
      <c r="E995">
        <v>0</v>
      </c>
      <c r="F995" t="s">
        <v>1452</v>
      </c>
    </row>
    <row r="996" spans="1:6" x14ac:dyDescent="0.35">
      <c r="A996">
        <v>20260401</v>
      </c>
      <c r="B996" t="s">
        <v>1155</v>
      </c>
      <c r="C996" t="s">
        <v>1470</v>
      </c>
      <c r="D996">
        <v>1.5</v>
      </c>
      <c r="E996">
        <v>0</v>
      </c>
      <c r="F996" t="s">
        <v>1452</v>
      </c>
    </row>
    <row r="997" spans="1:6" x14ac:dyDescent="0.35">
      <c r="A997">
        <v>20260401</v>
      </c>
      <c r="B997" t="s">
        <v>1138</v>
      </c>
      <c r="C997" t="s">
        <v>1466</v>
      </c>
      <c r="D997">
        <v>6</v>
      </c>
      <c r="E997">
        <v>6</v>
      </c>
      <c r="F997" t="s">
        <v>1452</v>
      </c>
    </row>
    <row r="998" spans="1:6" x14ac:dyDescent="0.35">
      <c r="A998">
        <v>20260401</v>
      </c>
      <c r="B998" t="s">
        <v>1138</v>
      </c>
      <c r="C998" t="s">
        <v>1467</v>
      </c>
      <c r="D998">
        <v>9</v>
      </c>
      <c r="E998">
        <v>8.5</v>
      </c>
      <c r="F998" t="s">
        <v>1452</v>
      </c>
    </row>
    <row r="999" spans="1:6" x14ac:dyDescent="0.35">
      <c r="A999">
        <v>20260401</v>
      </c>
      <c r="B999" t="s">
        <v>1138</v>
      </c>
      <c r="C999" t="s">
        <v>1468</v>
      </c>
      <c r="D999">
        <v>5</v>
      </c>
      <c r="E999">
        <v>4</v>
      </c>
      <c r="F999" t="s">
        <v>1452</v>
      </c>
    </row>
    <row r="1000" spans="1:6" x14ac:dyDescent="0.35">
      <c r="A1000">
        <v>20260401</v>
      </c>
      <c r="B1000" t="s">
        <v>1138</v>
      </c>
      <c r="C1000" t="s">
        <v>1469</v>
      </c>
      <c r="D1000">
        <v>3</v>
      </c>
      <c r="E1000">
        <v>0</v>
      </c>
      <c r="F1000" t="s">
        <v>1452</v>
      </c>
    </row>
    <row r="1001" spans="1:6" x14ac:dyDescent="0.35">
      <c r="A1001">
        <v>20260401</v>
      </c>
      <c r="B1001" t="s">
        <v>1138</v>
      </c>
      <c r="C1001" t="s">
        <v>1470</v>
      </c>
      <c r="D1001">
        <v>1.5</v>
      </c>
      <c r="E1001">
        <v>0</v>
      </c>
      <c r="F1001" t="s">
        <v>1452</v>
      </c>
    </row>
    <row r="1002" spans="1:6" x14ac:dyDescent="0.35">
      <c r="A1002">
        <v>20260501</v>
      </c>
      <c r="B1002" t="s">
        <v>1150</v>
      </c>
      <c r="C1002" t="s">
        <v>1466</v>
      </c>
      <c r="D1002">
        <v>6</v>
      </c>
      <c r="E1002">
        <v>6</v>
      </c>
      <c r="F1002" t="s">
        <v>1452</v>
      </c>
    </row>
    <row r="1003" spans="1:6" x14ac:dyDescent="0.35">
      <c r="A1003">
        <v>20260501</v>
      </c>
      <c r="B1003" t="s">
        <v>1150</v>
      </c>
      <c r="C1003" t="s">
        <v>1467</v>
      </c>
      <c r="D1003">
        <v>9</v>
      </c>
      <c r="E1003">
        <v>8.5</v>
      </c>
      <c r="F1003" t="s">
        <v>1452</v>
      </c>
    </row>
    <row r="1004" spans="1:6" x14ac:dyDescent="0.35">
      <c r="A1004">
        <v>20260501</v>
      </c>
      <c r="B1004" t="s">
        <v>1150</v>
      </c>
      <c r="C1004" t="s">
        <v>1468</v>
      </c>
      <c r="D1004">
        <v>5</v>
      </c>
      <c r="E1004">
        <v>4</v>
      </c>
      <c r="F1004" t="s">
        <v>1452</v>
      </c>
    </row>
    <row r="1005" spans="1:6" x14ac:dyDescent="0.35">
      <c r="A1005">
        <v>20260501</v>
      </c>
      <c r="B1005" t="s">
        <v>1150</v>
      </c>
      <c r="C1005" t="s">
        <v>1469</v>
      </c>
      <c r="D1005">
        <v>3</v>
      </c>
      <c r="E1005">
        <v>0</v>
      </c>
      <c r="F1005" t="s">
        <v>1452</v>
      </c>
    </row>
    <row r="1006" spans="1:6" x14ac:dyDescent="0.35">
      <c r="A1006">
        <v>20260501</v>
      </c>
      <c r="B1006" t="s">
        <v>1150</v>
      </c>
      <c r="C1006" t="s">
        <v>1470</v>
      </c>
      <c r="D1006">
        <v>1.5</v>
      </c>
      <c r="E1006">
        <v>0</v>
      </c>
      <c r="F1006" t="s">
        <v>1452</v>
      </c>
    </row>
    <row r="1007" spans="1:6" x14ac:dyDescent="0.35">
      <c r="A1007">
        <v>20260501</v>
      </c>
      <c r="B1007" t="s">
        <v>1158</v>
      </c>
      <c r="C1007" t="s">
        <v>1466</v>
      </c>
      <c r="D1007">
        <v>6</v>
      </c>
      <c r="E1007">
        <v>6</v>
      </c>
      <c r="F1007" t="s">
        <v>1452</v>
      </c>
    </row>
    <row r="1008" spans="1:6" x14ac:dyDescent="0.35">
      <c r="A1008">
        <v>20260501</v>
      </c>
      <c r="B1008" t="s">
        <v>1158</v>
      </c>
      <c r="C1008" t="s">
        <v>1467</v>
      </c>
      <c r="D1008">
        <v>9</v>
      </c>
      <c r="E1008">
        <v>8.5</v>
      </c>
      <c r="F1008" t="s">
        <v>1452</v>
      </c>
    </row>
    <row r="1009" spans="1:6" x14ac:dyDescent="0.35">
      <c r="A1009">
        <v>20260501</v>
      </c>
      <c r="B1009" t="s">
        <v>1158</v>
      </c>
      <c r="C1009" t="s">
        <v>1468</v>
      </c>
      <c r="D1009">
        <v>5</v>
      </c>
      <c r="E1009">
        <v>4</v>
      </c>
      <c r="F1009" t="s">
        <v>1452</v>
      </c>
    </row>
    <row r="1010" spans="1:6" x14ac:dyDescent="0.35">
      <c r="A1010">
        <v>20260501</v>
      </c>
      <c r="B1010" t="s">
        <v>1158</v>
      </c>
      <c r="C1010" t="s">
        <v>1469</v>
      </c>
      <c r="D1010">
        <v>3</v>
      </c>
      <c r="E1010">
        <v>0</v>
      </c>
      <c r="F1010" t="s">
        <v>1452</v>
      </c>
    </row>
    <row r="1011" spans="1:6" x14ac:dyDescent="0.35">
      <c r="A1011">
        <v>20260501</v>
      </c>
      <c r="B1011" t="s">
        <v>1158</v>
      </c>
      <c r="C1011" t="s">
        <v>1470</v>
      </c>
      <c r="D1011">
        <v>1.5</v>
      </c>
      <c r="E1011">
        <v>0</v>
      </c>
      <c r="F1011" t="s">
        <v>1452</v>
      </c>
    </row>
    <row r="1012" spans="1:6" x14ac:dyDescent="0.35">
      <c r="A1012">
        <v>20260501</v>
      </c>
      <c r="B1012" t="s">
        <v>1205</v>
      </c>
      <c r="C1012" t="s">
        <v>1466</v>
      </c>
      <c r="D1012">
        <v>6</v>
      </c>
      <c r="E1012">
        <v>6</v>
      </c>
      <c r="F1012" t="s">
        <v>1452</v>
      </c>
    </row>
    <row r="1013" spans="1:6" x14ac:dyDescent="0.35">
      <c r="A1013">
        <v>20260501</v>
      </c>
      <c r="B1013" t="s">
        <v>1205</v>
      </c>
      <c r="C1013" t="s">
        <v>1467</v>
      </c>
      <c r="D1013">
        <v>9</v>
      </c>
      <c r="E1013">
        <v>8.5</v>
      </c>
      <c r="F1013" t="s">
        <v>1452</v>
      </c>
    </row>
    <row r="1014" spans="1:6" x14ac:dyDescent="0.35">
      <c r="A1014">
        <v>20260501</v>
      </c>
      <c r="B1014" t="s">
        <v>1205</v>
      </c>
      <c r="C1014" t="s">
        <v>1468</v>
      </c>
      <c r="D1014">
        <v>5</v>
      </c>
      <c r="E1014">
        <v>4</v>
      </c>
      <c r="F1014" t="s">
        <v>1452</v>
      </c>
    </row>
    <row r="1015" spans="1:6" x14ac:dyDescent="0.35">
      <c r="A1015">
        <v>20260501</v>
      </c>
      <c r="B1015" t="s">
        <v>1205</v>
      </c>
      <c r="C1015" t="s">
        <v>1469</v>
      </c>
      <c r="D1015">
        <v>3</v>
      </c>
      <c r="E1015">
        <v>0</v>
      </c>
      <c r="F1015" t="s">
        <v>1452</v>
      </c>
    </row>
    <row r="1016" spans="1:6" x14ac:dyDescent="0.35">
      <c r="A1016">
        <v>20260501</v>
      </c>
      <c r="B1016" t="s">
        <v>1205</v>
      </c>
      <c r="C1016" t="s">
        <v>1470</v>
      </c>
      <c r="D1016">
        <v>1.5</v>
      </c>
      <c r="E1016">
        <v>0</v>
      </c>
      <c r="F1016" t="s">
        <v>1452</v>
      </c>
    </row>
    <row r="1017" spans="1:6" x14ac:dyDescent="0.35">
      <c r="A1017">
        <v>20260501</v>
      </c>
      <c r="B1017" t="s">
        <v>1164</v>
      </c>
      <c r="C1017" t="s">
        <v>1466</v>
      </c>
      <c r="D1017">
        <v>6</v>
      </c>
      <c r="E1017">
        <v>6</v>
      </c>
      <c r="F1017" t="s">
        <v>1452</v>
      </c>
    </row>
    <row r="1018" spans="1:6" x14ac:dyDescent="0.35">
      <c r="A1018">
        <v>20260501</v>
      </c>
      <c r="B1018" t="s">
        <v>1164</v>
      </c>
      <c r="C1018" t="s">
        <v>1467</v>
      </c>
      <c r="D1018">
        <v>9</v>
      </c>
      <c r="E1018">
        <v>8.5</v>
      </c>
      <c r="F1018" t="s">
        <v>1452</v>
      </c>
    </row>
    <row r="1019" spans="1:6" x14ac:dyDescent="0.35">
      <c r="A1019">
        <v>20260501</v>
      </c>
      <c r="B1019" t="s">
        <v>1164</v>
      </c>
      <c r="C1019" t="s">
        <v>1468</v>
      </c>
      <c r="D1019">
        <v>5</v>
      </c>
      <c r="E1019">
        <v>4</v>
      </c>
      <c r="F1019" t="s">
        <v>1452</v>
      </c>
    </row>
    <row r="1020" spans="1:6" x14ac:dyDescent="0.35">
      <c r="A1020">
        <v>20260501</v>
      </c>
      <c r="B1020" t="s">
        <v>1164</v>
      </c>
      <c r="C1020" t="s">
        <v>1469</v>
      </c>
      <c r="D1020">
        <v>3</v>
      </c>
      <c r="E1020">
        <v>0</v>
      </c>
      <c r="F1020" t="s">
        <v>1452</v>
      </c>
    </row>
    <row r="1021" spans="1:6" x14ac:dyDescent="0.35">
      <c r="A1021">
        <v>20260501</v>
      </c>
      <c r="B1021" t="s">
        <v>1164</v>
      </c>
      <c r="C1021" t="s">
        <v>1470</v>
      </c>
      <c r="D1021">
        <v>1.5</v>
      </c>
      <c r="E1021">
        <v>0</v>
      </c>
      <c r="F1021" t="s">
        <v>1452</v>
      </c>
    </row>
    <row r="1022" spans="1:6" x14ac:dyDescent="0.35">
      <c r="A1022">
        <v>20260501</v>
      </c>
      <c r="B1022" t="s">
        <v>1169</v>
      </c>
      <c r="C1022" t="s">
        <v>1466</v>
      </c>
      <c r="D1022">
        <v>6</v>
      </c>
      <c r="E1022">
        <v>6</v>
      </c>
      <c r="F1022" t="s">
        <v>1452</v>
      </c>
    </row>
    <row r="1023" spans="1:6" x14ac:dyDescent="0.35">
      <c r="A1023">
        <v>20260501</v>
      </c>
      <c r="B1023" t="s">
        <v>1169</v>
      </c>
      <c r="C1023" t="s">
        <v>1467</v>
      </c>
      <c r="D1023">
        <v>9</v>
      </c>
      <c r="E1023">
        <v>8.5</v>
      </c>
      <c r="F1023" t="s">
        <v>1452</v>
      </c>
    </row>
    <row r="1024" spans="1:6" x14ac:dyDescent="0.35">
      <c r="A1024">
        <v>20260501</v>
      </c>
      <c r="B1024" t="s">
        <v>1169</v>
      </c>
      <c r="C1024" t="s">
        <v>1468</v>
      </c>
      <c r="D1024">
        <v>5</v>
      </c>
      <c r="E1024">
        <v>4</v>
      </c>
      <c r="F1024" t="s">
        <v>1452</v>
      </c>
    </row>
    <row r="1025" spans="1:6" x14ac:dyDescent="0.35">
      <c r="A1025">
        <v>20260501</v>
      </c>
      <c r="B1025" t="s">
        <v>1169</v>
      </c>
      <c r="C1025" t="s">
        <v>1469</v>
      </c>
      <c r="D1025">
        <v>3</v>
      </c>
      <c r="E1025">
        <v>0</v>
      </c>
      <c r="F1025" t="s">
        <v>1452</v>
      </c>
    </row>
    <row r="1026" spans="1:6" x14ac:dyDescent="0.35">
      <c r="A1026">
        <v>20260501</v>
      </c>
      <c r="B1026" t="s">
        <v>1169</v>
      </c>
      <c r="C1026" t="s">
        <v>1470</v>
      </c>
      <c r="D1026">
        <v>1.5</v>
      </c>
      <c r="E1026">
        <v>0</v>
      </c>
      <c r="F1026" t="s">
        <v>1452</v>
      </c>
    </row>
    <row r="1027" spans="1:6" x14ac:dyDescent="0.35">
      <c r="A1027">
        <v>20260501</v>
      </c>
      <c r="B1027" t="s">
        <v>1175</v>
      </c>
      <c r="C1027" t="s">
        <v>1466</v>
      </c>
      <c r="D1027">
        <v>6</v>
      </c>
      <c r="E1027">
        <v>6</v>
      </c>
      <c r="F1027" t="s">
        <v>1452</v>
      </c>
    </row>
    <row r="1028" spans="1:6" x14ac:dyDescent="0.35">
      <c r="A1028">
        <v>20260501</v>
      </c>
      <c r="B1028" t="s">
        <v>1175</v>
      </c>
      <c r="C1028" t="s">
        <v>1467</v>
      </c>
      <c r="D1028">
        <v>9</v>
      </c>
      <c r="E1028">
        <v>8.5</v>
      </c>
      <c r="F1028" t="s">
        <v>1452</v>
      </c>
    </row>
    <row r="1029" spans="1:6" x14ac:dyDescent="0.35">
      <c r="A1029">
        <v>20260501</v>
      </c>
      <c r="B1029" t="s">
        <v>1175</v>
      </c>
      <c r="C1029" t="s">
        <v>1468</v>
      </c>
      <c r="D1029">
        <v>5</v>
      </c>
      <c r="E1029">
        <v>4</v>
      </c>
      <c r="F1029" t="s">
        <v>1452</v>
      </c>
    </row>
    <row r="1030" spans="1:6" x14ac:dyDescent="0.35">
      <c r="A1030">
        <v>20260501</v>
      </c>
      <c r="B1030" t="s">
        <v>1175</v>
      </c>
      <c r="C1030" t="s">
        <v>1469</v>
      </c>
      <c r="D1030">
        <v>3</v>
      </c>
      <c r="E1030">
        <v>0</v>
      </c>
      <c r="F1030" t="s">
        <v>1452</v>
      </c>
    </row>
    <row r="1031" spans="1:6" x14ac:dyDescent="0.35">
      <c r="A1031">
        <v>20260501</v>
      </c>
      <c r="B1031" t="s">
        <v>1175</v>
      </c>
      <c r="C1031" t="s">
        <v>1470</v>
      </c>
      <c r="D1031">
        <v>1.5</v>
      </c>
      <c r="E1031">
        <v>0</v>
      </c>
      <c r="F1031" t="s">
        <v>1452</v>
      </c>
    </row>
    <row r="1032" spans="1:6" x14ac:dyDescent="0.35">
      <c r="A1032">
        <v>20260501</v>
      </c>
      <c r="B1032" t="s">
        <v>1130</v>
      </c>
      <c r="C1032" t="s">
        <v>1466</v>
      </c>
      <c r="D1032">
        <v>6</v>
      </c>
      <c r="E1032">
        <v>6</v>
      </c>
      <c r="F1032" t="s">
        <v>1452</v>
      </c>
    </row>
    <row r="1033" spans="1:6" x14ac:dyDescent="0.35">
      <c r="A1033">
        <v>20260501</v>
      </c>
      <c r="B1033" t="s">
        <v>1130</v>
      </c>
      <c r="C1033" t="s">
        <v>1467</v>
      </c>
      <c r="D1033">
        <v>9</v>
      </c>
      <c r="E1033">
        <v>8.5</v>
      </c>
      <c r="F1033" t="s">
        <v>1452</v>
      </c>
    </row>
    <row r="1034" spans="1:6" x14ac:dyDescent="0.35">
      <c r="A1034">
        <v>20260501</v>
      </c>
      <c r="B1034" t="s">
        <v>1130</v>
      </c>
      <c r="C1034" t="s">
        <v>1468</v>
      </c>
      <c r="D1034">
        <v>5</v>
      </c>
      <c r="E1034">
        <v>4</v>
      </c>
      <c r="F1034" t="s">
        <v>1452</v>
      </c>
    </row>
    <row r="1035" spans="1:6" x14ac:dyDescent="0.35">
      <c r="A1035">
        <v>20260501</v>
      </c>
      <c r="B1035" t="s">
        <v>1130</v>
      </c>
      <c r="C1035" t="s">
        <v>1469</v>
      </c>
      <c r="D1035">
        <v>3</v>
      </c>
      <c r="E1035">
        <v>0</v>
      </c>
      <c r="F1035" t="s">
        <v>1452</v>
      </c>
    </row>
    <row r="1036" spans="1:6" x14ac:dyDescent="0.35">
      <c r="A1036">
        <v>20260501</v>
      </c>
      <c r="B1036" t="s">
        <v>1130</v>
      </c>
      <c r="C1036" t="s">
        <v>1470</v>
      </c>
      <c r="D1036">
        <v>1.5</v>
      </c>
      <c r="E1036">
        <v>0</v>
      </c>
      <c r="F1036" t="s">
        <v>1452</v>
      </c>
    </row>
    <row r="1037" spans="1:6" x14ac:dyDescent="0.35">
      <c r="A1037">
        <v>20260501</v>
      </c>
      <c r="B1037" t="s">
        <v>1173</v>
      </c>
      <c r="C1037" t="s">
        <v>1466</v>
      </c>
      <c r="D1037">
        <v>6</v>
      </c>
      <c r="E1037">
        <v>6</v>
      </c>
      <c r="F1037" t="s">
        <v>1452</v>
      </c>
    </row>
    <row r="1038" spans="1:6" x14ac:dyDescent="0.35">
      <c r="A1038">
        <v>20260501</v>
      </c>
      <c r="B1038" t="s">
        <v>1173</v>
      </c>
      <c r="C1038" t="s">
        <v>1467</v>
      </c>
      <c r="D1038">
        <v>9</v>
      </c>
      <c r="E1038">
        <v>8.5</v>
      </c>
      <c r="F1038" t="s">
        <v>1452</v>
      </c>
    </row>
    <row r="1039" spans="1:6" x14ac:dyDescent="0.35">
      <c r="A1039">
        <v>20260501</v>
      </c>
      <c r="B1039" t="s">
        <v>1173</v>
      </c>
      <c r="C1039" t="s">
        <v>1468</v>
      </c>
      <c r="D1039">
        <v>5</v>
      </c>
      <c r="E1039">
        <v>4</v>
      </c>
      <c r="F1039" t="s">
        <v>1452</v>
      </c>
    </row>
    <row r="1040" spans="1:6" x14ac:dyDescent="0.35">
      <c r="A1040">
        <v>20260501</v>
      </c>
      <c r="B1040" t="s">
        <v>1173</v>
      </c>
      <c r="C1040" t="s">
        <v>1469</v>
      </c>
      <c r="D1040">
        <v>3</v>
      </c>
      <c r="E1040">
        <v>0</v>
      </c>
      <c r="F1040" t="s">
        <v>1452</v>
      </c>
    </row>
    <row r="1041" spans="1:6" x14ac:dyDescent="0.35">
      <c r="A1041">
        <v>20260501</v>
      </c>
      <c r="B1041" t="s">
        <v>1173</v>
      </c>
      <c r="C1041" t="s">
        <v>1470</v>
      </c>
      <c r="D1041">
        <v>1.5</v>
      </c>
      <c r="E1041">
        <v>0</v>
      </c>
      <c r="F1041" t="s">
        <v>1452</v>
      </c>
    </row>
    <row r="1042" spans="1:6" x14ac:dyDescent="0.35">
      <c r="A1042">
        <v>20260501</v>
      </c>
      <c r="B1042" t="s">
        <v>1155</v>
      </c>
      <c r="C1042" t="s">
        <v>1466</v>
      </c>
      <c r="D1042">
        <v>6</v>
      </c>
      <c r="E1042">
        <v>6</v>
      </c>
      <c r="F1042" t="s">
        <v>1452</v>
      </c>
    </row>
    <row r="1043" spans="1:6" x14ac:dyDescent="0.35">
      <c r="A1043">
        <v>20260501</v>
      </c>
      <c r="B1043" t="s">
        <v>1155</v>
      </c>
      <c r="C1043" t="s">
        <v>1467</v>
      </c>
      <c r="D1043">
        <v>9</v>
      </c>
      <c r="E1043">
        <v>8.5</v>
      </c>
      <c r="F1043" t="s">
        <v>1452</v>
      </c>
    </row>
    <row r="1044" spans="1:6" x14ac:dyDescent="0.35">
      <c r="A1044">
        <v>20260501</v>
      </c>
      <c r="B1044" t="s">
        <v>1155</v>
      </c>
      <c r="C1044" t="s">
        <v>1468</v>
      </c>
      <c r="D1044">
        <v>5</v>
      </c>
      <c r="E1044">
        <v>4</v>
      </c>
      <c r="F1044" t="s">
        <v>1452</v>
      </c>
    </row>
    <row r="1045" spans="1:6" x14ac:dyDescent="0.35">
      <c r="A1045">
        <v>20260501</v>
      </c>
      <c r="B1045" t="s">
        <v>1155</v>
      </c>
      <c r="C1045" t="s">
        <v>1469</v>
      </c>
      <c r="D1045">
        <v>3</v>
      </c>
      <c r="E1045">
        <v>0</v>
      </c>
      <c r="F1045" t="s">
        <v>1452</v>
      </c>
    </row>
    <row r="1046" spans="1:6" x14ac:dyDescent="0.35">
      <c r="A1046">
        <v>20260501</v>
      </c>
      <c r="B1046" t="s">
        <v>1155</v>
      </c>
      <c r="C1046" t="s">
        <v>1470</v>
      </c>
      <c r="D1046">
        <v>1.5</v>
      </c>
      <c r="E1046">
        <v>0</v>
      </c>
      <c r="F1046" t="s">
        <v>1452</v>
      </c>
    </row>
    <row r="1047" spans="1:6" x14ac:dyDescent="0.35">
      <c r="A1047">
        <v>20260501</v>
      </c>
      <c r="B1047" t="s">
        <v>1138</v>
      </c>
      <c r="C1047" t="s">
        <v>1466</v>
      </c>
      <c r="D1047">
        <v>6</v>
      </c>
      <c r="E1047">
        <v>6</v>
      </c>
      <c r="F1047" t="s">
        <v>1452</v>
      </c>
    </row>
    <row r="1048" spans="1:6" x14ac:dyDescent="0.35">
      <c r="A1048">
        <v>20260501</v>
      </c>
      <c r="B1048" t="s">
        <v>1138</v>
      </c>
      <c r="C1048" t="s">
        <v>1467</v>
      </c>
      <c r="D1048">
        <v>9</v>
      </c>
      <c r="E1048">
        <v>8.5</v>
      </c>
      <c r="F1048" t="s">
        <v>1452</v>
      </c>
    </row>
    <row r="1049" spans="1:6" x14ac:dyDescent="0.35">
      <c r="A1049">
        <v>20260501</v>
      </c>
      <c r="B1049" t="s">
        <v>1138</v>
      </c>
      <c r="C1049" t="s">
        <v>1468</v>
      </c>
      <c r="D1049">
        <v>5</v>
      </c>
      <c r="E1049">
        <v>4</v>
      </c>
      <c r="F1049" t="s">
        <v>1452</v>
      </c>
    </row>
    <row r="1050" spans="1:6" x14ac:dyDescent="0.35">
      <c r="A1050">
        <v>20260501</v>
      </c>
      <c r="B1050" t="s">
        <v>1138</v>
      </c>
      <c r="C1050" t="s">
        <v>1469</v>
      </c>
      <c r="D1050">
        <v>3</v>
      </c>
      <c r="E1050">
        <v>0</v>
      </c>
      <c r="F1050" t="s">
        <v>1452</v>
      </c>
    </row>
    <row r="1051" spans="1:6" x14ac:dyDescent="0.35">
      <c r="A1051">
        <v>20260501</v>
      </c>
      <c r="B1051" t="s">
        <v>1138</v>
      </c>
      <c r="C1051" t="s">
        <v>1470</v>
      </c>
      <c r="D1051">
        <v>1.5</v>
      </c>
      <c r="E1051">
        <v>0</v>
      </c>
      <c r="F1051" t="s">
        <v>1452</v>
      </c>
    </row>
    <row r="1052" spans="1:6" x14ac:dyDescent="0.35">
      <c r="A1052">
        <v>20260601</v>
      </c>
      <c r="B1052" t="s">
        <v>1150</v>
      </c>
      <c r="C1052" t="s">
        <v>1466</v>
      </c>
      <c r="D1052">
        <v>6</v>
      </c>
      <c r="E1052">
        <v>6</v>
      </c>
      <c r="F1052" t="s">
        <v>1452</v>
      </c>
    </row>
    <row r="1053" spans="1:6" x14ac:dyDescent="0.35">
      <c r="A1053">
        <v>20260601</v>
      </c>
      <c r="B1053" t="s">
        <v>1150</v>
      </c>
      <c r="C1053" t="s">
        <v>1467</v>
      </c>
      <c r="D1053">
        <v>9</v>
      </c>
      <c r="E1053">
        <v>8.5</v>
      </c>
      <c r="F1053" t="s">
        <v>1452</v>
      </c>
    </row>
    <row r="1054" spans="1:6" x14ac:dyDescent="0.35">
      <c r="A1054">
        <v>20260601</v>
      </c>
      <c r="B1054" t="s">
        <v>1150</v>
      </c>
      <c r="C1054" t="s">
        <v>1468</v>
      </c>
      <c r="D1054">
        <v>5</v>
      </c>
      <c r="E1054">
        <v>4</v>
      </c>
      <c r="F1054" t="s">
        <v>1452</v>
      </c>
    </row>
    <row r="1055" spans="1:6" x14ac:dyDescent="0.35">
      <c r="A1055">
        <v>20260601</v>
      </c>
      <c r="B1055" t="s">
        <v>1150</v>
      </c>
      <c r="C1055" t="s">
        <v>1469</v>
      </c>
      <c r="D1055">
        <v>3</v>
      </c>
      <c r="E1055">
        <v>0</v>
      </c>
      <c r="F1055" t="s">
        <v>1452</v>
      </c>
    </row>
    <row r="1056" spans="1:6" x14ac:dyDescent="0.35">
      <c r="A1056">
        <v>20260601</v>
      </c>
      <c r="B1056" t="s">
        <v>1150</v>
      </c>
      <c r="C1056" t="s">
        <v>1470</v>
      </c>
      <c r="D1056">
        <v>1.5</v>
      </c>
      <c r="E1056">
        <v>0</v>
      </c>
      <c r="F1056" t="s">
        <v>1452</v>
      </c>
    </row>
    <row r="1057" spans="1:6" x14ac:dyDescent="0.35">
      <c r="A1057">
        <v>20260601</v>
      </c>
      <c r="B1057" t="s">
        <v>1158</v>
      </c>
      <c r="C1057" t="s">
        <v>1466</v>
      </c>
      <c r="D1057">
        <v>6</v>
      </c>
      <c r="E1057">
        <v>6</v>
      </c>
      <c r="F1057" t="s">
        <v>1452</v>
      </c>
    </row>
    <row r="1058" spans="1:6" x14ac:dyDescent="0.35">
      <c r="A1058">
        <v>20260601</v>
      </c>
      <c r="B1058" t="s">
        <v>1158</v>
      </c>
      <c r="C1058" t="s">
        <v>1467</v>
      </c>
      <c r="D1058">
        <v>9</v>
      </c>
      <c r="E1058">
        <v>8.5</v>
      </c>
      <c r="F1058" t="s">
        <v>1452</v>
      </c>
    </row>
    <row r="1059" spans="1:6" x14ac:dyDescent="0.35">
      <c r="A1059">
        <v>20260601</v>
      </c>
      <c r="B1059" t="s">
        <v>1158</v>
      </c>
      <c r="C1059" t="s">
        <v>1468</v>
      </c>
      <c r="D1059">
        <v>5</v>
      </c>
      <c r="E1059">
        <v>4</v>
      </c>
      <c r="F1059" t="s">
        <v>1452</v>
      </c>
    </row>
    <row r="1060" spans="1:6" x14ac:dyDescent="0.35">
      <c r="A1060">
        <v>20260601</v>
      </c>
      <c r="B1060" t="s">
        <v>1158</v>
      </c>
      <c r="C1060" t="s">
        <v>1469</v>
      </c>
      <c r="D1060">
        <v>3</v>
      </c>
      <c r="E1060">
        <v>0</v>
      </c>
      <c r="F1060" t="s">
        <v>1452</v>
      </c>
    </row>
    <row r="1061" spans="1:6" x14ac:dyDescent="0.35">
      <c r="A1061">
        <v>20260601</v>
      </c>
      <c r="B1061" t="s">
        <v>1158</v>
      </c>
      <c r="C1061" t="s">
        <v>1470</v>
      </c>
      <c r="D1061">
        <v>1.5</v>
      </c>
      <c r="E1061">
        <v>0</v>
      </c>
      <c r="F1061" t="s">
        <v>1452</v>
      </c>
    </row>
    <row r="1062" spans="1:6" x14ac:dyDescent="0.35">
      <c r="A1062">
        <v>20260601</v>
      </c>
      <c r="B1062" t="s">
        <v>1205</v>
      </c>
      <c r="C1062" t="s">
        <v>1466</v>
      </c>
      <c r="D1062">
        <v>6</v>
      </c>
      <c r="E1062">
        <v>6</v>
      </c>
      <c r="F1062" t="s">
        <v>1452</v>
      </c>
    </row>
    <row r="1063" spans="1:6" x14ac:dyDescent="0.35">
      <c r="A1063">
        <v>20260601</v>
      </c>
      <c r="B1063" t="s">
        <v>1205</v>
      </c>
      <c r="C1063" t="s">
        <v>1467</v>
      </c>
      <c r="D1063">
        <v>9</v>
      </c>
      <c r="E1063">
        <v>8.5</v>
      </c>
      <c r="F1063" t="s">
        <v>1452</v>
      </c>
    </row>
    <row r="1064" spans="1:6" x14ac:dyDescent="0.35">
      <c r="A1064">
        <v>20260601</v>
      </c>
      <c r="B1064" t="s">
        <v>1205</v>
      </c>
      <c r="C1064" t="s">
        <v>1468</v>
      </c>
      <c r="D1064">
        <v>5</v>
      </c>
      <c r="E1064">
        <v>4</v>
      </c>
      <c r="F1064" t="s">
        <v>1452</v>
      </c>
    </row>
    <row r="1065" spans="1:6" x14ac:dyDescent="0.35">
      <c r="A1065">
        <v>20260601</v>
      </c>
      <c r="B1065" t="s">
        <v>1205</v>
      </c>
      <c r="C1065" t="s">
        <v>1469</v>
      </c>
      <c r="D1065">
        <v>3</v>
      </c>
      <c r="E1065">
        <v>0</v>
      </c>
      <c r="F1065" t="s">
        <v>1452</v>
      </c>
    </row>
    <row r="1066" spans="1:6" x14ac:dyDescent="0.35">
      <c r="A1066">
        <v>20260601</v>
      </c>
      <c r="B1066" t="s">
        <v>1205</v>
      </c>
      <c r="C1066" t="s">
        <v>1470</v>
      </c>
      <c r="D1066">
        <v>1.5</v>
      </c>
      <c r="E1066">
        <v>0</v>
      </c>
      <c r="F1066" t="s">
        <v>1452</v>
      </c>
    </row>
    <row r="1067" spans="1:6" x14ac:dyDescent="0.35">
      <c r="A1067">
        <v>20260601</v>
      </c>
      <c r="B1067" t="s">
        <v>1164</v>
      </c>
      <c r="C1067" t="s">
        <v>1466</v>
      </c>
      <c r="D1067">
        <v>6</v>
      </c>
      <c r="E1067">
        <v>6</v>
      </c>
      <c r="F1067" t="s">
        <v>1452</v>
      </c>
    </row>
    <row r="1068" spans="1:6" x14ac:dyDescent="0.35">
      <c r="A1068">
        <v>20260601</v>
      </c>
      <c r="B1068" t="s">
        <v>1164</v>
      </c>
      <c r="C1068" t="s">
        <v>1467</v>
      </c>
      <c r="D1068">
        <v>9</v>
      </c>
      <c r="E1068">
        <v>8.5</v>
      </c>
      <c r="F1068" t="s">
        <v>1452</v>
      </c>
    </row>
    <row r="1069" spans="1:6" x14ac:dyDescent="0.35">
      <c r="A1069">
        <v>20260601</v>
      </c>
      <c r="B1069" t="s">
        <v>1164</v>
      </c>
      <c r="C1069" t="s">
        <v>1468</v>
      </c>
      <c r="D1069">
        <v>5</v>
      </c>
      <c r="E1069">
        <v>4</v>
      </c>
      <c r="F1069" t="s">
        <v>1452</v>
      </c>
    </row>
    <row r="1070" spans="1:6" x14ac:dyDescent="0.35">
      <c r="A1070">
        <v>20260601</v>
      </c>
      <c r="B1070" t="s">
        <v>1164</v>
      </c>
      <c r="C1070" t="s">
        <v>1469</v>
      </c>
      <c r="D1070">
        <v>3</v>
      </c>
      <c r="E1070">
        <v>0</v>
      </c>
      <c r="F1070" t="s">
        <v>1452</v>
      </c>
    </row>
    <row r="1071" spans="1:6" x14ac:dyDescent="0.35">
      <c r="A1071">
        <v>20260601</v>
      </c>
      <c r="B1071" t="s">
        <v>1164</v>
      </c>
      <c r="C1071" t="s">
        <v>1470</v>
      </c>
      <c r="D1071">
        <v>1.5</v>
      </c>
      <c r="E1071">
        <v>0</v>
      </c>
      <c r="F1071" t="s">
        <v>1452</v>
      </c>
    </row>
    <row r="1072" spans="1:6" x14ac:dyDescent="0.35">
      <c r="A1072">
        <v>20260601</v>
      </c>
      <c r="B1072" t="s">
        <v>1169</v>
      </c>
      <c r="C1072" t="s">
        <v>1466</v>
      </c>
      <c r="D1072">
        <v>6</v>
      </c>
      <c r="E1072">
        <v>6</v>
      </c>
      <c r="F1072" t="s">
        <v>1452</v>
      </c>
    </row>
    <row r="1073" spans="1:6" x14ac:dyDescent="0.35">
      <c r="A1073">
        <v>20260601</v>
      </c>
      <c r="B1073" t="s">
        <v>1169</v>
      </c>
      <c r="C1073" t="s">
        <v>1467</v>
      </c>
      <c r="D1073">
        <v>9</v>
      </c>
      <c r="E1073">
        <v>8.5</v>
      </c>
      <c r="F1073" t="s">
        <v>1452</v>
      </c>
    </row>
    <row r="1074" spans="1:6" x14ac:dyDescent="0.35">
      <c r="A1074">
        <v>20260601</v>
      </c>
      <c r="B1074" t="s">
        <v>1169</v>
      </c>
      <c r="C1074" t="s">
        <v>1468</v>
      </c>
      <c r="D1074">
        <v>5</v>
      </c>
      <c r="E1074">
        <v>4</v>
      </c>
      <c r="F1074" t="s">
        <v>1452</v>
      </c>
    </row>
    <row r="1075" spans="1:6" x14ac:dyDescent="0.35">
      <c r="A1075">
        <v>20260601</v>
      </c>
      <c r="B1075" t="s">
        <v>1169</v>
      </c>
      <c r="C1075" t="s">
        <v>1469</v>
      </c>
      <c r="D1075">
        <v>3</v>
      </c>
      <c r="E1075">
        <v>0</v>
      </c>
      <c r="F1075" t="s">
        <v>1452</v>
      </c>
    </row>
    <row r="1076" spans="1:6" x14ac:dyDescent="0.35">
      <c r="A1076">
        <v>20260601</v>
      </c>
      <c r="B1076" t="s">
        <v>1169</v>
      </c>
      <c r="C1076" t="s">
        <v>1470</v>
      </c>
      <c r="D1076">
        <v>1.5</v>
      </c>
      <c r="E1076">
        <v>0</v>
      </c>
      <c r="F1076" t="s">
        <v>1452</v>
      </c>
    </row>
    <row r="1077" spans="1:6" x14ac:dyDescent="0.35">
      <c r="A1077">
        <v>20260601</v>
      </c>
      <c r="B1077" t="s">
        <v>1175</v>
      </c>
      <c r="C1077" t="s">
        <v>1466</v>
      </c>
      <c r="D1077">
        <v>6</v>
      </c>
      <c r="E1077">
        <v>6</v>
      </c>
      <c r="F1077" t="s">
        <v>1452</v>
      </c>
    </row>
    <row r="1078" spans="1:6" x14ac:dyDescent="0.35">
      <c r="A1078">
        <v>20260601</v>
      </c>
      <c r="B1078" t="s">
        <v>1175</v>
      </c>
      <c r="C1078" t="s">
        <v>1467</v>
      </c>
      <c r="D1078">
        <v>9</v>
      </c>
      <c r="E1078">
        <v>8.5</v>
      </c>
      <c r="F1078" t="s">
        <v>1452</v>
      </c>
    </row>
    <row r="1079" spans="1:6" x14ac:dyDescent="0.35">
      <c r="A1079">
        <v>20260601</v>
      </c>
      <c r="B1079" t="s">
        <v>1175</v>
      </c>
      <c r="C1079" t="s">
        <v>1468</v>
      </c>
      <c r="D1079">
        <v>5</v>
      </c>
      <c r="E1079">
        <v>4</v>
      </c>
      <c r="F1079" t="s">
        <v>1452</v>
      </c>
    </row>
    <row r="1080" spans="1:6" x14ac:dyDescent="0.35">
      <c r="A1080">
        <v>20260601</v>
      </c>
      <c r="B1080" t="s">
        <v>1175</v>
      </c>
      <c r="C1080" t="s">
        <v>1469</v>
      </c>
      <c r="D1080">
        <v>3</v>
      </c>
      <c r="E1080">
        <v>0</v>
      </c>
      <c r="F1080" t="s">
        <v>1452</v>
      </c>
    </row>
    <row r="1081" spans="1:6" x14ac:dyDescent="0.35">
      <c r="A1081">
        <v>20260601</v>
      </c>
      <c r="B1081" t="s">
        <v>1175</v>
      </c>
      <c r="C1081" t="s">
        <v>1470</v>
      </c>
      <c r="D1081">
        <v>1.5</v>
      </c>
      <c r="E1081">
        <v>0</v>
      </c>
      <c r="F1081" t="s">
        <v>1452</v>
      </c>
    </row>
    <row r="1082" spans="1:6" x14ac:dyDescent="0.35">
      <c r="A1082">
        <v>20260601</v>
      </c>
      <c r="B1082" t="s">
        <v>1130</v>
      </c>
      <c r="C1082" t="s">
        <v>1466</v>
      </c>
      <c r="D1082">
        <v>6</v>
      </c>
      <c r="E1082">
        <v>6</v>
      </c>
      <c r="F1082" t="s">
        <v>1452</v>
      </c>
    </row>
    <row r="1083" spans="1:6" x14ac:dyDescent="0.35">
      <c r="A1083">
        <v>20260601</v>
      </c>
      <c r="B1083" t="s">
        <v>1130</v>
      </c>
      <c r="C1083" t="s">
        <v>1467</v>
      </c>
      <c r="D1083">
        <v>9</v>
      </c>
      <c r="E1083">
        <v>8.5</v>
      </c>
      <c r="F1083" t="s">
        <v>1452</v>
      </c>
    </row>
    <row r="1084" spans="1:6" x14ac:dyDescent="0.35">
      <c r="A1084">
        <v>20260601</v>
      </c>
      <c r="B1084" t="s">
        <v>1130</v>
      </c>
      <c r="C1084" t="s">
        <v>1468</v>
      </c>
      <c r="D1084">
        <v>5</v>
      </c>
      <c r="E1084">
        <v>4</v>
      </c>
      <c r="F1084" t="s">
        <v>1452</v>
      </c>
    </row>
    <row r="1085" spans="1:6" x14ac:dyDescent="0.35">
      <c r="A1085">
        <v>20260601</v>
      </c>
      <c r="B1085" t="s">
        <v>1130</v>
      </c>
      <c r="C1085" t="s">
        <v>1469</v>
      </c>
      <c r="D1085">
        <v>3</v>
      </c>
      <c r="E1085">
        <v>0</v>
      </c>
      <c r="F1085" t="s">
        <v>1452</v>
      </c>
    </row>
    <row r="1086" spans="1:6" x14ac:dyDescent="0.35">
      <c r="A1086">
        <v>20260601</v>
      </c>
      <c r="B1086" t="s">
        <v>1130</v>
      </c>
      <c r="C1086" t="s">
        <v>1470</v>
      </c>
      <c r="D1086">
        <v>1.5</v>
      </c>
      <c r="E1086">
        <v>0</v>
      </c>
      <c r="F1086" t="s">
        <v>1452</v>
      </c>
    </row>
    <row r="1087" spans="1:6" x14ac:dyDescent="0.35">
      <c r="A1087">
        <v>20260601</v>
      </c>
      <c r="B1087" t="s">
        <v>1173</v>
      </c>
      <c r="C1087" t="s">
        <v>1466</v>
      </c>
      <c r="D1087">
        <v>6</v>
      </c>
      <c r="E1087">
        <v>6</v>
      </c>
      <c r="F1087" t="s">
        <v>1452</v>
      </c>
    </row>
    <row r="1088" spans="1:6" x14ac:dyDescent="0.35">
      <c r="A1088">
        <v>20260601</v>
      </c>
      <c r="B1088" t="s">
        <v>1173</v>
      </c>
      <c r="C1088" t="s">
        <v>1467</v>
      </c>
      <c r="D1088">
        <v>9</v>
      </c>
      <c r="E1088">
        <v>8.5</v>
      </c>
      <c r="F1088" t="s">
        <v>1452</v>
      </c>
    </row>
    <row r="1089" spans="1:6" x14ac:dyDescent="0.35">
      <c r="A1089">
        <v>20260601</v>
      </c>
      <c r="B1089" t="s">
        <v>1173</v>
      </c>
      <c r="C1089" t="s">
        <v>1468</v>
      </c>
      <c r="D1089">
        <v>5</v>
      </c>
      <c r="E1089">
        <v>4</v>
      </c>
      <c r="F1089" t="s">
        <v>1452</v>
      </c>
    </row>
    <row r="1090" spans="1:6" x14ac:dyDescent="0.35">
      <c r="A1090">
        <v>20260601</v>
      </c>
      <c r="B1090" t="s">
        <v>1173</v>
      </c>
      <c r="C1090" t="s">
        <v>1469</v>
      </c>
      <c r="D1090">
        <v>3</v>
      </c>
      <c r="E1090">
        <v>0</v>
      </c>
      <c r="F1090" t="s">
        <v>1452</v>
      </c>
    </row>
    <row r="1091" spans="1:6" x14ac:dyDescent="0.35">
      <c r="A1091">
        <v>20260601</v>
      </c>
      <c r="B1091" t="s">
        <v>1173</v>
      </c>
      <c r="C1091" t="s">
        <v>1470</v>
      </c>
      <c r="D1091">
        <v>1.5</v>
      </c>
      <c r="E1091">
        <v>0</v>
      </c>
      <c r="F1091" t="s">
        <v>1452</v>
      </c>
    </row>
    <row r="1092" spans="1:6" x14ac:dyDescent="0.35">
      <c r="A1092">
        <v>20260601</v>
      </c>
      <c r="B1092" t="s">
        <v>1155</v>
      </c>
      <c r="C1092" t="s">
        <v>1466</v>
      </c>
      <c r="D1092">
        <v>6</v>
      </c>
      <c r="E1092">
        <v>6</v>
      </c>
      <c r="F1092" t="s">
        <v>1452</v>
      </c>
    </row>
    <row r="1093" spans="1:6" x14ac:dyDescent="0.35">
      <c r="A1093">
        <v>20260601</v>
      </c>
      <c r="B1093" t="s">
        <v>1155</v>
      </c>
      <c r="C1093" t="s">
        <v>1467</v>
      </c>
      <c r="D1093">
        <v>9</v>
      </c>
      <c r="E1093">
        <v>8.5</v>
      </c>
      <c r="F1093" t="s">
        <v>1452</v>
      </c>
    </row>
    <row r="1094" spans="1:6" x14ac:dyDescent="0.35">
      <c r="A1094">
        <v>20260601</v>
      </c>
      <c r="B1094" t="s">
        <v>1155</v>
      </c>
      <c r="C1094" t="s">
        <v>1468</v>
      </c>
      <c r="D1094">
        <v>5</v>
      </c>
      <c r="E1094">
        <v>4</v>
      </c>
      <c r="F1094" t="s">
        <v>1452</v>
      </c>
    </row>
    <row r="1095" spans="1:6" x14ac:dyDescent="0.35">
      <c r="A1095">
        <v>20260601</v>
      </c>
      <c r="B1095" t="s">
        <v>1155</v>
      </c>
      <c r="C1095" t="s">
        <v>1469</v>
      </c>
      <c r="D1095">
        <v>3</v>
      </c>
      <c r="E1095">
        <v>0</v>
      </c>
      <c r="F1095" t="s">
        <v>1452</v>
      </c>
    </row>
    <row r="1096" spans="1:6" x14ac:dyDescent="0.35">
      <c r="A1096">
        <v>20260601</v>
      </c>
      <c r="B1096" t="s">
        <v>1155</v>
      </c>
      <c r="C1096" t="s">
        <v>1470</v>
      </c>
      <c r="D1096">
        <v>1.5</v>
      </c>
      <c r="E1096">
        <v>0</v>
      </c>
      <c r="F1096" t="s">
        <v>1452</v>
      </c>
    </row>
    <row r="1097" spans="1:6" x14ac:dyDescent="0.35">
      <c r="A1097">
        <v>20260601</v>
      </c>
      <c r="B1097" t="s">
        <v>1138</v>
      </c>
      <c r="C1097" t="s">
        <v>1466</v>
      </c>
      <c r="D1097">
        <v>6</v>
      </c>
      <c r="E1097">
        <v>6</v>
      </c>
      <c r="F1097" t="s">
        <v>1452</v>
      </c>
    </row>
    <row r="1098" spans="1:6" x14ac:dyDescent="0.35">
      <c r="A1098">
        <v>20260601</v>
      </c>
      <c r="B1098" t="s">
        <v>1138</v>
      </c>
      <c r="C1098" t="s">
        <v>1467</v>
      </c>
      <c r="D1098">
        <v>9</v>
      </c>
      <c r="E1098">
        <v>8.5</v>
      </c>
      <c r="F1098" t="s">
        <v>1452</v>
      </c>
    </row>
    <row r="1099" spans="1:6" x14ac:dyDescent="0.35">
      <c r="A1099">
        <v>20260601</v>
      </c>
      <c r="B1099" t="s">
        <v>1138</v>
      </c>
      <c r="C1099" t="s">
        <v>1468</v>
      </c>
      <c r="D1099">
        <v>5</v>
      </c>
      <c r="E1099">
        <v>4</v>
      </c>
      <c r="F1099" t="s">
        <v>1452</v>
      </c>
    </row>
    <row r="1100" spans="1:6" x14ac:dyDescent="0.35">
      <c r="A1100">
        <v>20260601</v>
      </c>
      <c r="B1100" t="s">
        <v>1138</v>
      </c>
      <c r="C1100" t="s">
        <v>1469</v>
      </c>
      <c r="D1100">
        <v>3</v>
      </c>
      <c r="E1100">
        <v>0</v>
      </c>
      <c r="F1100" t="s">
        <v>1452</v>
      </c>
    </row>
    <row r="1101" spans="1:6" x14ac:dyDescent="0.35">
      <c r="A1101">
        <v>20260601</v>
      </c>
      <c r="B1101" t="s">
        <v>1138</v>
      </c>
      <c r="C1101" t="s">
        <v>1470</v>
      </c>
      <c r="D1101">
        <v>1.5</v>
      </c>
      <c r="E1101">
        <v>0</v>
      </c>
      <c r="F1101" t="s">
        <v>1452</v>
      </c>
    </row>
    <row r="1102" spans="1:6" x14ac:dyDescent="0.35">
      <c r="A1102">
        <v>20260701</v>
      </c>
      <c r="B1102" t="s">
        <v>1150</v>
      </c>
      <c r="C1102" t="s">
        <v>1466</v>
      </c>
      <c r="D1102">
        <v>6</v>
      </c>
      <c r="E1102">
        <v>6</v>
      </c>
      <c r="F1102" t="s">
        <v>1452</v>
      </c>
    </row>
    <row r="1103" spans="1:6" x14ac:dyDescent="0.35">
      <c r="A1103">
        <v>20260701</v>
      </c>
      <c r="B1103" t="s">
        <v>1150</v>
      </c>
      <c r="C1103" t="s">
        <v>1467</v>
      </c>
      <c r="D1103">
        <v>9</v>
      </c>
      <c r="E1103">
        <v>8.5</v>
      </c>
      <c r="F1103" t="s">
        <v>1452</v>
      </c>
    </row>
    <row r="1104" spans="1:6" x14ac:dyDescent="0.35">
      <c r="A1104">
        <v>20260701</v>
      </c>
      <c r="B1104" t="s">
        <v>1150</v>
      </c>
      <c r="C1104" t="s">
        <v>1468</v>
      </c>
      <c r="D1104">
        <v>5</v>
      </c>
      <c r="E1104">
        <v>4</v>
      </c>
      <c r="F1104" t="s">
        <v>1452</v>
      </c>
    </row>
    <row r="1105" spans="1:6" x14ac:dyDescent="0.35">
      <c r="A1105">
        <v>20260701</v>
      </c>
      <c r="B1105" t="s">
        <v>1150</v>
      </c>
      <c r="C1105" t="s">
        <v>1469</v>
      </c>
      <c r="D1105">
        <v>3</v>
      </c>
      <c r="E1105">
        <v>0</v>
      </c>
      <c r="F1105" t="s">
        <v>1452</v>
      </c>
    </row>
    <row r="1106" spans="1:6" x14ac:dyDescent="0.35">
      <c r="A1106">
        <v>20260701</v>
      </c>
      <c r="B1106" t="s">
        <v>1150</v>
      </c>
      <c r="C1106" t="s">
        <v>1470</v>
      </c>
      <c r="D1106">
        <v>1.5</v>
      </c>
      <c r="E1106">
        <v>0</v>
      </c>
      <c r="F1106" t="s">
        <v>1452</v>
      </c>
    </row>
    <row r="1107" spans="1:6" x14ac:dyDescent="0.35">
      <c r="A1107">
        <v>20260701</v>
      </c>
      <c r="B1107" t="s">
        <v>1158</v>
      </c>
      <c r="C1107" t="s">
        <v>1466</v>
      </c>
      <c r="D1107">
        <v>6</v>
      </c>
      <c r="E1107">
        <v>6</v>
      </c>
      <c r="F1107" t="s">
        <v>1452</v>
      </c>
    </row>
    <row r="1108" spans="1:6" x14ac:dyDescent="0.35">
      <c r="A1108">
        <v>20260701</v>
      </c>
      <c r="B1108" t="s">
        <v>1158</v>
      </c>
      <c r="C1108" t="s">
        <v>1467</v>
      </c>
      <c r="D1108">
        <v>9</v>
      </c>
      <c r="E1108">
        <v>8.5</v>
      </c>
      <c r="F1108" t="s">
        <v>1452</v>
      </c>
    </row>
    <row r="1109" spans="1:6" x14ac:dyDescent="0.35">
      <c r="A1109">
        <v>20260701</v>
      </c>
      <c r="B1109" t="s">
        <v>1158</v>
      </c>
      <c r="C1109" t="s">
        <v>1468</v>
      </c>
      <c r="D1109">
        <v>5</v>
      </c>
      <c r="E1109">
        <v>4</v>
      </c>
      <c r="F1109" t="s">
        <v>1452</v>
      </c>
    </row>
    <row r="1110" spans="1:6" x14ac:dyDescent="0.35">
      <c r="A1110">
        <v>20260701</v>
      </c>
      <c r="B1110" t="s">
        <v>1158</v>
      </c>
      <c r="C1110" t="s">
        <v>1469</v>
      </c>
      <c r="D1110">
        <v>3</v>
      </c>
      <c r="E1110">
        <v>0</v>
      </c>
      <c r="F1110" t="s">
        <v>1452</v>
      </c>
    </row>
    <row r="1111" spans="1:6" x14ac:dyDescent="0.35">
      <c r="A1111">
        <v>20260701</v>
      </c>
      <c r="B1111" t="s">
        <v>1158</v>
      </c>
      <c r="C1111" t="s">
        <v>1470</v>
      </c>
      <c r="D1111">
        <v>1.5</v>
      </c>
      <c r="E1111">
        <v>0</v>
      </c>
      <c r="F1111" t="s">
        <v>1452</v>
      </c>
    </row>
    <row r="1112" spans="1:6" x14ac:dyDescent="0.35">
      <c r="A1112">
        <v>20260701</v>
      </c>
      <c r="B1112" t="s">
        <v>1205</v>
      </c>
      <c r="C1112" t="s">
        <v>1466</v>
      </c>
      <c r="D1112">
        <v>6</v>
      </c>
      <c r="E1112">
        <v>6</v>
      </c>
      <c r="F1112" t="s">
        <v>1452</v>
      </c>
    </row>
    <row r="1113" spans="1:6" x14ac:dyDescent="0.35">
      <c r="A1113">
        <v>20260701</v>
      </c>
      <c r="B1113" t="s">
        <v>1205</v>
      </c>
      <c r="C1113" t="s">
        <v>1467</v>
      </c>
      <c r="D1113">
        <v>9</v>
      </c>
      <c r="E1113">
        <v>8.5</v>
      </c>
      <c r="F1113" t="s">
        <v>1452</v>
      </c>
    </row>
    <row r="1114" spans="1:6" x14ac:dyDescent="0.35">
      <c r="A1114">
        <v>20260701</v>
      </c>
      <c r="B1114" t="s">
        <v>1205</v>
      </c>
      <c r="C1114" t="s">
        <v>1468</v>
      </c>
      <c r="D1114">
        <v>5</v>
      </c>
      <c r="E1114">
        <v>4</v>
      </c>
      <c r="F1114" t="s">
        <v>1452</v>
      </c>
    </row>
    <row r="1115" spans="1:6" x14ac:dyDescent="0.35">
      <c r="A1115">
        <v>20260701</v>
      </c>
      <c r="B1115" t="s">
        <v>1205</v>
      </c>
      <c r="C1115" t="s">
        <v>1469</v>
      </c>
      <c r="D1115">
        <v>3</v>
      </c>
      <c r="E1115">
        <v>0</v>
      </c>
      <c r="F1115" t="s">
        <v>1452</v>
      </c>
    </row>
    <row r="1116" spans="1:6" x14ac:dyDescent="0.35">
      <c r="A1116">
        <v>20260701</v>
      </c>
      <c r="B1116" t="s">
        <v>1205</v>
      </c>
      <c r="C1116" t="s">
        <v>1470</v>
      </c>
      <c r="D1116">
        <v>1.5</v>
      </c>
      <c r="E1116">
        <v>0</v>
      </c>
      <c r="F1116" t="s">
        <v>1452</v>
      </c>
    </row>
    <row r="1117" spans="1:6" x14ac:dyDescent="0.35">
      <c r="A1117">
        <v>20260701</v>
      </c>
      <c r="B1117" t="s">
        <v>1164</v>
      </c>
      <c r="C1117" t="s">
        <v>1466</v>
      </c>
      <c r="D1117">
        <v>6</v>
      </c>
      <c r="E1117">
        <v>6</v>
      </c>
      <c r="F1117" t="s">
        <v>1452</v>
      </c>
    </row>
    <row r="1118" spans="1:6" x14ac:dyDescent="0.35">
      <c r="A1118">
        <v>20260701</v>
      </c>
      <c r="B1118" t="s">
        <v>1164</v>
      </c>
      <c r="C1118" t="s">
        <v>1467</v>
      </c>
      <c r="D1118">
        <v>9</v>
      </c>
      <c r="E1118">
        <v>8.5</v>
      </c>
      <c r="F1118" t="s">
        <v>1452</v>
      </c>
    </row>
    <row r="1119" spans="1:6" x14ac:dyDescent="0.35">
      <c r="A1119">
        <v>20260701</v>
      </c>
      <c r="B1119" t="s">
        <v>1164</v>
      </c>
      <c r="C1119" t="s">
        <v>1468</v>
      </c>
      <c r="D1119">
        <v>5</v>
      </c>
      <c r="E1119">
        <v>4</v>
      </c>
      <c r="F1119" t="s">
        <v>1452</v>
      </c>
    </row>
    <row r="1120" spans="1:6" x14ac:dyDescent="0.35">
      <c r="A1120">
        <v>20260701</v>
      </c>
      <c r="B1120" t="s">
        <v>1164</v>
      </c>
      <c r="C1120" t="s">
        <v>1469</v>
      </c>
      <c r="D1120">
        <v>3</v>
      </c>
      <c r="E1120">
        <v>0</v>
      </c>
      <c r="F1120" t="s">
        <v>1452</v>
      </c>
    </row>
    <row r="1121" spans="1:6" x14ac:dyDescent="0.35">
      <c r="A1121">
        <v>20260701</v>
      </c>
      <c r="B1121" t="s">
        <v>1164</v>
      </c>
      <c r="C1121" t="s">
        <v>1470</v>
      </c>
      <c r="D1121">
        <v>1.5</v>
      </c>
      <c r="E1121">
        <v>0</v>
      </c>
      <c r="F1121" t="s">
        <v>1452</v>
      </c>
    </row>
    <row r="1122" spans="1:6" x14ac:dyDescent="0.35">
      <c r="A1122">
        <v>20260701</v>
      </c>
      <c r="B1122" t="s">
        <v>1169</v>
      </c>
      <c r="C1122" t="s">
        <v>1466</v>
      </c>
      <c r="D1122">
        <v>6</v>
      </c>
      <c r="E1122">
        <v>6</v>
      </c>
      <c r="F1122" t="s">
        <v>1452</v>
      </c>
    </row>
    <row r="1123" spans="1:6" x14ac:dyDescent="0.35">
      <c r="A1123">
        <v>20260701</v>
      </c>
      <c r="B1123" t="s">
        <v>1169</v>
      </c>
      <c r="C1123" t="s">
        <v>1467</v>
      </c>
      <c r="D1123">
        <v>9</v>
      </c>
      <c r="E1123">
        <v>8.5</v>
      </c>
      <c r="F1123" t="s">
        <v>1452</v>
      </c>
    </row>
    <row r="1124" spans="1:6" x14ac:dyDescent="0.35">
      <c r="A1124">
        <v>20260701</v>
      </c>
      <c r="B1124" t="s">
        <v>1169</v>
      </c>
      <c r="C1124" t="s">
        <v>1468</v>
      </c>
      <c r="D1124">
        <v>5</v>
      </c>
      <c r="E1124">
        <v>4</v>
      </c>
      <c r="F1124" t="s">
        <v>1452</v>
      </c>
    </row>
    <row r="1125" spans="1:6" x14ac:dyDescent="0.35">
      <c r="A1125">
        <v>20260701</v>
      </c>
      <c r="B1125" t="s">
        <v>1169</v>
      </c>
      <c r="C1125" t="s">
        <v>1469</v>
      </c>
      <c r="D1125">
        <v>3</v>
      </c>
      <c r="E1125">
        <v>0</v>
      </c>
      <c r="F1125" t="s">
        <v>1452</v>
      </c>
    </row>
    <row r="1126" spans="1:6" x14ac:dyDescent="0.35">
      <c r="A1126">
        <v>20260701</v>
      </c>
      <c r="B1126" t="s">
        <v>1169</v>
      </c>
      <c r="C1126" t="s">
        <v>1470</v>
      </c>
      <c r="D1126">
        <v>1.5</v>
      </c>
      <c r="E1126">
        <v>0</v>
      </c>
      <c r="F1126" t="s">
        <v>1452</v>
      </c>
    </row>
    <row r="1127" spans="1:6" x14ac:dyDescent="0.35">
      <c r="A1127">
        <v>20260701</v>
      </c>
      <c r="B1127" t="s">
        <v>1175</v>
      </c>
      <c r="C1127" t="s">
        <v>1466</v>
      </c>
      <c r="D1127">
        <v>6</v>
      </c>
      <c r="E1127">
        <v>6</v>
      </c>
      <c r="F1127" t="s">
        <v>1452</v>
      </c>
    </row>
    <row r="1128" spans="1:6" x14ac:dyDescent="0.35">
      <c r="A1128">
        <v>20260701</v>
      </c>
      <c r="B1128" t="s">
        <v>1175</v>
      </c>
      <c r="C1128" t="s">
        <v>1467</v>
      </c>
      <c r="D1128">
        <v>9</v>
      </c>
      <c r="E1128">
        <v>8.5</v>
      </c>
      <c r="F1128" t="s">
        <v>1452</v>
      </c>
    </row>
    <row r="1129" spans="1:6" x14ac:dyDescent="0.35">
      <c r="A1129">
        <v>20260701</v>
      </c>
      <c r="B1129" t="s">
        <v>1175</v>
      </c>
      <c r="C1129" t="s">
        <v>1468</v>
      </c>
      <c r="D1129">
        <v>5</v>
      </c>
      <c r="E1129">
        <v>4</v>
      </c>
      <c r="F1129" t="s">
        <v>1452</v>
      </c>
    </row>
    <row r="1130" spans="1:6" x14ac:dyDescent="0.35">
      <c r="A1130">
        <v>20260701</v>
      </c>
      <c r="B1130" t="s">
        <v>1175</v>
      </c>
      <c r="C1130" t="s">
        <v>1469</v>
      </c>
      <c r="D1130">
        <v>3</v>
      </c>
      <c r="E1130">
        <v>0</v>
      </c>
      <c r="F1130" t="s">
        <v>1452</v>
      </c>
    </row>
    <row r="1131" spans="1:6" x14ac:dyDescent="0.35">
      <c r="A1131">
        <v>20260701</v>
      </c>
      <c r="B1131" t="s">
        <v>1175</v>
      </c>
      <c r="C1131" t="s">
        <v>1470</v>
      </c>
      <c r="D1131">
        <v>1.5</v>
      </c>
      <c r="E1131">
        <v>0</v>
      </c>
      <c r="F1131" t="s">
        <v>1452</v>
      </c>
    </row>
    <row r="1132" spans="1:6" x14ac:dyDescent="0.35">
      <c r="A1132">
        <v>20260701</v>
      </c>
      <c r="B1132" t="s">
        <v>1130</v>
      </c>
      <c r="C1132" t="s">
        <v>1466</v>
      </c>
      <c r="D1132">
        <v>6</v>
      </c>
      <c r="E1132">
        <v>6</v>
      </c>
      <c r="F1132" t="s">
        <v>1452</v>
      </c>
    </row>
    <row r="1133" spans="1:6" x14ac:dyDescent="0.35">
      <c r="A1133">
        <v>20260701</v>
      </c>
      <c r="B1133" t="s">
        <v>1130</v>
      </c>
      <c r="C1133" t="s">
        <v>1467</v>
      </c>
      <c r="D1133">
        <v>9</v>
      </c>
      <c r="E1133">
        <v>8.5</v>
      </c>
      <c r="F1133" t="s">
        <v>1452</v>
      </c>
    </row>
    <row r="1134" spans="1:6" x14ac:dyDescent="0.35">
      <c r="A1134">
        <v>20260701</v>
      </c>
      <c r="B1134" t="s">
        <v>1130</v>
      </c>
      <c r="C1134" t="s">
        <v>1468</v>
      </c>
      <c r="D1134">
        <v>5</v>
      </c>
      <c r="E1134">
        <v>4</v>
      </c>
      <c r="F1134" t="s">
        <v>1452</v>
      </c>
    </row>
    <row r="1135" spans="1:6" x14ac:dyDescent="0.35">
      <c r="A1135">
        <v>20260701</v>
      </c>
      <c r="B1135" t="s">
        <v>1130</v>
      </c>
      <c r="C1135" t="s">
        <v>1469</v>
      </c>
      <c r="D1135">
        <v>3</v>
      </c>
      <c r="E1135">
        <v>0</v>
      </c>
      <c r="F1135" t="s">
        <v>1452</v>
      </c>
    </row>
    <row r="1136" spans="1:6" x14ac:dyDescent="0.35">
      <c r="A1136">
        <v>20260701</v>
      </c>
      <c r="B1136" t="s">
        <v>1130</v>
      </c>
      <c r="C1136" t="s">
        <v>1470</v>
      </c>
      <c r="D1136">
        <v>1.5</v>
      </c>
      <c r="E1136">
        <v>0</v>
      </c>
      <c r="F1136" t="s">
        <v>1452</v>
      </c>
    </row>
    <row r="1137" spans="1:6" x14ac:dyDescent="0.35">
      <c r="A1137">
        <v>20260701</v>
      </c>
      <c r="B1137" t="s">
        <v>1173</v>
      </c>
      <c r="C1137" t="s">
        <v>1466</v>
      </c>
      <c r="D1137">
        <v>6</v>
      </c>
      <c r="E1137">
        <v>6</v>
      </c>
      <c r="F1137" t="s">
        <v>1452</v>
      </c>
    </row>
    <row r="1138" spans="1:6" x14ac:dyDescent="0.35">
      <c r="A1138">
        <v>20260701</v>
      </c>
      <c r="B1138" t="s">
        <v>1173</v>
      </c>
      <c r="C1138" t="s">
        <v>1467</v>
      </c>
      <c r="D1138">
        <v>9</v>
      </c>
      <c r="E1138">
        <v>8.5</v>
      </c>
      <c r="F1138" t="s">
        <v>1452</v>
      </c>
    </row>
    <row r="1139" spans="1:6" x14ac:dyDescent="0.35">
      <c r="A1139">
        <v>20260701</v>
      </c>
      <c r="B1139" t="s">
        <v>1173</v>
      </c>
      <c r="C1139" t="s">
        <v>1468</v>
      </c>
      <c r="D1139">
        <v>5</v>
      </c>
      <c r="E1139">
        <v>4</v>
      </c>
      <c r="F1139" t="s">
        <v>1452</v>
      </c>
    </row>
    <row r="1140" spans="1:6" x14ac:dyDescent="0.35">
      <c r="A1140">
        <v>20260701</v>
      </c>
      <c r="B1140" t="s">
        <v>1173</v>
      </c>
      <c r="C1140" t="s">
        <v>1469</v>
      </c>
      <c r="D1140">
        <v>3</v>
      </c>
      <c r="E1140">
        <v>0</v>
      </c>
      <c r="F1140" t="s">
        <v>1452</v>
      </c>
    </row>
    <row r="1141" spans="1:6" x14ac:dyDescent="0.35">
      <c r="A1141">
        <v>20260701</v>
      </c>
      <c r="B1141" t="s">
        <v>1173</v>
      </c>
      <c r="C1141" t="s">
        <v>1470</v>
      </c>
      <c r="D1141">
        <v>1.5</v>
      </c>
      <c r="E1141">
        <v>0</v>
      </c>
      <c r="F1141" t="s">
        <v>1452</v>
      </c>
    </row>
    <row r="1142" spans="1:6" x14ac:dyDescent="0.35">
      <c r="A1142">
        <v>20260701</v>
      </c>
      <c r="B1142" t="s">
        <v>1155</v>
      </c>
      <c r="C1142" t="s">
        <v>1466</v>
      </c>
      <c r="D1142">
        <v>6</v>
      </c>
      <c r="E1142">
        <v>6</v>
      </c>
      <c r="F1142" t="s">
        <v>1452</v>
      </c>
    </row>
    <row r="1143" spans="1:6" x14ac:dyDescent="0.35">
      <c r="A1143">
        <v>20260701</v>
      </c>
      <c r="B1143" t="s">
        <v>1155</v>
      </c>
      <c r="C1143" t="s">
        <v>1467</v>
      </c>
      <c r="D1143">
        <v>9</v>
      </c>
      <c r="E1143">
        <v>8.5</v>
      </c>
      <c r="F1143" t="s">
        <v>1452</v>
      </c>
    </row>
    <row r="1144" spans="1:6" x14ac:dyDescent="0.35">
      <c r="A1144">
        <v>20260701</v>
      </c>
      <c r="B1144" t="s">
        <v>1155</v>
      </c>
      <c r="C1144" t="s">
        <v>1468</v>
      </c>
      <c r="D1144">
        <v>5</v>
      </c>
      <c r="E1144">
        <v>4</v>
      </c>
      <c r="F1144" t="s">
        <v>1452</v>
      </c>
    </row>
    <row r="1145" spans="1:6" x14ac:dyDescent="0.35">
      <c r="A1145">
        <v>20260701</v>
      </c>
      <c r="B1145" t="s">
        <v>1155</v>
      </c>
      <c r="C1145" t="s">
        <v>1469</v>
      </c>
      <c r="D1145">
        <v>3</v>
      </c>
      <c r="E1145">
        <v>0</v>
      </c>
      <c r="F1145" t="s">
        <v>1452</v>
      </c>
    </row>
    <row r="1146" spans="1:6" x14ac:dyDescent="0.35">
      <c r="A1146">
        <v>20260701</v>
      </c>
      <c r="B1146" t="s">
        <v>1155</v>
      </c>
      <c r="C1146" t="s">
        <v>1470</v>
      </c>
      <c r="D1146">
        <v>1.5</v>
      </c>
      <c r="E1146">
        <v>0</v>
      </c>
      <c r="F1146" t="s">
        <v>1452</v>
      </c>
    </row>
    <row r="1147" spans="1:6" x14ac:dyDescent="0.35">
      <c r="A1147">
        <v>20260701</v>
      </c>
      <c r="B1147" t="s">
        <v>1138</v>
      </c>
      <c r="C1147" t="s">
        <v>1466</v>
      </c>
      <c r="D1147">
        <v>6</v>
      </c>
      <c r="E1147">
        <v>6</v>
      </c>
      <c r="F1147" t="s">
        <v>1452</v>
      </c>
    </row>
    <row r="1148" spans="1:6" x14ac:dyDescent="0.35">
      <c r="A1148">
        <v>20260701</v>
      </c>
      <c r="B1148" t="s">
        <v>1138</v>
      </c>
      <c r="C1148" t="s">
        <v>1467</v>
      </c>
      <c r="D1148">
        <v>9</v>
      </c>
      <c r="E1148">
        <v>8.5</v>
      </c>
      <c r="F1148" t="s">
        <v>1452</v>
      </c>
    </row>
    <row r="1149" spans="1:6" x14ac:dyDescent="0.35">
      <c r="A1149">
        <v>20260701</v>
      </c>
      <c r="B1149" t="s">
        <v>1138</v>
      </c>
      <c r="C1149" t="s">
        <v>1468</v>
      </c>
      <c r="D1149">
        <v>5</v>
      </c>
      <c r="E1149">
        <v>4</v>
      </c>
      <c r="F1149" t="s">
        <v>1452</v>
      </c>
    </row>
    <row r="1150" spans="1:6" x14ac:dyDescent="0.35">
      <c r="A1150">
        <v>20260701</v>
      </c>
      <c r="B1150" t="s">
        <v>1138</v>
      </c>
      <c r="C1150" t="s">
        <v>1469</v>
      </c>
      <c r="D1150">
        <v>3</v>
      </c>
      <c r="E1150">
        <v>0</v>
      </c>
      <c r="F1150" t="s">
        <v>1452</v>
      </c>
    </row>
    <row r="1151" spans="1:6" x14ac:dyDescent="0.35">
      <c r="A1151">
        <v>20260701</v>
      </c>
      <c r="B1151" t="s">
        <v>1138</v>
      </c>
      <c r="C1151" t="s">
        <v>1470</v>
      </c>
      <c r="D1151">
        <v>1.5</v>
      </c>
      <c r="E1151">
        <v>0</v>
      </c>
      <c r="F1151" t="s">
        <v>1452</v>
      </c>
    </row>
    <row r="1152" spans="1:6" x14ac:dyDescent="0.35">
      <c r="A1152">
        <v>20260801</v>
      </c>
      <c r="B1152" t="s">
        <v>1150</v>
      </c>
      <c r="C1152" t="s">
        <v>1466</v>
      </c>
      <c r="D1152">
        <v>6</v>
      </c>
      <c r="E1152">
        <v>6</v>
      </c>
      <c r="F1152" t="s">
        <v>1452</v>
      </c>
    </row>
    <row r="1153" spans="1:6" x14ac:dyDescent="0.35">
      <c r="A1153">
        <v>20260801</v>
      </c>
      <c r="B1153" t="s">
        <v>1150</v>
      </c>
      <c r="C1153" t="s">
        <v>1467</v>
      </c>
      <c r="D1153">
        <v>9</v>
      </c>
      <c r="E1153">
        <v>8.5</v>
      </c>
      <c r="F1153" t="s">
        <v>1452</v>
      </c>
    </row>
    <row r="1154" spans="1:6" x14ac:dyDescent="0.35">
      <c r="A1154">
        <v>20260801</v>
      </c>
      <c r="B1154" t="s">
        <v>1150</v>
      </c>
      <c r="C1154" t="s">
        <v>1468</v>
      </c>
      <c r="D1154">
        <v>5</v>
      </c>
      <c r="E1154">
        <v>4</v>
      </c>
      <c r="F1154" t="s">
        <v>1452</v>
      </c>
    </row>
    <row r="1155" spans="1:6" x14ac:dyDescent="0.35">
      <c r="A1155">
        <v>20260801</v>
      </c>
      <c r="B1155" t="s">
        <v>1150</v>
      </c>
      <c r="C1155" t="s">
        <v>1469</v>
      </c>
      <c r="D1155">
        <v>3</v>
      </c>
      <c r="E1155">
        <v>0</v>
      </c>
      <c r="F1155" t="s">
        <v>1452</v>
      </c>
    </row>
    <row r="1156" spans="1:6" x14ac:dyDescent="0.35">
      <c r="A1156">
        <v>20260801</v>
      </c>
      <c r="B1156" t="s">
        <v>1150</v>
      </c>
      <c r="C1156" t="s">
        <v>1470</v>
      </c>
      <c r="D1156">
        <v>1.5</v>
      </c>
      <c r="E1156">
        <v>0</v>
      </c>
      <c r="F1156" t="s">
        <v>1452</v>
      </c>
    </row>
    <row r="1157" spans="1:6" x14ac:dyDescent="0.35">
      <c r="A1157">
        <v>20260801</v>
      </c>
      <c r="B1157" t="s">
        <v>1158</v>
      </c>
      <c r="C1157" t="s">
        <v>1466</v>
      </c>
      <c r="D1157">
        <v>6</v>
      </c>
      <c r="E1157">
        <v>6</v>
      </c>
      <c r="F1157" t="s">
        <v>1452</v>
      </c>
    </row>
    <row r="1158" spans="1:6" x14ac:dyDescent="0.35">
      <c r="A1158">
        <v>20260801</v>
      </c>
      <c r="B1158" t="s">
        <v>1158</v>
      </c>
      <c r="C1158" t="s">
        <v>1467</v>
      </c>
      <c r="D1158">
        <v>9</v>
      </c>
      <c r="E1158">
        <v>8.5</v>
      </c>
      <c r="F1158" t="s">
        <v>1452</v>
      </c>
    </row>
    <row r="1159" spans="1:6" x14ac:dyDescent="0.35">
      <c r="A1159">
        <v>20260801</v>
      </c>
      <c r="B1159" t="s">
        <v>1158</v>
      </c>
      <c r="C1159" t="s">
        <v>1468</v>
      </c>
      <c r="D1159">
        <v>5</v>
      </c>
      <c r="E1159">
        <v>4</v>
      </c>
      <c r="F1159" t="s">
        <v>1452</v>
      </c>
    </row>
    <row r="1160" spans="1:6" x14ac:dyDescent="0.35">
      <c r="A1160">
        <v>20260801</v>
      </c>
      <c r="B1160" t="s">
        <v>1158</v>
      </c>
      <c r="C1160" t="s">
        <v>1469</v>
      </c>
      <c r="D1160">
        <v>3</v>
      </c>
      <c r="E1160">
        <v>0</v>
      </c>
      <c r="F1160" t="s">
        <v>1452</v>
      </c>
    </row>
    <row r="1161" spans="1:6" x14ac:dyDescent="0.35">
      <c r="A1161">
        <v>20260801</v>
      </c>
      <c r="B1161" t="s">
        <v>1158</v>
      </c>
      <c r="C1161" t="s">
        <v>1470</v>
      </c>
      <c r="D1161">
        <v>1.5</v>
      </c>
      <c r="E1161">
        <v>0</v>
      </c>
      <c r="F1161" t="s">
        <v>1452</v>
      </c>
    </row>
    <row r="1162" spans="1:6" x14ac:dyDescent="0.35">
      <c r="A1162">
        <v>20260801</v>
      </c>
      <c r="B1162" t="s">
        <v>1205</v>
      </c>
      <c r="C1162" t="s">
        <v>1466</v>
      </c>
      <c r="D1162">
        <v>6</v>
      </c>
      <c r="E1162">
        <v>6</v>
      </c>
      <c r="F1162" t="s">
        <v>1452</v>
      </c>
    </row>
    <row r="1163" spans="1:6" x14ac:dyDescent="0.35">
      <c r="A1163">
        <v>20260801</v>
      </c>
      <c r="B1163" t="s">
        <v>1205</v>
      </c>
      <c r="C1163" t="s">
        <v>1467</v>
      </c>
      <c r="D1163">
        <v>9</v>
      </c>
      <c r="E1163">
        <v>8.5</v>
      </c>
      <c r="F1163" t="s">
        <v>1452</v>
      </c>
    </row>
    <row r="1164" spans="1:6" x14ac:dyDescent="0.35">
      <c r="A1164">
        <v>20260801</v>
      </c>
      <c r="B1164" t="s">
        <v>1205</v>
      </c>
      <c r="C1164" t="s">
        <v>1468</v>
      </c>
      <c r="D1164">
        <v>5</v>
      </c>
      <c r="E1164">
        <v>4</v>
      </c>
      <c r="F1164" t="s">
        <v>1452</v>
      </c>
    </row>
    <row r="1165" spans="1:6" x14ac:dyDescent="0.35">
      <c r="A1165">
        <v>20260801</v>
      </c>
      <c r="B1165" t="s">
        <v>1205</v>
      </c>
      <c r="C1165" t="s">
        <v>1469</v>
      </c>
      <c r="D1165">
        <v>3</v>
      </c>
      <c r="E1165">
        <v>0</v>
      </c>
      <c r="F1165" t="s">
        <v>1452</v>
      </c>
    </row>
    <row r="1166" spans="1:6" x14ac:dyDescent="0.35">
      <c r="A1166">
        <v>20260801</v>
      </c>
      <c r="B1166" t="s">
        <v>1205</v>
      </c>
      <c r="C1166" t="s">
        <v>1470</v>
      </c>
      <c r="D1166">
        <v>1.5</v>
      </c>
      <c r="E1166">
        <v>0</v>
      </c>
      <c r="F1166" t="s">
        <v>1452</v>
      </c>
    </row>
    <row r="1167" spans="1:6" x14ac:dyDescent="0.35">
      <c r="A1167">
        <v>20260801</v>
      </c>
      <c r="B1167" t="s">
        <v>1164</v>
      </c>
      <c r="C1167" t="s">
        <v>1466</v>
      </c>
      <c r="D1167">
        <v>6</v>
      </c>
      <c r="E1167">
        <v>6</v>
      </c>
      <c r="F1167" t="s">
        <v>1452</v>
      </c>
    </row>
    <row r="1168" spans="1:6" x14ac:dyDescent="0.35">
      <c r="A1168">
        <v>20260801</v>
      </c>
      <c r="B1168" t="s">
        <v>1164</v>
      </c>
      <c r="C1168" t="s">
        <v>1467</v>
      </c>
      <c r="D1168">
        <v>9</v>
      </c>
      <c r="E1168">
        <v>8.5</v>
      </c>
      <c r="F1168" t="s">
        <v>1452</v>
      </c>
    </row>
    <row r="1169" spans="1:6" x14ac:dyDescent="0.35">
      <c r="A1169">
        <v>20260801</v>
      </c>
      <c r="B1169" t="s">
        <v>1164</v>
      </c>
      <c r="C1169" t="s">
        <v>1468</v>
      </c>
      <c r="D1169">
        <v>5</v>
      </c>
      <c r="E1169">
        <v>4</v>
      </c>
      <c r="F1169" t="s">
        <v>1452</v>
      </c>
    </row>
    <row r="1170" spans="1:6" x14ac:dyDescent="0.35">
      <c r="A1170">
        <v>20260801</v>
      </c>
      <c r="B1170" t="s">
        <v>1164</v>
      </c>
      <c r="C1170" t="s">
        <v>1469</v>
      </c>
      <c r="D1170">
        <v>3</v>
      </c>
      <c r="E1170">
        <v>0</v>
      </c>
      <c r="F1170" t="s">
        <v>1452</v>
      </c>
    </row>
    <row r="1171" spans="1:6" x14ac:dyDescent="0.35">
      <c r="A1171">
        <v>20260801</v>
      </c>
      <c r="B1171" t="s">
        <v>1164</v>
      </c>
      <c r="C1171" t="s">
        <v>1470</v>
      </c>
      <c r="D1171">
        <v>1.5</v>
      </c>
      <c r="E1171">
        <v>0</v>
      </c>
      <c r="F1171" t="s">
        <v>1452</v>
      </c>
    </row>
    <row r="1172" spans="1:6" x14ac:dyDescent="0.35">
      <c r="A1172">
        <v>20260801</v>
      </c>
      <c r="B1172" t="s">
        <v>1169</v>
      </c>
      <c r="C1172" t="s">
        <v>1466</v>
      </c>
      <c r="D1172">
        <v>6</v>
      </c>
      <c r="E1172">
        <v>6</v>
      </c>
      <c r="F1172" t="s">
        <v>1452</v>
      </c>
    </row>
    <row r="1173" spans="1:6" x14ac:dyDescent="0.35">
      <c r="A1173">
        <v>20260801</v>
      </c>
      <c r="B1173" t="s">
        <v>1169</v>
      </c>
      <c r="C1173" t="s">
        <v>1467</v>
      </c>
      <c r="D1173">
        <v>9</v>
      </c>
      <c r="E1173">
        <v>8.5</v>
      </c>
      <c r="F1173" t="s">
        <v>1452</v>
      </c>
    </row>
    <row r="1174" spans="1:6" x14ac:dyDescent="0.35">
      <c r="A1174">
        <v>20260801</v>
      </c>
      <c r="B1174" t="s">
        <v>1169</v>
      </c>
      <c r="C1174" t="s">
        <v>1468</v>
      </c>
      <c r="D1174">
        <v>5</v>
      </c>
      <c r="E1174">
        <v>4</v>
      </c>
      <c r="F1174" t="s">
        <v>1452</v>
      </c>
    </row>
    <row r="1175" spans="1:6" x14ac:dyDescent="0.35">
      <c r="A1175">
        <v>20260801</v>
      </c>
      <c r="B1175" t="s">
        <v>1169</v>
      </c>
      <c r="C1175" t="s">
        <v>1469</v>
      </c>
      <c r="D1175">
        <v>3</v>
      </c>
      <c r="E1175">
        <v>0</v>
      </c>
      <c r="F1175" t="s">
        <v>1452</v>
      </c>
    </row>
    <row r="1176" spans="1:6" x14ac:dyDescent="0.35">
      <c r="A1176">
        <v>20260801</v>
      </c>
      <c r="B1176" t="s">
        <v>1169</v>
      </c>
      <c r="C1176" t="s">
        <v>1470</v>
      </c>
      <c r="D1176">
        <v>1.5</v>
      </c>
      <c r="E1176">
        <v>0</v>
      </c>
      <c r="F1176" t="s">
        <v>1452</v>
      </c>
    </row>
    <row r="1177" spans="1:6" x14ac:dyDescent="0.35">
      <c r="A1177">
        <v>20260801</v>
      </c>
      <c r="B1177" t="s">
        <v>1175</v>
      </c>
      <c r="C1177" t="s">
        <v>1466</v>
      </c>
      <c r="D1177">
        <v>6</v>
      </c>
      <c r="E1177">
        <v>6</v>
      </c>
      <c r="F1177" t="s">
        <v>1452</v>
      </c>
    </row>
    <row r="1178" spans="1:6" x14ac:dyDescent="0.35">
      <c r="A1178">
        <v>20260801</v>
      </c>
      <c r="B1178" t="s">
        <v>1175</v>
      </c>
      <c r="C1178" t="s">
        <v>1467</v>
      </c>
      <c r="D1178">
        <v>9</v>
      </c>
      <c r="E1178">
        <v>8.5</v>
      </c>
      <c r="F1178" t="s">
        <v>1452</v>
      </c>
    </row>
    <row r="1179" spans="1:6" x14ac:dyDescent="0.35">
      <c r="A1179">
        <v>20260801</v>
      </c>
      <c r="B1179" t="s">
        <v>1175</v>
      </c>
      <c r="C1179" t="s">
        <v>1468</v>
      </c>
      <c r="D1179">
        <v>5</v>
      </c>
      <c r="E1179">
        <v>4</v>
      </c>
      <c r="F1179" t="s">
        <v>1452</v>
      </c>
    </row>
    <row r="1180" spans="1:6" x14ac:dyDescent="0.35">
      <c r="A1180">
        <v>20260801</v>
      </c>
      <c r="B1180" t="s">
        <v>1175</v>
      </c>
      <c r="C1180" t="s">
        <v>1469</v>
      </c>
      <c r="D1180">
        <v>3</v>
      </c>
      <c r="E1180">
        <v>0</v>
      </c>
      <c r="F1180" t="s">
        <v>1452</v>
      </c>
    </row>
    <row r="1181" spans="1:6" x14ac:dyDescent="0.35">
      <c r="A1181">
        <v>20260801</v>
      </c>
      <c r="B1181" t="s">
        <v>1175</v>
      </c>
      <c r="C1181" t="s">
        <v>1470</v>
      </c>
      <c r="D1181">
        <v>1.5</v>
      </c>
      <c r="E1181">
        <v>0</v>
      </c>
      <c r="F1181" t="s">
        <v>1452</v>
      </c>
    </row>
    <row r="1182" spans="1:6" x14ac:dyDescent="0.35">
      <c r="A1182">
        <v>20260801</v>
      </c>
      <c r="B1182" t="s">
        <v>1130</v>
      </c>
      <c r="C1182" t="s">
        <v>1466</v>
      </c>
      <c r="D1182">
        <v>6</v>
      </c>
      <c r="E1182">
        <v>6</v>
      </c>
      <c r="F1182" t="s">
        <v>1452</v>
      </c>
    </row>
    <row r="1183" spans="1:6" x14ac:dyDescent="0.35">
      <c r="A1183">
        <v>20260801</v>
      </c>
      <c r="B1183" t="s">
        <v>1130</v>
      </c>
      <c r="C1183" t="s">
        <v>1467</v>
      </c>
      <c r="D1183">
        <v>9</v>
      </c>
      <c r="E1183">
        <v>8.5</v>
      </c>
      <c r="F1183" t="s">
        <v>1452</v>
      </c>
    </row>
    <row r="1184" spans="1:6" x14ac:dyDescent="0.35">
      <c r="A1184">
        <v>20260801</v>
      </c>
      <c r="B1184" t="s">
        <v>1130</v>
      </c>
      <c r="C1184" t="s">
        <v>1468</v>
      </c>
      <c r="D1184">
        <v>5</v>
      </c>
      <c r="E1184">
        <v>4</v>
      </c>
      <c r="F1184" t="s">
        <v>1452</v>
      </c>
    </row>
    <row r="1185" spans="1:6" x14ac:dyDescent="0.35">
      <c r="A1185">
        <v>20260801</v>
      </c>
      <c r="B1185" t="s">
        <v>1130</v>
      </c>
      <c r="C1185" t="s">
        <v>1469</v>
      </c>
      <c r="D1185">
        <v>3</v>
      </c>
      <c r="E1185">
        <v>0</v>
      </c>
      <c r="F1185" t="s">
        <v>1452</v>
      </c>
    </row>
    <row r="1186" spans="1:6" x14ac:dyDescent="0.35">
      <c r="A1186">
        <v>20260801</v>
      </c>
      <c r="B1186" t="s">
        <v>1130</v>
      </c>
      <c r="C1186" t="s">
        <v>1470</v>
      </c>
      <c r="D1186">
        <v>1.5</v>
      </c>
      <c r="E1186">
        <v>0</v>
      </c>
      <c r="F1186" t="s">
        <v>1452</v>
      </c>
    </row>
    <row r="1187" spans="1:6" x14ac:dyDescent="0.35">
      <c r="A1187">
        <v>20260801</v>
      </c>
      <c r="B1187" t="s">
        <v>1173</v>
      </c>
      <c r="C1187" t="s">
        <v>1466</v>
      </c>
      <c r="D1187">
        <v>6</v>
      </c>
      <c r="E1187">
        <v>6</v>
      </c>
      <c r="F1187" t="s">
        <v>1452</v>
      </c>
    </row>
    <row r="1188" spans="1:6" x14ac:dyDescent="0.35">
      <c r="A1188">
        <v>20260801</v>
      </c>
      <c r="B1188" t="s">
        <v>1173</v>
      </c>
      <c r="C1188" t="s">
        <v>1467</v>
      </c>
      <c r="D1188">
        <v>9</v>
      </c>
      <c r="E1188">
        <v>8.5</v>
      </c>
      <c r="F1188" t="s">
        <v>1452</v>
      </c>
    </row>
    <row r="1189" spans="1:6" x14ac:dyDescent="0.35">
      <c r="A1189">
        <v>20260801</v>
      </c>
      <c r="B1189" t="s">
        <v>1173</v>
      </c>
      <c r="C1189" t="s">
        <v>1468</v>
      </c>
      <c r="D1189">
        <v>5</v>
      </c>
      <c r="E1189">
        <v>4</v>
      </c>
      <c r="F1189" t="s">
        <v>1452</v>
      </c>
    </row>
    <row r="1190" spans="1:6" x14ac:dyDescent="0.35">
      <c r="A1190">
        <v>20260801</v>
      </c>
      <c r="B1190" t="s">
        <v>1173</v>
      </c>
      <c r="C1190" t="s">
        <v>1469</v>
      </c>
      <c r="D1190">
        <v>3</v>
      </c>
      <c r="E1190">
        <v>0</v>
      </c>
      <c r="F1190" t="s">
        <v>1452</v>
      </c>
    </row>
    <row r="1191" spans="1:6" x14ac:dyDescent="0.35">
      <c r="A1191">
        <v>20260801</v>
      </c>
      <c r="B1191" t="s">
        <v>1173</v>
      </c>
      <c r="C1191" t="s">
        <v>1470</v>
      </c>
      <c r="D1191">
        <v>1.5</v>
      </c>
      <c r="E1191">
        <v>0</v>
      </c>
      <c r="F1191" t="s">
        <v>1452</v>
      </c>
    </row>
    <row r="1192" spans="1:6" x14ac:dyDescent="0.35">
      <c r="A1192">
        <v>20260801</v>
      </c>
      <c r="B1192" t="s">
        <v>1155</v>
      </c>
      <c r="C1192" t="s">
        <v>1466</v>
      </c>
      <c r="D1192">
        <v>6</v>
      </c>
      <c r="E1192">
        <v>6</v>
      </c>
      <c r="F1192" t="s">
        <v>1452</v>
      </c>
    </row>
    <row r="1193" spans="1:6" x14ac:dyDescent="0.35">
      <c r="A1193">
        <v>20260801</v>
      </c>
      <c r="B1193" t="s">
        <v>1155</v>
      </c>
      <c r="C1193" t="s">
        <v>1467</v>
      </c>
      <c r="D1193">
        <v>9</v>
      </c>
      <c r="E1193">
        <v>8.5</v>
      </c>
      <c r="F1193" t="s">
        <v>1452</v>
      </c>
    </row>
    <row r="1194" spans="1:6" x14ac:dyDescent="0.35">
      <c r="A1194">
        <v>20260801</v>
      </c>
      <c r="B1194" t="s">
        <v>1155</v>
      </c>
      <c r="C1194" t="s">
        <v>1468</v>
      </c>
      <c r="D1194">
        <v>5</v>
      </c>
      <c r="E1194">
        <v>4</v>
      </c>
      <c r="F1194" t="s">
        <v>1452</v>
      </c>
    </row>
    <row r="1195" spans="1:6" x14ac:dyDescent="0.35">
      <c r="A1195">
        <v>20260801</v>
      </c>
      <c r="B1195" t="s">
        <v>1155</v>
      </c>
      <c r="C1195" t="s">
        <v>1469</v>
      </c>
      <c r="D1195">
        <v>3</v>
      </c>
      <c r="E1195">
        <v>0</v>
      </c>
      <c r="F1195" t="s">
        <v>1452</v>
      </c>
    </row>
    <row r="1196" spans="1:6" x14ac:dyDescent="0.35">
      <c r="A1196">
        <v>20260801</v>
      </c>
      <c r="B1196" t="s">
        <v>1155</v>
      </c>
      <c r="C1196" t="s">
        <v>1470</v>
      </c>
      <c r="D1196">
        <v>1.5</v>
      </c>
      <c r="E1196">
        <v>0</v>
      </c>
      <c r="F1196" t="s">
        <v>1452</v>
      </c>
    </row>
    <row r="1197" spans="1:6" x14ac:dyDescent="0.35">
      <c r="A1197">
        <v>20260801</v>
      </c>
      <c r="B1197" t="s">
        <v>1138</v>
      </c>
      <c r="C1197" t="s">
        <v>1466</v>
      </c>
      <c r="D1197">
        <v>6</v>
      </c>
      <c r="E1197">
        <v>6</v>
      </c>
      <c r="F1197" t="s">
        <v>1452</v>
      </c>
    </row>
    <row r="1198" spans="1:6" x14ac:dyDescent="0.35">
      <c r="A1198">
        <v>20260801</v>
      </c>
      <c r="B1198" t="s">
        <v>1138</v>
      </c>
      <c r="C1198" t="s">
        <v>1467</v>
      </c>
      <c r="D1198">
        <v>9</v>
      </c>
      <c r="E1198">
        <v>8.5</v>
      </c>
      <c r="F1198" t="s">
        <v>1452</v>
      </c>
    </row>
    <row r="1199" spans="1:6" x14ac:dyDescent="0.35">
      <c r="A1199">
        <v>20260801</v>
      </c>
      <c r="B1199" t="s">
        <v>1138</v>
      </c>
      <c r="C1199" t="s">
        <v>1468</v>
      </c>
      <c r="D1199">
        <v>5</v>
      </c>
      <c r="E1199">
        <v>4</v>
      </c>
      <c r="F1199" t="s">
        <v>1452</v>
      </c>
    </row>
    <row r="1200" spans="1:6" x14ac:dyDescent="0.35">
      <c r="A1200">
        <v>20260801</v>
      </c>
      <c r="B1200" t="s">
        <v>1138</v>
      </c>
      <c r="C1200" t="s">
        <v>1469</v>
      </c>
      <c r="D1200">
        <v>3</v>
      </c>
      <c r="E1200">
        <v>0</v>
      </c>
      <c r="F1200" t="s">
        <v>1452</v>
      </c>
    </row>
    <row r="1201" spans="1:6" x14ac:dyDescent="0.35">
      <c r="A1201">
        <v>20260801</v>
      </c>
      <c r="B1201" t="s">
        <v>1138</v>
      </c>
      <c r="C1201" t="s">
        <v>1470</v>
      </c>
      <c r="D1201">
        <v>1.5</v>
      </c>
      <c r="E1201">
        <v>0</v>
      </c>
      <c r="F1201" t="s">
        <v>1452</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64748B"/>
  </sheetPr>
  <dimension ref="A1:K73"/>
  <sheetViews>
    <sheetView zoomScale="85" workbookViewId="0"/>
  </sheetViews>
  <sheetFormatPr defaultRowHeight="14.5" x14ac:dyDescent="0.35"/>
  <cols>
    <col min="1" max="1" width="13" customWidth="1"/>
    <col min="2" max="2" width="22" customWidth="1"/>
    <col min="3" max="3" width="16" customWidth="1"/>
    <col min="4" max="4" width="17" customWidth="1"/>
    <col min="5" max="6" width="23" customWidth="1"/>
    <col min="7" max="7" width="21" customWidth="1"/>
    <col min="8" max="8" width="11" customWidth="1"/>
    <col min="9" max="10" width="15" customWidth="1"/>
    <col min="11" max="11" width="18" customWidth="1"/>
  </cols>
  <sheetData>
    <row r="1" spans="1:11" ht="20" customHeight="1" x14ac:dyDescent="0.35">
      <c r="A1" s="2" t="s">
        <v>1447</v>
      </c>
      <c r="B1" s="2" t="s">
        <v>1385</v>
      </c>
      <c r="C1" s="2" t="s">
        <v>1471</v>
      </c>
      <c r="D1" s="2" t="s">
        <v>1472</v>
      </c>
      <c r="E1" s="2" t="s">
        <v>1473</v>
      </c>
      <c r="F1" s="2" t="s">
        <v>1474</v>
      </c>
      <c r="G1" s="2" t="s">
        <v>1475</v>
      </c>
      <c r="H1" s="2" t="s">
        <v>541</v>
      </c>
      <c r="I1" s="2" t="s">
        <v>1476</v>
      </c>
      <c r="J1" s="2" t="s">
        <v>1477</v>
      </c>
      <c r="K1" s="2" t="s">
        <v>1478</v>
      </c>
    </row>
    <row r="2" spans="1:11" x14ac:dyDescent="0.35">
      <c r="A2">
        <v>20260101</v>
      </c>
      <c r="B2" t="s">
        <v>1150</v>
      </c>
      <c r="C2" t="s">
        <v>548</v>
      </c>
      <c r="D2" t="s">
        <v>570</v>
      </c>
      <c r="E2">
        <v>120</v>
      </c>
      <c r="F2">
        <v>3600</v>
      </c>
      <c r="G2">
        <v>3060</v>
      </c>
      <c r="H2">
        <v>51</v>
      </c>
      <c r="I2">
        <v>0.85</v>
      </c>
      <c r="J2">
        <v>54550</v>
      </c>
      <c r="K2">
        <v>2782050</v>
      </c>
    </row>
    <row r="3" spans="1:11" x14ac:dyDescent="0.35">
      <c r="A3">
        <v>20260101</v>
      </c>
      <c r="B3" t="s">
        <v>1150</v>
      </c>
      <c r="C3" t="s">
        <v>557</v>
      </c>
      <c r="D3" t="s">
        <v>570</v>
      </c>
      <c r="E3">
        <v>45</v>
      </c>
      <c r="F3">
        <v>1350</v>
      </c>
      <c r="G3">
        <v>1147.5</v>
      </c>
      <c r="H3">
        <v>19.125</v>
      </c>
      <c r="I3">
        <v>0.85</v>
      </c>
      <c r="J3">
        <v>54550</v>
      </c>
      <c r="K3">
        <v>1043268.75</v>
      </c>
    </row>
    <row r="4" spans="1:11" x14ac:dyDescent="0.35">
      <c r="A4">
        <v>20260101</v>
      </c>
      <c r="B4" t="s">
        <v>1205</v>
      </c>
      <c r="C4" t="s">
        <v>546</v>
      </c>
      <c r="D4" t="s">
        <v>574</v>
      </c>
      <c r="E4">
        <v>120</v>
      </c>
      <c r="F4">
        <v>3600</v>
      </c>
      <c r="G4">
        <v>3060</v>
      </c>
      <c r="H4">
        <v>51</v>
      </c>
      <c r="I4">
        <v>0.85</v>
      </c>
      <c r="J4">
        <v>81800</v>
      </c>
      <c r="K4">
        <v>4171800</v>
      </c>
    </row>
    <row r="5" spans="1:11" x14ac:dyDescent="0.35">
      <c r="A5">
        <v>20260101</v>
      </c>
      <c r="B5" t="s">
        <v>1205</v>
      </c>
      <c r="C5" t="s">
        <v>560</v>
      </c>
      <c r="D5" t="s">
        <v>574</v>
      </c>
      <c r="E5">
        <v>45</v>
      </c>
      <c r="F5">
        <v>1350</v>
      </c>
      <c r="G5">
        <v>1147.5</v>
      </c>
      <c r="H5">
        <v>19.125</v>
      </c>
      <c r="I5">
        <v>0.85</v>
      </c>
      <c r="J5">
        <v>81800</v>
      </c>
      <c r="K5">
        <v>1564425</v>
      </c>
    </row>
    <row r="6" spans="1:11" x14ac:dyDescent="0.35">
      <c r="A6">
        <v>20260101</v>
      </c>
      <c r="B6" t="s">
        <v>1164</v>
      </c>
      <c r="C6" t="s">
        <v>550</v>
      </c>
      <c r="D6" t="s">
        <v>570</v>
      </c>
      <c r="E6">
        <v>120</v>
      </c>
      <c r="F6">
        <v>3600</v>
      </c>
      <c r="G6">
        <v>3060</v>
      </c>
      <c r="H6">
        <v>51</v>
      </c>
      <c r="I6">
        <v>0.85</v>
      </c>
      <c r="J6">
        <v>54550</v>
      </c>
      <c r="K6">
        <v>2782050</v>
      </c>
    </row>
    <row r="7" spans="1:11" x14ac:dyDescent="0.35">
      <c r="A7">
        <v>20260101</v>
      </c>
      <c r="B7" t="s">
        <v>1169</v>
      </c>
      <c r="C7" t="s">
        <v>552</v>
      </c>
      <c r="D7" t="s">
        <v>570</v>
      </c>
      <c r="E7">
        <v>120</v>
      </c>
      <c r="F7">
        <v>3600</v>
      </c>
      <c r="G7">
        <v>2592</v>
      </c>
      <c r="H7">
        <v>43.2</v>
      </c>
      <c r="I7">
        <v>0.72</v>
      </c>
      <c r="J7">
        <v>54550</v>
      </c>
      <c r="K7">
        <v>2356560</v>
      </c>
    </row>
    <row r="8" spans="1:11" x14ac:dyDescent="0.35">
      <c r="A8">
        <v>20260101</v>
      </c>
      <c r="B8" t="s">
        <v>1175</v>
      </c>
      <c r="C8" t="s">
        <v>554</v>
      </c>
      <c r="D8" t="s">
        <v>574</v>
      </c>
      <c r="E8">
        <v>45</v>
      </c>
      <c r="F8">
        <v>1350</v>
      </c>
      <c r="G8">
        <v>1147.5</v>
      </c>
      <c r="H8">
        <v>19.125</v>
      </c>
      <c r="I8">
        <v>0.85</v>
      </c>
      <c r="J8">
        <v>81800</v>
      </c>
      <c r="K8">
        <v>1564425</v>
      </c>
    </row>
    <row r="9" spans="1:11" x14ac:dyDescent="0.35">
      <c r="A9">
        <v>20260101</v>
      </c>
      <c r="B9" t="s">
        <v>1130</v>
      </c>
      <c r="C9" t="s">
        <v>543</v>
      </c>
      <c r="D9" t="s">
        <v>574</v>
      </c>
      <c r="E9">
        <v>120</v>
      </c>
      <c r="F9">
        <v>3600</v>
      </c>
      <c r="G9">
        <v>3060</v>
      </c>
      <c r="H9">
        <v>51</v>
      </c>
      <c r="I9">
        <v>0.85</v>
      </c>
      <c r="J9">
        <v>81800</v>
      </c>
      <c r="K9">
        <v>4171800</v>
      </c>
    </row>
    <row r="10" spans="1:11" x14ac:dyDescent="0.35">
      <c r="A10">
        <v>20260101</v>
      </c>
      <c r="B10" t="s">
        <v>1130</v>
      </c>
      <c r="C10" t="s">
        <v>562</v>
      </c>
      <c r="D10" t="s">
        <v>574</v>
      </c>
      <c r="E10">
        <v>45</v>
      </c>
      <c r="F10">
        <v>1350</v>
      </c>
      <c r="G10">
        <v>1147.5</v>
      </c>
      <c r="H10">
        <v>19.125</v>
      </c>
      <c r="I10">
        <v>0.85</v>
      </c>
      <c r="J10">
        <v>81800</v>
      </c>
      <c r="K10">
        <v>1564425</v>
      </c>
    </row>
    <row r="11" spans="1:11" x14ac:dyDescent="0.35">
      <c r="A11">
        <v>20260201</v>
      </c>
      <c r="B11" t="s">
        <v>1150</v>
      </c>
      <c r="C11" t="s">
        <v>548</v>
      </c>
      <c r="D11" t="s">
        <v>570</v>
      </c>
      <c r="E11">
        <v>120</v>
      </c>
      <c r="F11">
        <v>3600</v>
      </c>
      <c r="G11">
        <v>3060</v>
      </c>
      <c r="H11">
        <v>51</v>
      </c>
      <c r="I11">
        <v>0.85</v>
      </c>
      <c r="J11">
        <v>54550</v>
      </c>
      <c r="K11">
        <v>2782050</v>
      </c>
    </row>
    <row r="12" spans="1:11" x14ac:dyDescent="0.35">
      <c r="A12">
        <v>20260201</v>
      </c>
      <c r="B12" t="s">
        <v>1150</v>
      </c>
      <c r="C12" t="s">
        <v>557</v>
      </c>
      <c r="D12" t="s">
        <v>570</v>
      </c>
      <c r="E12">
        <v>45</v>
      </c>
      <c r="F12">
        <v>1350</v>
      </c>
      <c r="G12">
        <v>1147.5</v>
      </c>
      <c r="H12">
        <v>19.125</v>
      </c>
      <c r="I12">
        <v>0.85</v>
      </c>
      <c r="J12">
        <v>54550</v>
      </c>
      <c r="K12">
        <v>1043268.75</v>
      </c>
    </row>
    <row r="13" spans="1:11" x14ac:dyDescent="0.35">
      <c r="A13">
        <v>20260201</v>
      </c>
      <c r="B13" t="s">
        <v>1205</v>
      </c>
      <c r="C13" t="s">
        <v>546</v>
      </c>
      <c r="D13" t="s">
        <v>574</v>
      </c>
      <c r="E13">
        <v>120</v>
      </c>
      <c r="F13">
        <v>3600</v>
      </c>
      <c r="G13">
        <v>3060</v>
      </c>
      <c r="H13">
        <v>51</v>
      </c>
      <c r="I13">
        <v>0.85</v>
      </c>
      <c r="J13">
        <v>81800</v>
      </c>
      <c r="K13">
        <v>4171800</v>
      </c>
    </row>
    <row r="14" spans="1:11" x14ac:dyDescent="0.35">
      <c r="A14">
        <v>20260201</v>
      </c>
      <c r="B14" t="s">
        <v>1205</v>
      </c>
      <c r="C14" t="s">
        <v>560</v>
      </c>
      <c r="D14" t="s">
        <v>574</v>
      </c>
      <c r="E14">
        <v>45</v>
      </c>
      <c r="F14">
        <v>1350</v>
      </c>
      <c r="G14">
        <v>1147.5</v>
      </c>
      <c r="H14">
        <v>19.125</v>
      </c>
      <c r="I14">
        <v>0.85</v>
      </c>
      <c r="J14">
        <v>81800</v>
      </c>
      <c r="K14">
        <v>1564425</v>
      </c>
    </row>
    <row r="15" spans="1:11" x14ac:dyDescent="0.35">
      <c r="A15">
        <v>20260201</v>
      </c>
      <c r="B15" t="s">
        <v>1164</v>
      </c>
      <c r="C15" t="s">
        <v>550</v>
      </c>
      <c r="D15" t="s">
        <v>570</v>
      </c>
      <c r="E15">
        <v>120</v>
      </c>
      <c r="F15">
        <v>3600</v>
      </c>
      <c r="G15">
        <v>3060</v>
      </c>
      <c r="H15">
        <v>51</v>
      </c>
      <c r="I15">
        <v>0.85</v>
      </c>
      <c r="J15">
        <v>54550</v>
      </c>
      <c r="K15">
        <v>2782050</v>
      </c>
    </row>
    <row r="16" spans="1:11" x14ac:dyDescent="0.35">
      <c r="A16">
        <v>20260201</v>
      </c>
      <c r="B16" t="s">
        <v>1169</v>
      </c>
      <c r="C16" t="s">
        <v>552</v>
      </c>
      <c r="D16" t="s">
        <v>570</v>
      </c>
      <c r="E16">
        <v>120</v>
      </c>
      <c r="F16">
        <v>3600</v>
      </c>
      <c r="G16">
        <v>2592</v>
      </c>
      <c r="H16">
        <v>43.2</v>
      </c>
      <c r="I16">
        <v>0.72</v>
      </c>
      <c r="J16">
        <v>54550</v>
      </c>
      <c r="K16">
        <v>2356560</v>
      </c>
    </row>
    <row r="17" spans="1:11" x14ac:dyDescent="0.35">
      <c r="A17">
        <v>20260201</v>
      </c>
      <c r="B17" t="s">
        <v>1175</v>
      </c>
      <c r="C17" t="s">
        <v>554</v>
      </c>
      <c r="D17" t="s">
        <v>574</v>
      </c>
      <c r="E17">
        <v>45</v>
      </c>
      <c r="F17">
        <v>1350</v>
      </c>
      <c r="G17">
        <v>1147.5</v>
      </c>
      <c r="H17">
        <v>19.125</v>
      </c>
      <c r="I17">
        <v>0.85</v>
      </c>
      <c r="J17">
        <v>81800</v>
      </c>
      <c r="K17">
        <v>1564425</v>
      </c>
    </row>
    <row r="18" spans="1:11" x14ac:dyDescent="0.35">
      <c r="A18">
        <v>20260201</v>
      </c>
      <c r="B18" t="s">
        <v>1130</v>
      </c>
      <c r="C18" t="s">
        <v>543</v>
      </c>
      <c r="D18" t="s">
        <v>574</v>
      </c>
      <c r="E18">
        <v>120</v>
      </c>
      <c r="F18">
        <v>3600</v>
      </c>
      <c r="G18">
        <v>3060</v>
      </c>
      <c r="H18">
        <v>51</v>
      </c>
      <c r="I18">
        <v>0.85</v>
      </c>
      <c r="J18">
        <v>81800</v>
      </c>
      <c r="K18">
        <v>4171800</v>
      </c>
    </row>
    <row r="19" spans="1:11" x14ac:dyDescent="0.35">
      <c r="A19">
        <v>20260201</v>
      </c>
      <c r="B19" t="s">
        <v>1130</v>
      </c>
      <c r="C19" t="s">
        <v>562</v>
      </c>
      <c r="D19" t="s">
        <v>574</v>
      </c>
      <c r="E19">
        <v>45</v>
      </c>
      <c r="F19">
        <v>1350</v>
      </c>
      <c r="G19">
        <v>1147.5</v>
      </c>
      <c r="H19">
        <v>19.125</v>
      </c>
      <c r="I19">
        <v>0.85</v>
      </c>
      <c r="J19">
        <v>81800</v>
      </c>
      <c r="K19">
        <v>1564425</v>
      </c>
    </row>
    <row r="20" spans="1:11" x14ac:dyDescent="0.35">
      <c r="A20">
        <v>20260301</v>
      </c>
      <c r="B20" t="s">
        <v>1150</v>
      </c>
      <c r="C20" t="s">
        <v>548</v>
      </c>
      <c r="D20" t="s">
        <v>570</v>
      </c>
      <c r="E20">
        <v>120</v>
      </c>
      <c r="F20">
        <v>3600</v>
      </c>
      <c r="G20">
        <v>3060</v>
      </c>
      <c r="H20">
        <v>51</v>
      </c>
      <c r="I20">
        <v>0.85</v>
      </c>
      <c r="J20">
        <v>54550</v>
      </c>
      <c r="K20">
        <v>2782050</v>
      </c>
    </row>
    <row r="21" spans="1:11" x14ac:dyDescent="0.35">
      <c r="A21">
        <v>20260301</v>
      </c>
      <c r="B21" t="s">
        <v>1150</v>
      </c>
      <c r="C21" t="s">
        <v>557</v>
      </c>
      <c r="D21" t="s">
        <v>570</v>
      </c>
      <c r="E21">
        <v>45</v>
      </c>
      <c r="F21">
        <v>1350</v>
      </c>
      <c r="G21">
        <v>1147.5</v>
      </c>
      <c r="H21">
        <v>19.125</v>
      </c>
      <c r="I21">
        <v>0.85</v>
      </c>
      <c r="J21">
        <v>54550</v>
      </c>
      <c r="K21">
        <v>1043268.75</v>
      </c>
    </row>
    <row r="22" spans="1:11" x14ac:dyDescent="0.35">
      <c r="A22">
        <v>20260301</v>
      </c>
      <c r="B22" t="s">
        <v>1205</v>
      </c>
      <c r="C22" t="s">
        <v>546</v>
      </c>
      <c r="D22" t="s">
        <v>574</v>
      </c>
      <c r="E22">
        <v>120</v>
      </c>
      <c r="F22">
        <v>3600</v>
      </c>
      <c r="G22">
        <v>3060</v>
      </c>
      <c r="H22">
        <v>51</v>
      </c>
      <c r="I22">
        <v>0.85</v>
      </c>
      <c r="J22">
        <v>81800</v>
      </c>
      <c r="K22">
        <v>4171800</v>
      </c>
    </row>
    <row r="23" spans="1:11" x14ac:dyDescent="0.35">
      <c r="A23">
        <v>20260301</v>
      </c>
      <c r="B23" t="s">
        <v>1205</v>
      </c>
      <c r="C23" t="s">
        <v>560</v>
      </c>
      <c r="D23" t="s">
        <v>574</v>
      </c>
      <c r="E23">
        <v>45</v>
      </c>
      <c r="F23">
        <v>1350</v>
      </c>
      <c r="G23">
        <v>1147.5</v>
      </c>
      <c r="H23">
        <v>19.125</v>
      </c>
      <c r="I23">
        <v>0.85</v>
      </c>
      <c r="J23">
        <v>81800</v>
      </c>
      <c r="K23">
        <v>1564425</v>
      </c>
    </row>
    <row r="24" spans="1:11" x14ac:dyDescent="0.35">
      <c r="A24">
        <v>20260301</v>
      </c>
      <c r="B24" t="s">
        <v>1164</v>
      </c>
      <c r="C24" t="s">
        <v>550</v>
      </c>
      <c r="D24" t="s">
        <v>570</v>
      </c>
      <c r="E24">
        <v>120</v>
      </c>
      <c r="F24">
        <v>3600</v>
      </c>
      <c r="G24">
        <v>3060</v>
      </c>
      <c r="H24">
        <v>51</v>
      </c>
      <c r="I24">
        <v>0.85</v>
      </c>
      <c r="J24">
        <v>54550</v>
      </c>
      <c r="K24">
        <v>2782050</v>
      </c>
    </row>
    <row r="25" spans="1:11" x14ac:dyDescent="0.35">
      <c r="A25">
        <v>20260301</v>
      </c>
      <c r="B25" t="s">
        <v>1169</v>
      </c>
      <c r="C25" t="s">
        <v>552</v>
      </c>
      <c r="D25" t="s">
        <v>570</v>
      </c>
      <c r="E25">
        <v>120</v>
      </c>
      <c r="F25">
        <v>3600</v>
      </c>
      <c r="G25">
        <v>2592</v>
      </c>
      <c r="H25">
        <v>43.2</v>
      </c>
      <c r="I25">
        <v>0.72</v>
      </c>
      <c r="J25">
        <v>54550</v>
      </c>
      <c r="K25">
        <v>2356560</v>
      </c>
    </row>
    <row r="26" spans="1:11" x14ac:dyDescent="0.35">
      <c r="A26">
        <v>20260301</v>
      </c>
      <c r="B26" t="s">
        <v>1175</v>
      </c>
      <c r="C26" t="s">
        <v>554</v>
      </c>
      <c r="D26" t="s">
        <v>574</v>
      </c>
      <c r="E26">
        <v>45</v>
      </c>
      <c r="F26">
        <v>1350</v>
      </c>
      <c r="G26">
        <v>1147.5</v>
      </c>
      <c r="H26">
        <v>19.125</v>
      </c>
      <c r="I26">
        <v>0.85</v>
      </c>
      <c r="J26">
        <v>81800</v>
      </c>
      <c r="K26">
        <v>1564425</v>
      </c>
    </row>
    <row r="27" spans="1:11" x14ac:dyDescent="0.35">
      <c r="A27">
        <v>20260301</v>
      </c>
      <c r="B27" t="s">
        <v>1130</v>
      </c>
      <c r="C27" t="s">
        <v>543</v>
      </c>
      <c r="D27" t="s">
        <v>574</v>
      </c>
      <c r="E27">
        <v>120</v>
      </c>
      <c r="F27">
        <v>3600</v>
      </c>
      <c r="G27">
        <v>3060</v>
      </c>
      <c r="H27">
        <v>51</v>
      </c>
      <c r="I27">
        <v>0.85</v>
      </c>
      <c r="J27">
        <v>81800</v>
      </c>
      <c r="K27">
        <v>4171800</v>
      </c>
    </row>
    <row r="28" spans="1:11" x14ac:dyDescent="0.35">
      <c r="A28">
        <v>20260301</v>
      </c>
      <c r="B28" t="s">
        <v>1130</v>
      </c>
      <c r="C28" t="s">
        <v>562</v>
      </c>
      <c r="D28" t="s">
        <v>574</v>
      </c>
      <c r="E28">
        <v>45</v>
      </c>
      <c r="F28">
        <v>1350</v>
      </c>
      <c r="G28">
        <v>1147.5</v>
      </c>
      <c r="H28">
        <v>19.125</v>
      </c>
      <c r="I28">
        <v>0.85</v>
      </c>
      <c r="J28">
        <v>81800</v>
      </c>
      <c r="K28">
        <v>1564425</v>
      </c>
    </row>
    <row r="29" spans="1:11" x14ac:dyDescent="0.35">
      <c r="A29">
        <v>20260401</v>
      </c>
      <c r="B29" t="s">
        <v>1150</v>
      </c>
      <c r="C29" t="s">
        <v>548</v>
      </c>
      <c r="D29" t="s">
        <v>570</v>
      </c>
      <c r="E29">
        <v>120</v>
      </c>
      <c r="F29">
        <v>3600</v>
      </c>
      <c r="G29">
        <v>3060</v>
      </c>
      <c r="H29">
        <v>51</v>
      </c>
      <c r="I29">
        <v>0.85</v>
      </c>
      <c r="J29">
        <v>54550</v>
      </c>
      <c r="K29">
        <v>2782050</v>
      </c>
    </row>
    <row r="30" spans="1:11" x14ac:dyDescent="0.35">
      <c r="A30">
        <v>20260401</v>
      </c>
      <c r="B30" t="s">
        <v>1150</v>
      </c>
      <c r="C30" t="s">
        <v>557</v>
      </c>
      <c r="D30" t="s">
        <v>570</v>
      </c>
      <c r="E30">
        <v>45</v>
      </c>
      <c r="F30">
        <v>1350</v>
      </c>
      <c r="G30">
        <v>1147.5</v>
      </c>
      <c r="H30">
        <v>19.125</v>
      </c>
      <c r="I30">
        <v>0.85</v>
      </c>
      <c r="J30">
        <v>54550</v>
      </c>
      <c r="K30">
        <v>1043268.75</v>
      </c>
    </row>
    <row r="31" spans="1:11" x14ac:dyDescent="0.35">
      <c r="A31">
        <v>20260401</v>
      </c>
      <c r="B31" t="s">
        <v>1205</v>
      </c>
      <c r="C31" t="s">
        <v>546</v>
      </c>
      <c r="D31" t="s">
        <v>574</v>
      </c>
      <c r="E31">
        <v>120</v>
      </c>
      <c r="F31">
        <v>3600</v>
      </c>
      <c r="G31">
        <v>3060</v>
      </c>
      <c r="H31">
        <v>51</v>
      </c>
      <c r="I31">
        <v>0.85</v>
      </c>
      <c r="J31">
        <v>81800</v>
      </c>
      <c r="K31">
        <v>4171800</v>
      </c>
    </row>
    <row r="32" spans="1:11" x14ac:dyDescent="0.35">
      <c r="A32">
        <v>20260401</v>
      </c>
      <c r="B32" t="s">
        <v>1205</v>
      </c>
      <c r="C32" t="s">
        <v>560</v>
      </c>
      <c r="D32" t="s">
        <v>574</v>
      </c>
      <c r="E32">
        <v>45</v>
      </c>
      <c r="F32">
        <v>1350</v>
      </c>
      <c r="G32">
        <v>1147.5</v>
      </c>
      <c r="H32">
        <v>19.125</v>
      </c>
      <c r="I32">
        <v>0.85</v>
      </c>
      <c r="J32">
        <v>81800</v>
      </c>
      <c r="K32">
        <v>1564425</v>
      </c>
    </row>
    <row r="33" spans="1:11" x14ac:dyDescent="0.35">
      <c r="A33">
        <v>20260401</v>
      </c>
      <c r="B33" t="s">
        <v>1164</v>
      </c>
      <c r="C33" t="s">
        <v>550</v>
      </c>
      <c r="D33" t="s">
        <v>570</v>
      </c>
      <c r="E33">
        <v>120</v>
      </c>
      <c r="F33">
        <v>3600</v>
      </c>
      <c r="G33">
        <v>3060</v>
      </c>
      <c r="H33">
        <v>51</v>
      </c>
      <c r="I33">
        <v>0.85</v>
      </c>
      <c r="J33">
        <v>54550</v>
      </c>
      <c r="K33">
        <v>2782050</v>
      </c>
    </row>
    <row r="34" spans="1:11" x14ac:dyDescent="0.35">
      <c r="A34">
        <v>20260401</v>
      </c>
      <c r="B34" t="s">
        <v>1169</v>
      </c>
      <c r="C34" t="s">
        <v>552</v>
      </c>
      <c r="D34" t="s">
        <v>570</v>
      </c>
      <c r="E34">
        <v>120</v>
      </c>
      <c r="F34">
        <v>3600</v>
      </c>
      <c r="G34">
        <v>2592</v>
      </c>
      <c r="H34">
        <v>43.2</v>
      </c>
      <c r="I34">
        <v>0.72</v>
      </c>
      <c r="J34">
        <v>54550</v>
      </c>
      <c r="K34">
        <v>2356560</v>
      </c>
    </row>
    <row r="35" spans="1:11" x14ac:dyDescent="0.35">
      <c r="A35">
        <v>20260401</v>
      </c>
      <c r="B35" t="s">
        <v>1175</v>
      </c>
      <c r="C35" t="s">
        <v>554</v>
      </c>
      <c r="D35" t="s">
        <v>574</v>
      </c>
      <c r="E35">
        <v>45</v>
      </c>
      <c r="F35">
        <v>1350</v>
      </c>
      <c r="G35">
        <v>1147.5</v>
      </c>
      <c r="H35">
        <v>19.125</v>
      </c>
      <c r="I35">
        <v>0.85</v>
      </c>
      <c r="J35">
        <v>81800</v>
      </c>
      <c r="K35">
        <v>1564425</v>
      </c>
    </row>
    <row r="36" spans="1:11" x14ac:dyDescent="0.35">
      <c r="A36">
        <v>20260401</v>
      </c>
      <c r="B36" t="s">
        <v>1130</v>
      </c>
      <c r="C36" t="s">
        <v>543</v>
      </c>
      <c r="D36" t="s">
        <v>574</v>
      </c>
      <c r="E36">
        <v>120</v>
      </c>
      <c r="F36">
        <v>3600</v>
      </c>
      <c r="G36">
        <v>3060</v>
      </c>
      <c r="H36">
        <v>51</v>
      </c>
      <c r="I36">
        <v>0.85</v>
      </c>
      <c r="J36">
        <v>81800</v>
      </c>
      <c r="K36">
        <v>4171800</v>
      </c>
    </row>
    <row r="37" spans="1:11" x14ac:dyDescent="0.35">
      <c r="A37">
        <v>20260401</v>
      </c>
      <c r="B37" t="s">
        <v>1130</v>
      </c>
      <c r="C37" t="s">
        <v>562</v>
      </c>
      <c r="D37" t="s">
        <v>574</v>
      </c>
      <c r="E37">
        <v>45</v>
      </c>
      <c r="F37">
        <v>1350</v>
      </c>
      <c r="G37">
        <v>1147.5</v>
      </c>
      <c r="H37">
        <v>19.125</v>
      </c>
      <c r="I37">
        <v>0.85</v>
      </c>
      <c r="J37">
        <v>81800</v>
      </c>
      <c r="K37">
        <v>1564425</v>
      </c>
    </row>
    <row r="38" spans="1:11" x14ac:dyDescent="0.35">
      <c r="A38">
        <v>20260501</v>
      </c>
      <c r="B38" t="s">
        <v>1150</v>
      </c>
      <c r="C38" t="s">
        <v>548</v>
      </c>
      <c r="D38" t="s">
        <v>570</v>
      </c>
      <c r="E38">
        <v>120</v>
      </c>
      <c r="F38">
        <v>3600</v>
      </c>
      <c r="G38">
        <v>3060</v>
      </c>
      <c r="H38">
        <v>51</v>
      </c>
      <c r="I38">
        <v>0.85</v>
      </c>
      <c r="J38">
        <v>54550</v>
      </c>
      <c r="K38">
        <v>2782050</v>
      </c>
    </row>
    <row r="39" spans="1:11" x14ac:dyDescent="0.35">
      <c r="A39">
        <v>20260501</v>
      </c>
      <c r="B39" t="s">
        <v>1150</v>
      </c>
      <c r="C39" t="s">
        <v>557</v>
      </c>
      <c r="D39" t="s">
        <v>570</v>
      </c>
      <c r="E39">
        <v>45</v>
      </c>
      <c r="F39">
        <v>1350</v>
      </c>
      <c r="G39">
        <v>1147.5</v>
      </c>
      <c r="H39">
        <v>19.125</v>
      </c>
      <c r="I39">
        <v>0.85</v>
      </c>
      <c r="J39">
        <v>54550</v>
      </c>
      <c r="K39">
        <v>1043268.75</v>
      </c>
    </row>
    <row r="40" spans="1:11" x14ac:dyDescent="0.35">
      <c r="A40">
        <v>20260501</v>
      </c>
      <c r="B40" t="s">
        <v>1205</v>
      </c>
      <c r="C40" t="s">
        <v>546</v>
      </c>
      <c r="D40" t="s">
        <v>574</v>
      </c>
      <c r="E40">
        <v>120</v>
      </c>
      <c r="F40">
        <v>3600</v>
      </c>
      <c r="G40">
        <v>3060</v>
      </c>
      <c r="H40">
        <v>51</v>
      </c>
      <c r="I40">
        <v>0.85</v>
      </c>
      <c r="J40">
        <v>81800</v>
      </c>
      <c r="K40">
        <v>4171800</v>
      </c>
    </row>
    <row r="41" spans="1:11" x14ac:dyDescent="0.35">
      <c r="A41">
        <v>20260501</v>
      </c>
      <c r="B41" t="s">
        <v>1205</v>
      </c>
      <c r="C41" t="s">
        <v>560</v>
      </c>
      <c r="D41" t="s">
        <v>574</v>
      </c>
      <c r="E41">
        <v>45</v>
      </c>
      <c r="F41">
        <v>1350</v>
      </c>
      <c r="G41">
        <v>1147.5</v>
      </c>
      <c r="H41">
        <v>19.125</v>
      </c>
      <c r="I41">
        <v>0.85</v>
      </c>
      <c r="J41">
        <v>81800</v>
      </c>
      <c r="K41">
        <v>1564425</v>
      </c>
    </row>
    <row r="42" spans="1:11" x14ac:dyDescent="0.35">
      <c r="A42">
        <v>20260501</v>
      </c>
      <c r="B42" t="s">
        <v>1164</v>
      </c>
      <c r="C42" t="s">
        <v>550</v>
      </c>
      <c r="D42" t="s">
        <v>570</v>
      </c>
      <c r="E42">
        <v>120</v>
      </c>
      <c r="F42">
        <v>3600</v>
      </c>
      <c r="G42">
        <v>3060</v>
      </c>
      <c r="H42">
        <v>51</v>
      </c>
      <c r="I42">
        <v>0.85</v>
      </c>
      <c r="J42">
        <v>54550</v>
      </c>
      <c r="K42">
        <v>2782050</v>
      </c>
    </row>
    <row r="43" spans="1:11" x14ac:dyDescent="0.35">
      <c r="A43">
        <v>20260501</v>
      </c>
      <c r="B43" t="s">
        <v>1169</v>
      </c>
      <c r="C43" t="s">
        <v>552</v>
      </c>
      <c r="D43" t="s">
        <v>570</v>
      </c>
      <c r="E43">
        <v>120</v>
      </c>
      <c r="F43">
        <v>3600</v>
      </c>
      <c r="G43">
        <v>2592</v>
      </c>
      <c r="H43">
        <v>43.2</v>
      </c>
      <c r="I43">
        <v>0.72</v>
      </c>
      <c r="J43">
        <v>54550</v>
      </c>
      <c r="K43">
        <v>2356560</v>
      </c>
    </row>
    <row r="44" spans="1:11" x14ac:dyDescent="0.35">
      <c r="A44">
        <v>20260501</v>
      </c>
      <c r="B44" t="s">
        <v>1175</v>
      </c>
      <c r="C44" t="s">
        <v>554</v>
      </c>
      <c r="D44" t="s">
        <v>574</v>
      </c>
      <c r="E44">
        <v>45</v>
      </c>
      <c r="F44">
        <v>1350</v>
      </c>
      <c r="G44">
        <v>1147.5</v>
      </c>
      <c r="H44">
        <v>19.125</v>
      </c>
      <c r="I44">
        <v>0.85</v>
      </c>
      <c r="J44">
        <v>81800</v>
      </c>
      <c r="K44">
        <v>1564425</v>
      </c>
    </row>
    <row r="45" spans="1:11" x14ac:dyDescent="0.35">
      <c r="A45">
        <v>20260501</v>
      </c>
      <c r="B45" t="s">
        <v>1130</v>
      </c>
      <c r="C45" t="s">
        <v>543</v>
      </c>
      <c r="D45" t="s">
        <v>574</v>
      </c>
      <c r="E45">
        <v>120</v>
      </c>
      <c r="F45">
        <v>3600</v>
      </c>
      <c r="G45">
        <v>3060</v>
      </c>
      <c r="H45">
        <v>51</v>
      </c>
      <c r="I45">
        <v>0.85</v>
      </c>
      <c r="J45">
        <v>81800</v>
      </c>
      <c r="K45">
        <v>4171800</v>
      </c>
    </row>
    <row r="46" spans="1:11" x14ac:dyDescent="0.35">
      <c r="A46">
        <v>20260501</v>
      </c>
      <c r="B46" t="s">
        <v>1130</v>
      </c>
      <c r="C46" t="s">
        <v>562</v>
      </c>
      <c r="D46" t="s">
        <v>574</v>
      </c>
      <c r="E46">
        <v>45</v>
      </c>
      <c r="F46">
        <v>1350</v>
      </c>
      <c r="G46">
        <v>1147.5</v>
      </c>
      <c r="H46">
        <v>19.125</v>
      </c>
      <c r="I46">
        <v>0.85</v>
      </c>
      <c r="J46">
        <v>81800</v>
      </c>
      <c r="K46">
        <v>1564425</v>
      </c>
    </row>
    <row r="47" spans="1:11" x14ac:dyDescent="0.35">
      <c r="A47">
        <v>20260601</v>
      </c>
      <c r="B47" t="s">
        <v>1150</v>
      </c>
      <c r="C47" t="s">
        <v>548</v>
      </c>
      <c r="D47" t="s">
        <v>570</v>
      </c>
      <c r="E47">
        <v>120</v>
      </c>
      <c r="F47">
        <v>3600</v>
      </c>
      <c r="G47">
        <v>3060</v>
      </c>
      <c r="H47">
        <v>51</v>
      </c>
      <c r="I47">
        <v>0.85</v>
      </c>
      <c r="J47">
        <v>54550</v>
      </c>
      <c r="K47">
        <v>2782050</v>
      </c>
    </row>
    <row r="48" spans="1:11" x14ac:dyDescent="0.35">
      <c r="A48">
        <v>20260601</v>
      </c>
      <c r="B48" t="s">
        <v>1150</v>
      </c>
      <c r="C48" t="s">
        <v>557</v>
      </c>
      <c r="D48" t="s">
        <v>570</v>
      </c>
      <c r="E48">
        <v>45</v>
      </c>
      <c r="F48">
        <v>1350</v>
      </c>
      <c r="G48">
        <v>1147.5</v>
      </c>
      <c r="H48">
        <v>19.125</v>
      </c>
      <c r="I48">
        <v>0.85</v>
      </c>
      <c r="J48">
        <v>54550</v>
      </c>
      <c r="K48">
        <v>1043268.75</v>
      </c>
    </row>
    <row r="49" spans="1:11" x14ac:dyDescent="0.35">
      <c r="A49">
        <v>20260601</v>
      </c>
      <c r="B49" t="s">
        <v>1205</v>
      </c>
      <c r="C49" t="s">
        <v>546</v>
      </c>
      <c r="D49" t="s">
        <v>574</v>
      </c>
      <c r="E49">
        <v>120</v>
      </c>
      <c r="F49">
        <v>3600</v>
      </c>
      <c r="G49">
        <v>3060</v>
      </c>
      <c r="H49">
        <v>51</v>
      </c>
      <c r="I49">
        <v>0.85</v>
      </c>
      <c r="J49">
        <v>81800</v>
      </c>
      <c r="K49">
        <v>4171800</v>
      </c>
    </row>
    <row r="50" spans="1:11" x14ac:dyDescent="0.35">
      <c r="A50">
        <v>20260601</v>
      </c>
      <c r="B50" t="s">
        <v>1205</v>
      </c>
      <c r="C50" t="s">
        <v>560</v>
      </c>
      <c r="D50" t="s">
        <v>574</v>
      </c>
      <c r="E50">
        <v>45</v>
      </c>
      <c r="F50">
        <v>1350</v>
      </c>
      <c r="G50">
        <v>1147.5</v>
      </c>
      <c r="H50">
        <v>19.125</v>
      </c>
      <c r="I50">
        <v>0.85</v>
      </c>
      <c r="J50">
        <v>81800</v>
      </c>
      <c r="K50">
        <v>1564425</v>
      </c>
    </row>
    <row r="51" spans="1:11" x14ac:dyDescent="0.35">
      <c r="A51">
        <v>20260601</v>
      </c>
      <c r="B51" t="s">
        <v>1164</v>
      </c>
      <c r="C51" t="s">
        <v>550</v>
      </c>
      <c r="D51" t="s">
        <v>570</v>
      </c>
      <c r="E51">
        <v>120</v>
      </c>
      <c r="F51">
        <v>3600</v>
      </c>
      <c r="G51">
        <v>3060</v>
      </c>
      <c r="H51">
        <v>51</v>
      </c>
      <c r="I51">
        <v>0.85</v>
      </c>
      <c r="J51">
        <v>54550</v>
      </c>
      <c r="K51">
        <v>2782050</v>
      </c>
    </row>
    <row r="52" spans="1:11" x14ac:dyDescent="0.35">
      <c r="A52">
        <v>20260601</v>
      </c>
      <c r="B52" t="s">
        <v>1169</v>
      </c>
      <c r="C52" t="s">
        <v>552</v>
      </c>
      <c r="D52" t="s">
        <v>570</v>
      </c>
      <c r="E52">
        <v>120</v>
      </c>
      <c r="F52">
        <v>3600</v>
      </c>
      <c r="G52">
        <v>2592</v>
      </c>
      <c r="H52">
        <v>43.2</v>
      </c>
      <c r="I52">
        <v>0.72</v>
      </c>
      <c r="J52">
        <v>54550</v>
      </c>
      <c r="K52">
        <v>2356560</v>
      </c>
    </row>
    <row r="53" spans="1:11" x14ac:dyDescent="0.35">
      <c r="A53">
        <v>20260601</v>
      </c>
      <c r="B53" t="s">
        <v>1175</v>
      </c>
      <c r="C53" t="s">
        <v>554</v>
      </c>
      <c r="D53" t="s">
        <v>574</v>
      </c>
      <c r="E53">
        <v>45</v>
      </c>
      <c r="F53">
        <v>1350</v>
      </c>
      <c r="G53">
        <v>1147.5</v>
      </c>
      <c r="H53">
        <v>19.125</v>
      </c>
      <c r="I53">
        <v>0.85</v>
      </c>
      <c r="J53">
        <v>81800</v>
      </c>
      <c r="K53">
        <v>1564425</v>
      </c>
    </row>
    <row r="54" spans="1:11" x14ac:dyDescent="0.35">
      <c r="A54">
        <v>20260601</v>
      </c>
      <c r="B54" t="s">
        <v>1130</v>
      </c>
      <c r="C54" t="s">
        <v>543</v>
      </c>
      <c r="D54" t="s">
        <v>574</v>
      </c>
      <c r="E54">
        <v>120</v>
      </c>
      <c r="F54">
        <v>3600</v>
      </c>
      <c r="G54">
        <v>3060</v>
      </c>
      <c r="H54">
        <v>51</v>
      </c>
      <c r="I54">
        <v>0.85</v>
      </c>
      <c r="J54">
        <v>81800</v>
      </c>
      <c r="K54">
        <v>4171800</v>
      </c>
    </row>
    <row r="55" spans="1:11" x14ac:dyDescent="0.35">
      <c r="A55">
        <v>20260601</v>
      </c>
      <c r="B55" t="s">
        <v>1130</v>
      </c>
      <c r="C55" t="s">
        <v>562</v>
      </c>
      <c r="D55" t="s">
        <v>574</v>
      </c>
      <c r="E55">
        <v>45</v>
      </c>
      <c r="F55">
        <v>1350</v>
      </c>
      <c r="G55">
        <v>1147.5</v>
      </c>
      <c r="H55">
        <v>19.125</v>
      </c>
      <c r="I55">
        <v>0.85</v>
      </c>
      <c r="J55">
        <v>81800</v>
      </c>
      <c r="K55">
        <v>1564425</v>
      </c>
    </row>
    <row r="56" spans="1:11" x14ac:dyDescent="0.35">
      <c r="A56">
        <v>20260701</v>
      </c>
      <c r="B56" t="s">
        <v>1150</v>
      </c>
      <c r="C56" t="s">
        <v>548</v>
      </c>
      <c r="D56" t="s">
        <v>570</v>
      </c>
      <c r="E56">
        <v>120</v>
      </c>
      <c r="F56">
        <v>3600</v>
      </c>
      <c r="G56">
        <v>3060</v>
      </c>
      <c r="H56">
        <v>51</v>
      </c>
      <c r="I56">
        <v>0.85</v>
      </c>
      <c r="J56">
        <v>54550</v>
      </c>
      <c r="K56">
        <v>2782050</v>
      </c>
    </row>
    <row r="57" spans="1:11" x14ac:dyDescent="0.35">
      <c r="A57">
        <v>20260701</v>
      </c>
      <c r="B57" t="s">
        <v>1150</v>
      </c>
      <c r="C57" t="s">
        <v>557</v>
      </c>
      <c r="D57" t="s">
        <v>570</v>
      </c>
      <c r="E57">
        <v>45</v>
      </c>
      <c r="F57">
        <v>1350</v>
      </c>
      <c r="G57">
        <v>1147.5</v>
      </c>
      <c r="H57">
        <v>19.125</v>
      </c>
      <c r="I57">
        <v>0.85</v>
      </c>
      <c r="J57">
        <v>54550</v>
      </c>
      <c r="K57">
        <v>1043268.75</v>
      </c>
    </row>
    <row r="58" spans="1:11" x14ac:dyDescent="0.35">
      <c r="A58">
        <v>20260701</v>
      </c>
      <c r="B58" t="s">
        <v>1205</v>
      </c>
      <c r="C58" t="s">
        <v>546</v>
      </c>
      <c r="D58" t="s">
        <v>574</v>
      </c>
      <c r="E58">
        <v>120</v>
      </c>
      <c r="F58">
        <v>3600</v>
      </c>
      <c r="G58">
        <v>3060</v>
      </c>
      <c r="H58">
        <v>51</v>
      </c>
      <c r="I58">
        <v>0.85</v>
      </c>
      <c r="J58">
        <v>81800</v>
      </c>
      <c r="K58">
        <v>4171800</v>
      </c>
    </row>
    <row r="59" spans="1:11" x14ac:dyDescent="0.35">
      <c r="A59">
        <v>20260701</v>
      </c>
      <c r="B59" t="s">
        <v>1205</v>
      </c>
      <c r="C59" t="s">
        <v>560</v>
      </c>
      <c r="D59" t="s">
        <v>574</v>
      </c>
      <c r="E59">
        <v>45</v>
      </c>
      <c r="F59">
        <v>1350</v>
      </c>
      <c r="G59">
        <v>1147.5</v>
      </c>
      <c r="H59">
        <v>19.125</v>
      </c>
      <c r="I59">
        <v>0.85</v>
      </c>
      <c r="J59">
        <v>81800</v>
      </c>
      <c r="K59">
        <v>1564425</v>
      </c>
    </row>
    <row r="60" spans="1:11" x14ac:dyDescent="0.35">
      <c r="A60">
        <v>20260701</v>
      </c>
      <c r="B60" t="s">
        <v>1164</v>
      </c>
      <c r="C60" t="s">
        <v>550</v>
      </c>
      <c r="D60" t="s">
        <v>570</v>
      </c>
      <c r="E60">
        <v>120</v>
      </c>
      <c r="F60">
        <v>3600</v>
      </c>
      <c r="G60">
        <v>3060</v>
      </c>
      <c r="H60">
        <v>51</v>
      </c>
      <c r="I60">
        <v>0.85</v>
      </c>
      <c r="J60">
        <v>54550</v>
      </c>
      <c r="K60">
        <v>2782050</v>
      </c>
    </row>
    <row r="61" spans="1:11" x14ac:dyDescent="0.35">
      <c r="A61">
        <v>20260701</v>
      </c>
      <c r="B61" t="s">
        <v>1169</v>
      </c>
      <c r="C61" t="s">
        <v>552</v>
      </c>
      <c r="D61" t="s">
        <v>570</v>
      </c>
      <c r="E61">
        <v>120</v>
      </c>
      <c r="F61">
        <v>3600</v>
      </c>
      <c r="G61">
        <v>2592</v>
      </c>
      <c r="H61">
        <v>43.2</v>
      </c>
      <c r="I61">
        <v>0.72</v>
      </c>
      <c r="J61">
        <v>54550</v>
      </c>
      <c r="K61">
        <v>2356560</v>
      </c>
    </row>
    <row r="62" spans="1:11" x14ac:dyDescent="0.35">
      <c r="A62">
        <v>20260701</v>
      </c>
      <c r="B62" t="s">
        <v>1175</v>
      </c>
      <c r="C62" t="s">
        <v>554</v>
      </c>
      <c r="D62" t="s">
        <v>574</v>
      </c>
      <c r="E62">
        <v>45</v>
      </c>
      <c r="F62">
        <v>1350</v>
      </c>
      <c r="G62">
        <v>1147.5</v>
      </c>
      <c r="H62">
        <v>19.125</v>
      </c>
      <c r="I62">
        <v>0.85</v>
      </c>
      <c r="J62">
        <v>81800</v>
      </c>
      <c r="K62">
        <v>1564425</v>
      </c>
    </row>
    <row r="63" spans="1:11" x14ac:dyDescent="0.35">
      <c r="A63">
        <v>20260701</v>
      </c>
      <c r="B63" t="s">
        <v>1130</v>
      </c>
      <c r="C63" t="s">
        <v>543</v>
      </c>
      <c r="D63" t="s">
        <v>574</v>
      </c>
      <c r="E63">
        <v>120</v>
      </c>
      <c r="F63">
        <v>3600</v>
      </c>
      <c r="G63">
        <v>3060</v>
      </c>
      <c r="H63">
        <v>51</v>
      </c>
      <c r="I63">
        <v>0.85</v>
      </c>
      <c r="J63">
        <v>81800</v>
      </c>
      <c r="K63">
        <v>4171800</v>
      </c>
    </row>
    <row r="64" spans="1:11" x14ac:dyDescent="0.35">
      <c r="A64">
        <v>20260701</v>
      </c>
      <c r="B64" t="s">
        <v>1130</v>
      </c>
      <c r="C64" t="s">
        <v>562</v>
      </c>
      <c r="D64" t="s">
        <v>574</v>
      </c>
      <c r="E64">
        <v>45</v>
      </c>
      <c r="F64">
        <v>1350</v>
      </c>
      <c r="G64">
        <v>1147.5</v>
      </c>
      <c r="H64">
        <v>19.125</v>
      </c>
      <c r="I64">
        <v>0.85</v>
      </c>
      <c r="J64">
        <v>81800</v>
      </c>
      <c r="K64">
        <v>1564425</v>
      </c>
    </row>
    <row r="65" spans="1:11" x14ac:dyDescent="0.35">
      <c r="A65">
        <v>20260801</v>
      </c>
      <c r="B65" t="s">
        <v>1150</v>
      </c>
      <c r="C65" t="s">
        <v>548</v>
      </c>
      <c r="D65" t="s">
        <v>570</v>
      </c>
      <c r="E65">
        <v>120</v>
      </c>
      <c r="F65">
        <v>3600</v>
      </c>
      <c r="G65">
        <v>3060</v>
      </c>
      <c r="H65">
        <v>51</v>
      </c>
      <c r="I65">
        <v>0.85</v>
      </c>
      <c r="J65">
        <v>54550</v>
      </c>
      <c r="K65">
        <v>2782050</v>
      </c>
    </row>
    <row r="66" spans="1:11" x14ac:dyDescent="0.35">
      <c r="A66">
        <v>20260801</v>
      </c>
      <c r="B66" t="s">
        <v>1150</v>
      </c>
      <c r="C66" t="s">
        <v>557</v>
      </c>
      <c r="D66" t="s">
        <v>570</v>
      </c>
      <c r="E66">
        <v>45</v>
      </c>
      <c r="F66">
        <v>1350</v>
      </c>
      <c r="G66">
        <v>1147.5</v>
      </c>
      <c r="H66">
        <v>19.125</v>
      </c>
      <c r="I66">
        <v>0.85</v>
      </c>
      <c r="J66">
        <v>54550</v>
      </c>
      <c r="K66">
        <v>1043268.75</v>
      </c>
    </row>
    <row r="67" spans="1:11" x14ac:dyDescent="0.35">
      <c r="A67">
        <v>20260801</v>
      </c>
      <c r="B67" t="s">
        <v>1205</v>
      </c>
      <c r="C67" t="s">
        <v>546</v>
      </c>
      <c r="D67" t="s">
        <v>574</v>
      </c>
      <c r="E67">
        <v>120</v>
      </c>
      <c r="F67">
        <v>3600</v>
      </c>
      <c r="G67">
        <v>3060</v>
      </c>
      <c r="H67">
        <v>51</v>
      </c>
      <c r="I67">
        <v>0.85</v>
      </c>
      <c r="J67">
        <v>81800</v>
      </c>
      <c r="K67">
        <v>4171800</v>
      </c>
    </row>
    <row r="68" spans="1:11" x14ac:dyDescent="0.35">
      <c r="A68">
        <v>20260801</v>
      </c>
      <c r="B68" t="s">
        <v>1205</v>
      </c>
      <c r="C68" t="s">
        <v>560</v>
      </c>
      <c r="D68" t="s">
        <v>574</v>
      </c>
      <c r="E68">
        <v>45</v>
      </c>
      <c r="F68">
        <v>1350</v>
      </c>
      <c r="G68">
        <v>1147.5</v>
      </c>
      <c r="H68">
        <v>19.125</v>
      </c>
      <c r="I68">
        <v>0.85</v>
      </c>
      <c r="J68">
        <v>81800</v>
      </c>
      <c r="K68">
        <v>1564425</v>
      </c>
    </row>
    <row r="69" spans="1:11" x14ac:dyDescent="0.35">
      <c r="A69">
        <v>20260801</v>
      </c>
      <c r="B69" t="s">
        <v>1164</v>
      </c>
      <c r="C69" t="s">
        <v>550</v>
      </c>
      <c r="D69" t="s">
        <v>570</v>
      </c>
      <c r="E69">
        <v>120</v>
      </c>
      <c r="F69">
        <v>3600</v>
      </c>
      <c r="G69">
        <v>3060</v>
      </c>
      <c r="H69">
        <v>51</v>
      </c>
      <c r="I69">
        <v>0.85</v>
      </c>
      <c r="J69">
        <v>54550</v>
      </c>
      <c r="K69">
        <v>2782050</v>
      </c>
    </row>
    <row r="70" spans="1:11" x14ac:dyDescent="0.35">
      <c r="A70">
        <v>20260801</v>
      </c>
      <c r="B70" t="s">
        <v>1169</v>
      </c>
      <c r="C70" t="s">
        <v>552</v>
      </c>
      <c r="D70" t="s">
        <v>570</v>
      </c>
      <c r="E70">
        <v>120</v>
      </c>
      <c r="F70">
        <v>3600</v>
      </c>
      <c r="G70">
        <v>2592</v>
      </c>
      <c r="H70">
        <v>43.2</v>
      </c>
      <c r="I70">
        <v>0.72</v>
      </c>
      <c r="J70">
        <v>54550</v>
      </c>
      <c r="K70">
        <v>2356560</v>
      </c>
    </row>
    <row r="71" spans="1:11" x14ac:dyDescent="0.35">
      <c r="A71">
        <v>20260801</v>
      </c>
      <c r="B71" t="s">
        <v>1175</v>
      </c>
      <c r="C71" t="s">
        <v>554</v>
      </c>
      <c r="D71" t="s">
        <v>574</v>
      </c>
      <c r="E71">
        <v>45</v>
      </c>
      <c r="F71">
        <v>1350</v>
      </c>
      <c r="G71">
        <v>1147.5</v>
      </c>
      <c r="H71">
        <v>19.125</v>
      </c>
      <c r="I71">
        <v>0.85</v>
      </c>
      <c r="J71">
        <v>81800</v>
      </c>
      <c r="K71">
        <v>1564425</v>
      </c>
    </row>
    <row r="72" spans="1:11" x14ac:dyDescent="0.35">
      <c r="A72">
        <v>20260801</v>
      </c>
      <c r="B72" t="s">
        <v>1130</v>
      </c>
      <c r="C72" t="s">
        <v>543</v>
      </c>
      <c r="D72" t="s">
        <v>574</v>
      </c>
      <c r="E72">
        <v>120</v>
      </c>
      <c r="F72">
        <v>3600</v>
      </c>
      <c r="G72">
        <v>3060</v>
      </c>
      <c r="H72">
        <v>51</v>
      </c>
      <c r="I72">
        <v>0.85</v>
      </c>
      <c r="J72">
        <v>81800</v>
      </c>
      <c r="K72">
        <v>4171800</v>
      </c>
    </row>
    <row r="73" spans="1:11" x14ac:dyDescent="0.35">
      <c r="A73">
        <v>20260801</v>
      </c>
      <c r="B73" t="s">
        <v>1130</v>
      </c>
      <c r="C73" t="s">
        <v>562</v>
      </c>
      <c r="D73" t="s">
        <v>574</v>
      </c>
      <c r="E73">
        <v>45</v>
      </c>
      <c r="F73">
        <v>1350</v>
      </c>
      <c r="G73">
        <v>1147.5</v>
      </c>
      <c r="H73">
        <v>19.125</v>
      </c>
      <c r="I73">
        <v>0.85</v>
      </c>
      <c r="J73">
        <v>81800</v>
      </c>
      <c r="K73">
        <v>1564425</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64748B"/>
  </sheetPr>
  <dimension ref="A1:O7"/>
  <sheetViews>
    <sheetView zoomScale="85" workbookViewId="0"/>
  </sheetViews>
  <sheetFormatPr defaultRowHeight="14.5" x14ac:dyDescent="0.35"/>
  <cols>
    <col min="1" max="1" width="11" customWidth="1"/>
    <col min="2" max="2" width="22" customWidth="1"/>
    <col min="3" max="4" width="11" customWidth="1"/>
    <col min="5" max="5" width="52" customWidth="1"/>
    <col min="6" max="6" width="59" customWidth="1"/>
    <col min="7" max="7" width="30" customWidth="1"/>
    <col min="8" max="11" width="18" customWidth="1"/>
    <col min="12" max="12" width="14" customWidth="1"/>
    <col min="13" max="13" width="12" customWidth="1"/>
    <col min="14" max="14" width="16" customWidth="1"/>
    <col min="15" max="15" width="41" customWidth="1"/>
  </cols>
  <sheetData>
    <row r="1" spans="1:15" ht="20" customHeight="1" x14ac:dyDescent="0.35">
      <c r="A1" s="2" t="s">
        <v>1479</v>
      </c>
      <c r="B1" s="2" t="s">
        <v>1385</v>
      </c>
      <c r="C1" s="2" t="s">
        <v>1125</v>
      </c>
      <c r="D1" s="2" t="s">
        <v>625</v>
      </c>
      <c r="E1" s="2" t="s">
        <v>1480</v>
      </c>
      <c r="F1" s="2" t="s">
        <v>405</v>
      </c>
      <c r="G1" s="2" t="s">
        <v>1481</v>
      </c>
      <c r="H1" s="2" t="s">
        <v>1482</v>
      </c>
      <c r="I1" s="2" t="s">
        <v>1483</v>
      </c>
      <c r="J1" s="2" t="s">
        <v>1484</v>
      </c>
      <c r="K1" s="2" t="s">
        <v>1485</v>
      </c>
      <c r="L1" s="2" t="s">
        <v>256</v>
      </c>
      <c r="M1" s="2" t="s">
        <v>411</v>
      </c>
      <c r="N1" s="2" t="s">
        <v>1459</v>
      </c>
      <c r="O1" s="2" t="s">
        <v>1486</v>
      </c>
    </row>
    <row r="2" spans="1:15" x14ac:dyDescent="0.35">
      <c r="A2" t="s">
        <v>433</v>
      </c>
      <c r="B2" t="s">
        <v>1169</v>
      </c>
      <c r="C2" t="s">
        <v>1131</v>
      </c>
      <c r="D2">
        <v>5000</v>
      </c>
      <c r="E2" t="s">
        <v>603</v>
      </c>
      <c r="F2" t="s">
        <v>434</v>
      </c>
      <c r="G2" t="s">
        <v>435</v>
      </c>
      <c r="H2">
        <v>20260401</v>
      </c>
      <c r="I2">
        <v>20261231</v>
      </c>
      <c r="J2">
        <v>850000</v>
      </c>
      <c r="K2">
        <v>420000</v>
      </c>
      <c r="L2" t="s">
        <v>1333</v>
      </c>
      <c r="M2" t="s">
        <v>416</v>
      </c>
      <c r="N2">
        <v>0.85</v>
      </c>
      <c r="O2" t="s">
        <v>1487</v>
      </c>
    </row>
    <row r="3" spans="1:15" x14ac:dyDescent="0.35">
      <c r="A3" t="s">
        <v>436</v>
      </c>
      <c r="B3" t="s">
        <v>1130</v>
      </c>
      <c r="C3" t="s">
        <v>1139</v>
      </c>
      <c r="D3">
        <v>2080</v>
      </c>
      <c r="E3" t="s">
        <v>604</v>
      </c>
      <c r="F3" t="s">
        <v>437</v>
      </c>
      <c r="G3" t="s">
        <v>438</v>
      </c>
      <c r="H3">
        <v>20260501</v>
      </c>
      <c r="I3">
        <v>20261031</v>
      </c>
      <c r="J3">
        <v>2400000</v>
      </c>
      <c r="K3">
        <v>1800000</v>
      </c>
      <c r="L3" t="s">
        <v>1334</v>
      </c>
      <c r="M3" t="s">
        <v>416</v>
      </c>
      <c r="N3">
        <v>0.9</v>
      </c>
      <c r="O3" t="s">
        <v>1488</v>
      </c>
    </row>
    <row r="4" spans="1:15" x14ac:dyDescent="0.35">
      <c r="A4" t="s">
        <v>429</v>
      </c>
      <c r="B4" t="s">
        <v>1265</v>
      </c>
      <c r="C4" t="s">
        <v>485</v>
      </c>
      <c r="D4">
        <v>2180</v>
      </c>
      <c r="E4" t="s">
        <v>605</v>
      </c>
      <c r="F4" t="s">
        <v>430</v>
      </c>
      <c r="G4" t="s">
        <v>431</v>
      </c>
      <c r="H4">
        <v>20260301</v>
      </c>
      <c r="I4">
        <v>20260930</v>
      </c>
      <c r="J4">
        <v>600000</v>
      </c>
      <c r="K4">
        <v>300000</v>
      </c>
      <c r="L4" t="s">
        <v>1333</v>
      </c>
      <c r="M4" t="s">
        <v>427</v>
      </c>
      <c r="N4">
        <v>0.75</v>
      </c>
      <c r="O4" t="s">
        <v>1489</v>
      </c>
    </row>
    <row r="5" spans="1:15" x14ac:dyDescent="0.35">
      <c r="A5" t="s">
        <v>418</v>
      </c>
      <c r="B5" t="s">
        <v>1272</v>
      </c>
      <c r="C5" t="s">
        <v>493</v>
      </c>
      <c r="D5">
        <v>7790</v>
      </c>
      <c r="E5" t="s">
        <v>606</v>
      </c>
      <c r="F5" t="s">
        <v>419</v>
      </c>
      <c r="G5" t="s">
        <v>420</v>
      </c>
      <c r="H5">
        <v>20260601</v>
      </c>
      <c r="I5">
        <v>20261130</v>
      </c>
      <c r="J5">
        <v>150000</v>
      </c>
      <c r="K5">
        <v>0</v>
      </c>
      <c r="L5" t="s">
        <v>1335</v>
      </c>
      <c r="M5" t="s">
        <v>416</v>
      </c>
      <c r="N5">
        <v>0.6</v>
      </c>
      <c r="O5" t="s">
        <v>1490</v>
      </c>
    </row>
    <row r="6" spans="1:15" x14ac:dyDescent="0.35">
      <c r="A6" t="s">
        <v>412</v>
      </c>
      <c r="B6" t="s">
        <v>1130</v>
      </c>
      <c r="C6" t="s">
        <v>1131</v>
      </c>
      <c r="D6">
        <v>6710</v>
      </c>
      <c r="E6" t="s">
        <v>607</v>
      </c>
      <c r="F6" t="s">
        <v>413</v>
      </c>
      <c r="G6" t="s">
        <v>414</v>
      </c>
      <c r="H6">
        <v>20260515</v>
      </c>
      <c r="I6">
        <v>20260831</v>
      </c>
      <c r="J6">
        <v>0</v>
      </c>
      <c r="K6">
        <v>0</v>
      </c>
      <c r="L6" t="s">
        <v>1334</v>
      </c>
      <c r="M6" t="s">
        <v>416</v>
      </c>
      <c r="N6">
        <v>0.95</v>
      </c>
      <c r="O6" t="s">
        <v>1491</v>
      </c>
    </row>
    <row r="7" spans="1:15" x14ac:dyDescent="0.35">
      <c r="A7" t="s">
        <v>423</v>
      </c>
      <c r="B7" t="s">
        <v>1205</v>
      </c>
      <c r="C7" t="s">
        <v>1131</v>
      </c>
      <c r="D7">
        <v>5050</v>
      </c>
      <c r="E7" t="s">
        <v>608</v>
      </c>
      <c r="F7" t="s">
        <v>424</v>
      </c>
      <c r="G7" t="s">
        <v>425</v>
      </c>
      <c r="H7">
        <v>20260401</v>
      </c>
      <c r="I7">
        <v>20261231</v>
      </c>
      <c r="J7">
        <v>350000</v>
      </c>
      <c r="K7">
        <v>180000</v>
      </c>
      <c r="L7" t="s">
        <v>1333</v>
      </c>
      <c r="M7" t="s">
        <v>427</v>
      </c>
      <c r="N7">
        <v>0.7</v>
      </c>
      <c r="O7" t="s">
        <v>1492</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64748B"/>
  </sheetPr>
  <dimension ref="A1:H722"/>
  <sheetViews>
    <sheetView zoomScale="85" workbookViewId="0"/>
  </sheetViews>
  <sheetFormatPr defaultRowHeight="14.5" x14ac:dyDescent="0.35"/>
  <cols>
    <col min="1" max="1" width="13" customWidth="1"/>
    <col min="2" max="2" width="22" customWidth="1"/>
    <col min="3" max="4" width="11" customWidth="1"/>
    <col min="5" max="5" width="21" customWidth="1"/>
    <col min="6" max="6" width="45" customWidth="1"/>
    <col min="7" max="7" width="17" customWidth="1"/>
    <col min="8" max="8" width="44" customWidth="1"/>
  </cols>
  <sheetData>
    <row r="1" spans="1:8" ht="20" customHeight="1" x14ac:dyDescent="0.35">
      <c r="A1" s="2" t="s">
        <v>1447</v>
      </c>
      <c r="B1" s="2" t="s">
        <v>1385</v>
      </c>
      <c r="C1" s="2" t="s">
        <v>625</v>
      </c>
      <c r="D1" s="2" t="s">
        <v>1125</v>
      </c>
      <c r="E1" s="2" t="s">
        <v>1493</v>
      </c>
      <c r="F1" s="2" t="s">
        <v>1494</v>
      </c>
      <c r="G1" s="2" t="s">
        <v>1495</v>
      </c>
      <c r="H1" s="2" t="s">
        <v>1486</v>
      </c>
    </row>
    <row r="2" spans="1:8" x14ac:dyDescent="0.35">
      <c r="A2">
        <v>20260101</v>
      </c>
      <c r="B2" t="s">
        <v>1150</v>
      </c>
      <c r="C2">
        <v>5000</v>
      </c>
      <c r="D2" t="s">
        <v>1131</v>
      </c>
      <c r="E2">
        <v>471905</v>
      </c>
      <c r="F2" t="s">
        <v>1151</v>
      </c>
      <c r="G2" t="s">
        <v>1167</v>
      </c>
      <c r="H2" t="s">
        <v>1152</v>
      </c>
    </row>
    <row r="3" spans="1:8" x14ac:dyDescent="0.35">
      <c r="A3">
        <v>20260101</v>
      </c>
      <c r="B3" t="s">
        <v>1150</v>
      </c>
      <c r="C3">
        <v>5400</v>
      </c>
      <c r="D3" t="s">
        <v>1131</v>
      </c>
      <c r="E3">
        <v>66538.600000000006</v>
      </c>
      <c r="F3" t="s">
        <v>632</v>
      </c>
      <c r="G3" t="s">
        <v>1496</v>
      </c>
      <c r="H3" t="s">
        <v>1152</v>
      </c>
    </row>
    <row r="4" spans="1:8" x14ac:dyDescent="0.35">
      <c r="A4">
        <v>20260101</v>
      </c>
      <c r="B4" t="s">
        <v>1150</v>
      </c>
      <c r="C4">
        <v>5420</v>
      </c>
      <c r="D4" t="s">
        <v>1131</v>
      </c>
      <c r="E4">
        <v>47190.5</v>
      </c>
      <c r="F4" t="s">
        <v>1497</v>
      </c>
      <c r="G4" t="s">
        <v>1498</v>
      </c>
      <c r="H4" t="s">
        <v>1152</v>
      </c>
    </row>
    <row r="5" spans="1:8" x14ac:dyDescent="0.35">
      <c r="A5">
        <v>20260101</v>
      </c>
      <c r="B5" t="s">
        <v>1150</v>
      </c>
      <c r="C5">
        <v>6300</v>
      </c>
      <c r="D5" t="s">
        <v>1131</v>
      </c>
      <c r="E5">
        <v>85000</v>
      </c>
      <c r="F5" t="s">
        <v>1499</v>
      </c>
      <c r="G5" t="s">
        <v>1500</v>
      </c>
      <c r="H5" t="s">
        <v>1501</v>
      </c>
    </row>
    <row r="6" spans="1:8" x14ac:dyDescent="0.35">
      <c r="A6">
        <v>20260101</v>
      </c>
      <c r="B6" t="s">
        <v>1150</v>
      </c>
      <c r="C6">
        <v>6420</v>
      </c>
      <c r="D6" t="s">
        <v>1131</v>
      </c>
      <c r="E6">
        <v>25000</v>
      </c>
      <c r="F6" t="s">
        <v>1502</v>
      </c>
      <c r="G6" t="s">
        <v>1503</v>
      </c>
      <c r="H6" t="s">
        <v>1504</v>
      </c>
    </row>
    <row r="7" spans="1:8" x14ac:dyDescent="0.35">
      <c r="A7">
        <v>20260101</v>
      </c>
      <c r="B7" t="s">
        <v>1150</v>
      </c>
      <c r="C7">
        <v>7130</v>
      </c>
      <c r="D7" t="s">
        <v>1131</v>
      </c>
      <c r="E7">
        <v>8648</v>
      </c>
      <c r="F7" t="s">
        <v>1505</v>
      </c>
      <c r="G7" t="s">
        <v>1506</v>
      </c>
      <c r="H7" t="s">
        <v>1507</v>
      </c>
    </row>
    <row r="8" spans="1:8" x14ac:dyDescent="0.35">
      <c r="A8">
        <v>20260101</v>
      </c>
      <c r="B8" t="s">
        <v>1272</v>
      </c>
      <c r="C8">
        <v>5100</v>
      </c>
      <c r="D8" t="s">
        <v>480</v>
      </c>
      <c r="E8">
        <v>74647.299999999988</v>
      </c>
      <c r="F8" t="s">
        <v>1508</v>
      </c>
      <c r="G8" t="s">
        <v>1509</v>
      </c>
      <c r="H8" t="s">
        <v>1510</v>
      </c>
    </row>
    <row r="9" spans="1:8" x14ac:dyDescent="0.35">
      <c r="A9">
        <v>20260101</v>
      </c>
      <c r="B9" t="s">
        <v>1272</v>
      </c>
      <c r="C9">
        <v>6800</v>
      </c>
      <c r="D9" t="s">
        <v>480</v>
      </c>
      <c r="E9">
        <v>31991.7</v>
      </c>
      <c r="F9" t="s">
        <v>1511</v>
      </c>
      <c r="G9" t="s">
        <v>1512</v>
      </c>
      <c r="H9" t="s">
        <v>1513</v>
      </c>
    </row>
    <row r="10" spans="1:8" x14ac:dyDescent="0.35">
      <c r="A10">
        <v>20260101</v>
      </c>
      <c r="B10" t="s">
        <v>1272</v>
      </c>
      <c r="C10">
        <v>3420</v>
      </c>
      <c r="D10" t="s">
        <v>480</v>
      </c>
      <c r="E10">
        <v>-106639</v>
      </c>
      <c r="F10" t="s">
        <v>1269</v>
      </c>
      <c r="G10" t="s">
        <v>1514</v>
      </c>
      <c r="H10" t="s">
        <v>1270</v>
      </c>
    </row>
    <row r="11" spans="1:8" x14ac:dyDescent="0.35">
      <c r="A11">
        <v>20260101</v>
      </c>
      <c r="B11" t="s">
        <v>1272</v>
      </c>
      <c r="C11">
        <v>2180</v>
      </c>
      <c r="D11" t="s">
        <v>480</v>
      </c>
      <c r="E11">
        <v>106639</v>
      </c>
      <c r="F11" t="s">
        <v>1266</v>
      </c>
      <c r="G11" t="s">
        <v>1515</v>
      </c>
      <c r="H11" t="s">
        <v>1267</v>
      </c>
    </row>
    <row r="12" spans="1:8" x14ac:dyDescent="0.35">
      <c r="A12">
        <v>20260101</v>
      </c>
      <c r="B12" t="s">
        <v>1158</v>
      </c>
      <c r="C12">
        <v>5000</v>
      </c>
      <c r="D12" t="s">
        <v>1131</v>
      </c>
      <c r="E12">
        <v>478598</v>
      </c>
      <c r="F12" t="s">
        <v>1151</v>
      </c>
      <c r="G12" t="s">
        <v>1156</v>
      </c>
      <c r="H12" t="s">
        <v>1152</v>
      </c>
    </row>
    <row r="13" spans="1:8" x14ac:dyDescent="0.35">
      <c r="A13">
        <v>20260101</v>
      </c>
      <c r="B13" t="s">
        <v>1158</v>
      </c>
      <c r="C13">
        <v>5400</v>
      </c>
      <c r="D13" t="s">
        <v>1131</v>
      </c>
      <c r="E13">
        <v>67482.320000000007</v>
      </c>
      <c r="F13" t="s">
        <v>632</v>
      </c>
      <c r="G13" t="s">
        <v>1516</v>
      </c>
      <c r="H13" t="s">
        <v>1152</v>
      </c>
    </row>
    <row r="14" spans="1:8" x14ac:dyDescent="0.35">
      <c r="A14">
        <v>20260101</v>
      </c>
      <c r="B14" t="s">
        <v>1158</v>
      </c>
      <c r="C14">
        <v>5420</v>
      </c>
      <c r="D14" t="s">
        <v>1131</v>
      </c>
      <c r="E14">
        <v>47859.8</v>
      </c>
      <c r="F14" t="s">
        <v>1497</v>
      </c>
      <c r="G14" t="s">
        <v>1517</v>
      </c>
      <c r="H14" t="s">
        <v>1152</v>
      </c>
    </row>
    <row r="15" spans="1:8" x14ac:dyDescent="0.35">
      <c r="A15">
        <v>20260101</v>
      </c>
      <c r="B15" t="s">
        <v>1158</v>
      </c>
      <c r="C15">
        <v>6300</v>
      </c>
      <c r="D15" t="s">
        <v>1131</v>
      </c>
      <c r="E15">
        <v>85000</v>
      </c>
      <c r="F15" t="s">
        <v>1499</v>
      </c>
      <c r="G15" t="s">
        <v>1518</v>
      </c>
      <c r="H15" t="s">
        <v>1501</v>
      </c>
    </row>
    <row r="16" spans="1:8" x14ac:dyDescent="0.35">
      <c r="A16">
        <v>20260101</v>
      </c>
      <c r="B16" t="s">
        <v>1158</v>
      </c>
      <c r="C16">
        <v>6420</v>
      </c>
      <c r="D16" t="s">
        <v>1131</v>
      </c>
      <c r="E16">
        <v>25000</v>
      </c>
      <c r="F16" t="s">
        <v>1502</v>
      </c>
      <c r="G16" t="s">
        <v>1519</v>
      </c>
      <c r="H16" t="s">
        <v>1504</v>
      </c>
    </row>
    <row r="17" spans="1:8" x14ac:dyDescent="0.35">
      <c r="A17">
        <v>20260101</v>
      </c>
      <c r="B17" t="s">
        <v>1158</v>
      </c>
      <c r="C17">
        <v>7130</v>
      </c>
      <c r="D17" t="s">
        <v>1131</v>
      </c>
      <c r="E17">
        <v>14012</v>
      </c>
      <c r="F17" t="s">
        <v>1505</v>
      </c>
      <c r="G17" t="s">
        <v>1520</v>
      </c>
      <c r="H17" t="s">
        <v>1507</v>
      </c>
    </row>
    <row r="18" spans="1:8" x14ac:dyDescent="0.35">
      <c r="A18">
        <v>20260101</v>
      </c>
      <c r="B18" t="s">
        <v>1243</v>
      </c>
      <c r="C18">
        <v>5100</v>
      </c>
      <c r="D18" t="s">
        <v>493</v>
      </c>
      <c r="E18">
        <v>84734.299999999988</v>
      </c>
      <c r="F18" t="s">
        <v>1508</v>
      </c>
      <c r="G18" t="s">
        <v>1521</v>
      </c>
      <c r="H18" t="s">
        <v>1510</v>
      </c>
    </row>
    <row r="19" spans="1:8" x14ac:dyDescent="0.35">
      <c r="A19">
        <v>20260101</v>
      </c>
      <c r="B19" t="s">
        <v>1243</v>
      </c>
      <c r="C19">
        <v>6800</v>
      </c>
      <c r="D19" t="s">
        <v>493</v>
      </c>
      <c r="E19">
        <v>36314.699999999997</v>
      </c>
      <c r="F19" t="s">
        <v>1511</v>
      </c>
      <c r="G19" t="s">
        <v>1522</v>
      </c>
      <c r="H19" t="s">
        <v>1513</v>
      </c>
    </row>
    <row r="20" spans="1:8" x14ac:dyDescent="0.35">
      <c r="A20">
        <v>20260101</v>
      </c>
      <c r="B20" t="s">
        <v>1243</v>
      </c>
      <c r="C20">
        <v>3450</v>
      </c>
      <c r="D20" t="s">
        <v>493</v>
      </c>
      <c r="E20">
        <v>-110000</v>
      </c>
      <c r="F20" t="s">
        <v>1523</v>
      </c>
      <c r="G20" t="s">
        <v>1524</v>
      </c>
      <c r="H20" t="s">
        <v>1525</v>
      </c>
    </row>
    <row r="21" spans="1:8" x14ac:dyDescent="0.35">
      <c r="A21">
        <v>20260101</v>
      </c>
      <c r="B21" t="s">
        <v>1205</v>
      </c>
      <c r="C21">
        <v>5000</v>
      </c>
      <c r="D21" t="s">
        <v>1131</v>
      </c>
      <c r="E21">
        <v>444628</v>
      </c>
      <c r="F21" t="s">
        <v>1151</v>
      </c>
      <c r="G21" t="s">
        <v>1213</v>
      </c>
      <c r="H21" t="s">
        <v>1152</v>
      </c>
    </row>
    <row r="22" spans="1:8" x14ac:dyDescent="0.35">
      <c r="A22">
        <v>20260101</v>
      </c>
      <c r="B22" t="s">
        <v>1205</v>
      </c>
      <c r="C22">
        <v>5400</v>
      </c>
      <c r="D22" t="s">
        <v>1131</v>
      </c>
      <c r="E22">
        <v>62692.55</v>
      </c>
      <c r="F22" t="s">
        <v>632</v>
      </c>
      <c r="G22" t="s">
        <v>1526</v>
      </c>
      <c r="H22" t="s">
        <v>1152</v>
      </c>
    </row>
    <row r="23" spans="1:8" x14ac:dyDescent="0.35">
      <c r="A23">
        <v>20260101</v>
      </c>
      <c r="B23" t="s">
        <v>1205</v>
      </c>
      <c r="C23">
        <v>5420</v>
      </c>
      <c r="D23" t="s">
        <v>1131</v>
      </c>
      <c r="E23">
        <v>44462.8</v>
      </c>
      <c r="F23" t="s">
        <v>1497</v>
      </c>
      <c r="G23" t="s">
        <v>1527</v>
      </c>
      <c r="H23" t="s">
        <v>1152</v>
      </c>
    </row>
    <row r="24" spans="1:8" x14ac:dyDescent="0.35">
      <c r="A24">
        <v>20260101</v>
      </c>
      <c r="B24" t="s">
        <v>1205</v>
      </c>
      <c r="C24">
        <v>6300</v>
      </c>
      <c r="D24" t="s">
        <v>1131</v>
      </c>
      <c r="E24">
        <v>85000</v>
      </c>
      <c r="F24" t="s">
        <v>1499</v>
      </c>
      <c r="G24" t="s">
        <v>1528</v>
      </c>
      <c r="H24" t="s">
        <v>1501</v>
      </c>
    </row>
    <row r="25" spans="1:8" x14ac:dyDescent="0.35">
      <c r="A25">
        <v>20260101</v>
      </c>
      <c r="B25" t="s">
        <v>1205</v>
      </c>
      <c r="C25">
        <v>6420</v>
      </c>
      <c r="D25" t="s">
        <v>1131</v>
      </c>
      <c r="E25">
        <v>25000</v>
      </c>
      <c r="F25" t="s">
        <v>1502</v>
      </c>
      <c r="G25" t="s">
        <v>1529</v>
      </c>
      <c r="H25" t="s">
        <v>1504</v>
      </c>
    </row>
    <row r="26" spans="1:8" x14ac:dyDescent="0.35">
      <c r="A26">
        <v>20260101</v>
      </c>
      <c r="B26" t="s">
        <v>1205</v>
      </c>
      <c r="C26">
        <v>7130</v>
      </c>
      <c r="D26" t="s">
        <v>1131</v>
      </c>
      <c r="E26">
        <v>9572</v>
      </c>
      <c r="F26" t="s">
        <v>1505</v>
      </c>
      <c r="G26" t="s">
        <v>1530</v>
      </c>
      <c r="H26" t="s">
        <v>1507</v>
      </c>
    </row>
    <row r="27" spans="1:8" x14ac:dyDescent="0.35">
      <c r="A27">
        <v>20260101</v>
      </c>
      <c r="B27" t="s">
        <v>1205</v>
      </c>
      <c r="C27">
        <v>5050</v>
      </c>
      <c r="D27" t="s">
        <v>1131</v>
      </c>
      <c r="E27">
        <v>59132</v>
      </c>
      <c r="F27" t="s">
        <v>1531</v>
      </c>
      <c r="G27" t="s">
        <v>1532</v>
      </c>
      <c r="H27" t="s">
        <v>1533</v>
      </c>
    </row>
    <row r="28" spans="1:8" x14ac:dyDescent="0.35">
      <c r="A28">
        <v>20260101</v>
      </c>
      <c r="B28" t="s">
        <v>1257</v>
      </c>
      <c r="C28">
        <v>5100</v>
      </c>
      <c r="D28" t="s">
        <v>493</v>
      </c>
      <c r="E28">
        <v>78201.899999999994</v>
      </c>
      <c r="F28" t="s">
        <v>1508</v>
      </c>
      <c r="G28" t="s">
        <v>1534</v>
      </c>
      <c r="H28" t="s">
        <v>1510</v>
      </c>
    </row>
    <row r="29" spans="1:8" x14ac:dyDescent="0.35">
      <c r="A29">
        <v>20260101</v>
      </c>
      <c r="B29" t="s">
        <v>1257</v>
      </c>
      <c r="C29">
        <v>6800</v>
      </c>
      <c r="D29" t="s">
        <v>493</v>
      </c>
      <c r="E29">
        <v>33515.1</v>
      </c>
      <c r="F29" t="s">
        <v>1511</v>
      </c>
      <c r="G29" t="s">
        <v>1535</v>
      </c>
      <c r="H29" t="s">
        <v>1513</v>
      </c>
    </row>
    <row r="30" spans="1:8" x14ac:dyDescent="0.35">
      <c r="A30">
        <v>20260101</v>
      </c>
      <c r="B30" t="s">
        <v>1257</v>
      </c>
      <c r="C30">
        <v>3450</v>
      </c>
      <c r="D30" t="s">
        <v>493</v>
      </c>
      <c r="E30">
        <v>-110000</v>
      </c>
      <c r="F30" t="s">
        <v>1523</v>
      </c>
      <c r="G30" t="s">
        <v>1536</v>
      </c>
      <c r="H30" t="s">
        <v>1525</v>
      </c>
    </row>
    <row r="31" spans="1:8" x14ac:dyDescent="0.35">
      <c r="A31">
        <v>20260101</v>
      </c>
      <c r="B31" t="s">
        <v>1164</v>
      </c>
      <c r="C31">
        <v>5000</v>
      </c>
      <c r="D31" t="s">
        <v>1131</v>
      </c>
      <c r="E31">
        <v>474348</v>
      </c>
      <c r="F31" t="s">
        <v>1151</v>
      </c>
      <c r="G31" t="s">
        <v>1163</v>
      </c>
      <c r="H31" t="s">
        <v>1152</v>
      </c>
    </row>
    <row r="32" spans="1:8" x14ac:dyDescent="0.35">
      <c r="A32">
        <v>20260101</v>
      </c>
      <c r="B32" t="s">
        <v>1164</v>
      </c>
      <c r="C32">
        <v>5400</v>
      </c>
      <c r="D32" t="s">
        <v>1131</v>
      </c>
      <c r="E32">
        <v>66883.070000000007</v>
      </c>
      <c r="F32" t="s">
        <v>632</v>
      </c>
      <c r="G32" t="s">
        <v>1537</v>
      </c>
      <c r="H32" t="s">
        <v>1152</v>
      </c>
    </row>
    <row r="33" spans="1:8" x14ac:dyDescent="0.35">
      <c r="A33">
        <v>20260101</v>
      </c>
      <c r="B33" t="s">
        <v>1164</v>
      </c>
      <c r="C33">
        <v>5420</v>
      </c>
      <c r="D33" t="s">
        <v>1131</v>
      </c>
      <c r="E33">
        <v>47434.8</v>
      </c>
      <c r="F33" t="s">
        <v>1497</v>
      </c>
      <c r="G33" t="s">
        <v>1538</v>
      </c>
      <c r="H33" t="s">
        <v>1152</v>
      </c>
    </row>
    <row r="34" spans="1:8" x14ac:dyDescent="0.35">
      <c r="A34">
        <v>20260101</v>
      </c>
      <c r="B34" t="s">
        <v>1164</v>
      </c>
      <c r="C34">
        <v>6300</v>
      </c>
      <c r="D34" t="s">
        <v>1131</v>
      </c>
      <c r="E34">
        <v>85000</v>
      </c>
      <c r="F34" t="s">
        <v>1499</v>
      </c>
      <c r="G34" t="s">
        <v>1539</v>
      </c>
      <c r="H34" t="s">
        <v>1501</v>
      </c>
    </row>
    <row r="35" spans="1:8" x14ac:dyDescent="0.35">
      <c r="A35">
        <v>20260101</v>
      </c>
      <c r="B35" t="s">
        <v>1164</v>
      </c>
      <c r="C35">
        <v>6420</v>
      </c>
      <c r="D35" t="s">
        <v>1131</v>
      </c>
      <c r="E35">
        <v>25000</v>
      </c>
      <c r="F35" t="s">
        <v>1502</v>
      </c>
      <c r="G35" t="s">
        <v>1540</v>
      </c>
      <c r="H35" t="s">
        <v>1504</v>
      </c>
    </row>
    <row r="36" spans="1:8" x14ac:dyDescent="0.35">
      <c r="A36">
        <v>20260101</v>
      </c>
      <c r="B36" t="s">
        <v>1164</v>
      </c>
      <c r="C36">
        <v>7130</v>
      </c>
      <c r="D36" t="s">
        <v>1131</v>
      </c>
      <c r="E36">
        <v>22870</v>
      </c>
      <c r="F36" t="s">
        <v>1505</v>
      </c>
      <c r="G36" t="s">
        <v>1541</v>
      </c>
      <c r="H36" t="s">
        <v>1507</v>
      </c>
    </row>
    <row r="37" spans="1:8" x14ac:dyDescent="0.35">
      <c r="A37">
        <v>20260101</v>
      </c>
      <c r="B37" t="s">
        <v>1249</v>
      </c>
      <c r="C37">
        <v>5100</v>
      </c>
      <c r="D37" t="s">
        <v>493</v>
      </c>
      <c r="E37">
        <v>77487.899999999994</v>
      </c>
      <c r="F37" t="s">
        <v>1508</v>
      </c>
      <c r="G37" t="s">
        <v>1542</v>
      </c>
      <c r="H37" t="s">
        <v>1510</v>
      </c>
    </row>
    <row r="38" spans="1:8" x14ac:dyDescent="0.35">
      <c r="A38">
        <v>20260101</v>
      </c>
      <c r="B38" t="s">
        <v>1249</v>
      </c>
      <c r="C38">
        <v>6800</v>
      </c>
      <c r="D38" t="s">
        <v>493</v>
      </c>
      <c r="E38">
        <v>33209.1</v>
      </c>
      <c r="F38" t="s">
        <v>1511</v>
      </c>
      <c r="G38" t="s">
        <v>1543</v>
      </c>
      <c r="H38" t="s">
        <v>1513</v>
      </c>
    </row>
    <row r="39" spans="1:8" x14ac:dyDescent="0.35">
      <c r="A39">
        <v>20260101</v>
      </c>
      <c r="B39" t="s">
        <v>1249</v>
      </c>
      <c r="C39">
        <v>3450</v>
      </c>
      <c r="D39" t="s">
        <v>493</v>
      </c>
      <c r="E39">
        <v>-110000</v>
      </c>
      <c r="F39" t="s">
        <v>1523</v>
      </c>
      <c r="G39" t="s">
        <v>1544</v>
      </c>
      <c r="H39" t="s">
        <v>1525</v>
      </c>
    </row>
    <row r="40" spans="1:8" x14ac:dyDescent="0.35">
      <c r="A40">
        <v>20260101</v>
      </c>
      <c r="B40" t="s">
        <v>1169</v>
      </c>
      <c r="C40">
        <v>5000</v>
      </c>
      <c r="D40" t="s">
        <v>1131</v>
      </c>
      <c r="E40">
        <v>468698</v>
      </c>
      <c r="F40" t="s">
        <v>1151</v>
      </c>
      <c r="G40" t="s">
        <v>1179</v>
      </c>
      <c r="H40" t="s">
        <v>1152</v>
      </c>
    </row>
    <row r="41" spans="1:8" x14ac:dyDescent="0.35">
      <c r="A41">
        <v>20260101</v>
      </c>
      <c r="B41" t="s">
        <v>1169</v>
      </c>
      <c r="C41">
        <v>5400</v>
      </c>
      <c r="D41" t="s">
        <v>1131</v>
      </c>
      <c r="E41">
        <v>66086.42</v>
      </c>
      <c r="F41" t="s">
        <v>632</v>
      </c>
      <c r="G41" t="s">
        <v>1545</v>
      </c>
      <c r="H41" t="s">
        <v>1152</v>
      </c>
    </row>
    <row r="42" spans="1:8" x14ac:dyDescent="0.35">
      <c r="A42">
        <v>20260101</v>
      </c>
      <c r="B42" t="s">
        <v>1169</v>
      </c>
      <c r="C42">
        <v>5420</v>
      </c>
      <c r="D42" t="s">
        <v>1131</v>
      </c>
      <c r="E42">
        <v>46869.8</v>
      </c>
      <c r="F42" t="s">
        <v>1497</v>
      </c>
      <c r="G42" t="s">
        <v>1546</v>
      </c>
      <c r="H42" t="s">
        <v>1152</v>
      </c>
    </row>
    <row r="43" spans="1:8" x14ac:dyDescent="0.35">
      <c r="A43">
        <v>20260101</v>
      </c>
      <c r="B43" t="s">
        <v>1169</v>
      </c>
      <c r="C43">
        <v>6300</v>
      </c>
      <c r="D43" t="s">
        <v>1131</v>
      </c>
      <c r="E43">
        <v>85000</v>
      </c>
      <c r="F43" t="s">
        <v>1499</v>
      </c>
      <c r="G43" t="s">
        <v>1547</v>
      </c>
      <c r="H43" t="s">
        <v>1501</v>
      </c>
    </row>
    <row r="44" spans="1:8" x14ac:dyDescent="0.35">
      <c r="A44">
        <v>20260101</v>
      </c>
      <c r="B44" t="s">
        <v>1169</v>
      </c>
      <c r="C44">
        <v>6420</v>
      </c>
      <c r="D44" t="s">
        <v>1131</v>
      </c>
      <c r="E44">
        <v>25000</v>
      </c>
      <c r="F44" t="s">
        <v>1502</v>
      </c>
      <c r="G44" t="s">
        <v>1548</v>
      </c>
      <c r="H44" t="s">
        <v>1504</v>
      </c>
    </row>
    <row r="45" spans="1:8" x14ac:dyDescent="0.35">
      <c r="A45">
        <v>20260101</v>
      </c>
      <c r="B45" t="s">
        <v>1169</v>
      </c>
      <c r="C45">
        <v>7130</v>
      </c>
      <c r="D45" t="s">
        <v>1131</v>
      </c>
      <c r="E45">
        <v>18825</v>
      </c>
      <c r="F45" t="s">
        <v>1505</v>
      </c>
      <c r="G45" t="s">
        <v>1549</v>
      </c>
      <c r="H45" t="s">
        <v>1507</v>
      </c>
    </row>
    <row r="46" spans="1:8" x14ac:dyDescent="0.35">
      <c r="A46">
        <v>20260101</v>
      </c>
      <c r="B46" t="s">
        <v>1260</v>
      </c>
      <c r="C46">
        <v>5100</v>
      </c>
      <c r="D46" t="s">
        <v>493</v>
      </c>
      <c r="E46">
        <v>74957.399999999994</v>
      </c>
      <c r="F46" t="s">
        <v>1508</v>
      </c>
      <c r="G46" t="s">
        <v>1550</v>
      </c>
      <c r="H46" t="s">
        <v>1510</v>
      </c>
    </row>
    <row r="47" spans="1:8" x14ac:dyDescent="0.35">
      <c r="A47">
        <v>20260101</v>
      </c>
      <c r="B47" t="s">
        <v>1260</v>
      </c>
      <c r="C47">
        <v>6800</v>
      </c>
      <c r="D47" t="s">
        <v>493</v>
      </c>
      <c r="E47">
        <v>32124.6</v>
      </c>
      <c r="F47" t="s">
        <v>1511</v>
      </c>
      <c r="G47" t="s">
        <v>1551</v>
      </c>
      <c r="H47" t="s">
        <v>1513</v>
      </c>
    </row>
    <row r="48" spans="1:8" x14ac:dyDescent="0.35">
      <c r="A48">
        <v>20260101</v>
      </c>
      <c r="B48" t="s">
        <v>1260</v>
      </c>
      <c r="C48">
        <v>3450</v>
      </c>
      <c r="D48" t="s">
        <v>493</v>
      </c>
      <c r="E48">
        <v>-110000</v>
      </c>
      <c r="F48" t="s">
        <v>1523</v>
      </c>
      <c r="G48" t="s">
        <v>1552</v>
      </c>
      <c r="H48" t="s">
        <v>1525</v>
      </c>
    </row>
    <row r="49" spans="1:8" x14ac:dyDescent="0.35">
      <c r="A49">
        <v>20260101</v>
      </c>
      <c r="B49" t="s">
        <v>1175</v>
      </c>
      <c r="C49">
        <v>5000</v>
      </c>
      <c r="D49" t="s">
        <v>1131</v>
      </c>
      <c r="E49">
        <v>431952</v>
      </c>
      <c r="F49" t="s">
        <v>1151</v>
      </c>
      <c r="G49" t="s">
        <v>1236</v>
      </c>
      <c r="H49" t="s">
        <v>1152</v>
      </c>
    </row>
    <row r="50" spans="1:8" x14ac:dyDescent="0.35">
      <c r="A50">
        <v>20260101</v>
      </c>
      <c r="B50" t="s">
        <v>1175</v>
      </c>
      <c r="C50">
        <v>5400</v>
      </c>
      <c r="D50" t="s">
        <v>1131</v>
      </c>
      <c r="E50">
        <v>60905.23</v>
      </c>
      <c r="F50" t="s">
        <v>632</v>
      </c>
      <c r="G50" t="s">
        <v>1553</v>
      </c>
      <c r="H50" t="s">
        <v>1152</v>
      </c>
    </row>
    <row r="51" spans="1:8" x14ac:dyDescent="0.35">
      <c r="A51">
        <v>20260101</v>
      </c>
      <c r="B51" t="s">
        <v>1175</v>
      </c>
      <c r="C51">
        <v>5420</v>
      </c>
      <c r="D51" t="s">
        <v>1131</v>
      </c>
      <c r="E51">
        <v>43195.199999999997</v>
      </c>
      <c r="F51" t="s">
        <v>1497</v>
      </c>
      <c r="G51" t="s">
        <v>1554</v>
      </c>
      <c r="H51" t="s">
        <v>1152</v>
      </c>
    </row>
    <row r="52" spans="1:8" x14ac:dyDescent="0.35">
      <c r="A52">
        <v>20260101</v>
      </c>
      <c r="B52" t="s">
        <v>1175</v>
      </c>
      <c r="C52">
        <v>6300</v>
      </c>
      <c r="D52" t="s">
        <v>1131</v>
      </c>
      <c r="E52">
        <v>85000</v>
      </c>
      <c r="F52" t="s">
        <v>1499</v>
      </c>
      <c r="G52" t="s">
        <v>1555</v>
      </c>
      <c r="H52" t="s">
        <v>1501</v>
      </c>
    </row>
    <row r="53" spans="1:8" x14ac:dyDescent="0.35">
      <c r="A53">
        <v>20260101</v>
      </c>
      <c r="B53" t="s">
        <v>1175</v>
      </c>
      <c r="C53">
        <v>6420</v>
      </c>
      <c r="D53" t="s">
        <v>1131</v>
      </c>
      <c r="E53">
        <v>25000</v>
      </c>
      <c r="F53" t="s">
        <v>1502</v>
      </c>
      <c r="G53" t="s">
        <v>1556</v>
      </c>
      <c r="H53" t="s">
        <v>1504</v>
      </c>
    </row>
    <row r="54" spans="1:8" x14ac:dyDescent="0.35">
      <c r="A54">
        <v>20260101</v>
      </c>
      <c r="B54" t="s">
        <v>1175</v>
      </c>
      <c r="C54">
        <v>7130</v>
      </c>
      <c r="D54" t="s">
        <v>1131</v>
      </c>
      <c r="E54">
        <v>8070</v>
      </c>
      <c r="F54" t="s">
        <v>1505</v>
      </c>
      <c r="G54" t="s">
        <v>1557</v>
      </c>
      <c r="H54" t="s">
        <v>1507</v>
      </c>
    </row>
    <row r="55" spans="1:8" x14ac:dyDescent="0.35">
      <c r="A55">
        <v>20260101</v>
      </c>
      <c r="B55" t="s">
        <v>1247</v>
      </c>
      <c r="C55">
        <v>5100</v>
      </c>
      <c r="D55" t="s">
        <v>493</v>
      </c>
      <c r="E55">
        <v>83529.599999999991</v>
      </c>
      <c r="F55" t="s">
        <v>1508</v>
      </c>
      <c r="G55" t="s">
        <v>1558</v>
      </c>
      <c r="H55" t="s">
        <v>1510</v>
      </c>
    </row>
    <row r="56" spans="1:8" x14ac:dyDescent="0.35">
      <c r="A56">
        <v>20260101</v>
      </c>
      <c r="B56" t="s">
        <v>1247</v>
      </c>
      <c r="C56">
        <v>6800</v>
      </c>
      <c r="D56" t="s">
        <v>493</v>
      </c>
      <c r="E56">
        <v>35798.400000000001</v>
      </c>
      <c r="F56" t="s">
        <v>1511</v>
      </c>
      <c r="G56" t="s">
        <v>1559</v>
      </c>
      <c r="H56" t="s">
        <v>1513</v>
      </c>
    </row>
    <row r="57" spans="1:8" x14ac:dyDescent="0.35">
      <c r="A57">
        <v>20260101</v>
      </c>
      <c r="B57" t="s">
        <v>1247</v>
      </c>
      <c r="C57">
        <v>3450</v>
      </c>
      <c r="D57" t="s">
        <v>493</v>
      </c>
      <c r="E57">
        <v>-110000</v>
      </c>
      <c r="F57" t="s">
        <v>1523</v>
      </c>
      <c r="G57" t="s">
        <v>1560</v>
      </c>
      <c r="H57" t="s">
        <v>1525</v>
      </c>
    </row>
    <row r="58" spans="1:8" x14ac:dyDescent="0.35">
      <c r="A58">
        <v>20260101</v>
      </c>
      <c r="B58" t="s">
        <v>1130</v>
      </c>
      <c r="C58">
        <v>5000</v>
      </c>
      <c r="D58" t="s">
        <v>1131</v>
      </c>
      <c r="E58">
        <v>445247</v>
      </c>
      <c r="F58" t="s">
        <v>1151</v>
      </c>
      <c r="G58" t="s">
        <v>1210</v>
      </c>
      <c r="H58" t="s">
        <v>1152</v>
      </c>
    </row>
    <row r="59" spans="1:8" x14ac:dyDescent="0.35">
      <c r="A59">
        <v>20260101</v>
      </c>
      <c r="B59" t="s">
        <v>1130</v>
      </c>
      <c r="C59">
        <v>5400</v>
      </c>
      <c r="D59" t="s">
        <v>1131</v>
      </c>
      <c r="E59">
        <v>62779.83</v>
      </c>
      <c r="F59" t="s">
        <v>632</v>
      </c>
      <c r="G59" t="s">
        <v>1561</v>
      </c>
      <c r="H59" t="s">
        <v>1152</v>
      </c>
    </row>
    <row r="60" spans="1:8" x14ac:dyDescent="0.35">
      <c r="A60">
        <v>20260101</v>
      </c>
      <c r="B60" t="s">
        <v>1130</v>
      </c>
      <c r="C60">
        <v>5420</v>
      </c>
      <c r="D60" t="s">
        <v>1131</v>
      </c>
      <c r="E60">
        <v>44524.7</v>
      </c>
      <c r="F60" t="s">
        <v>1497</v>
      </c>
      <c r="G60" t="s">
        <v>1562</v>
      </c>
      <c r="H60" t="s">
        <v>1152</v>
      </c>
    </row>
    <row r="61" spans="1:8" x14ac:dyDescent="0.35">
      <c r="A61">
        <v>20260101</v>
      </c>
      <c r="B61" t="s">
        <v>1130</v>
      </c>
      <c r="C61">
        <v>6300</v>
      </c>
      <c r="D61" t="s">
        <v>1131</v>
      </c>
      <c r="E61">
        <v>85000</v>
      </c>
      <c r="F61" t="s">
        <v>1499</v>
      </c>
      <c r="G61" t="s">
        <v>1563</v>
      </c>
      <c r="H61" t="s">
        <v>1501</v>
      </c>
    </row>
    <row r="62" spans="1:8" x14ac:dyDescent="0.35">
      <c r="A62">
        <v>20260101</v>
      </c>
      <c r="B62" t="s">
        <v>1130</v>
      </c>
      <c r="C62">
        <v>6420</v>
      </c>
      <c r="D62" t="s">
        <v>1131</v>
      </c>
      <c r="E62">
        <v>25000</v>
      </c>
      <c r="F62" t="s">
        <v>1502</v>
      </c>
      <c r="G62" t="s">
        <v>1564</v>
      </c>
      <c r="H62" t="s">
        <v>1504</v>
      </c>
    </row>
    <row r="63" spans="1:8" x14ac:dyDescent="0.35">
      <c r="A63">
        <v>20260101</v>
      </c>
      <c r="B63" t="s">
        <v>1130</v>
      </c>
      <c r="C63">
        <v>7130</v>
      </c>
      <c r="D63" t="s">
        <v>1131</v>
      </c>
      <c r="E63">
        <v>21559</v>
      </c>
      <c r="F63" t="s">
        <v>1505</v>
      </c>
      <c r="G63" t="s">
        <v>1565</v>
      </c>
      <c r="H63" t="s">
        <v>1507</v>
      </c>
    </row>
    <row r="64" spans="1:8" x14ac:dyDescent="0.35">
      <c r="A64">
        <v>20260101</v>
      </c>
      <c r="B64" t="s">
        <v>1265</v>
      </c>
      <c r="C64">
        <v>5100</v>
      </c>
      <c r="D64" t="s">
        <v>485</v>
      </c>
      <c r="E64">
        <v>101117.1</v>
      </c>
      <c r="F64" t="s">
        <v>1508</v>
      </c>
      <c r="G64" t="s">
        <v>1566</v>
      </c>
      <c r="H64" t="s">
        <v>1510</v>
      </c>
    </row>
    <row r="65" spans="1:8" x14ac:dyDescent="0.35">
      <c r="A65">
        <v>20260101</v>
      </c>
      <c r="B65" t="s">
        <v>1265</v>
      </c>
      <c r="C65">
        <v>6800</v>
      </c>
      <c r="D65" t="s">
        <v>485</v>
      </c>
      <c r="E65">
        <v>43335.9</v>
      </c>
      <c r="F65" t="s">
        <v>1511</v>
      </c>
      <c r="G65" t="s">
        <v>1567</v>
      </c>
      <c r="H65" t="s">
        <v>1513</v>
      </c>
    </row>
    <row r="66" spans="1:8" x14ac:dyDescent="0.35">
      <c r="A66">
        <v>20260101</v>
      </c>
      <c r="B66" t="s">
        <v>1265</v>
      </c>
      <c r="C66">
        <v>3400</v>
      </c>
      <c r="D66" t="s">
        <v>485</v>
      </c>
      <c r="E66">
        <v>-144453</v>
      </c>
      <c r="F66" t="s">
        <v>1269</v>
      </c>
      <c r="G66" t="s">
        <v>1268</v>
      </c>
      <c r="H66" t="s">
        <v>1270</v>
      </c>
    </row>
    <row r="67" spans="1:8" x14ac:dyDescent="0.35">
      <c r="A67">
        <v>20260101</v>
      </c>
      <c r="B67" t="s">
        <v>1265</v>
      </c>
      <c r="C67">
        <v>2180</v>
      </c>
      <c r="D67" t="s">
        <v>485</v>
      </c>
      <c r="E67">
        <v>144453</v>
      </c>
      <c r="F67" t="s">
        <v>1266</v>
      </c>
      <c r="G67" t="s">
        <v>1264</v>
      </c>
      <c r="H67" t="s">
        <v>1267</v>
      </c>
    </row>
    <row r="68" spans="1:8" x14ac:dyDescent="0.35">
      <c r="A68">
        <v>20260101</v>
      </c>
      <c r="B68" t="s">
        <v>1173</v>
      </c>
      <c r="C68">
        <v>5000</v>
      </c>
      <c r="D68" t="s">
        <v>1131</v>
      </c>
      <c r="E68">
        <v>431739</v>
      </c>
      <c r="F68" t="s">
        <v>1151</v>
      </c>
      <c r="G68" t="s">
        <v>1237</v>
      </c>
      <c r="H68" t="s">
        <v>1152</v>
      </c>
    </row>
    <row r="69" spans="1:8" x14ac:dyDescent="0.35">
      <c r="A69">
        <v>20260101</v>
      </c>
      <c r="B69" t="s">
        <v>1173</v>
      </c>
      <c r="C69">
        <v>5400</v>
      </c>
      <c r="D69" t="s">
        <v>1131</v>
      </c>
      <c r="E69">
        <v>60875.199999999997</v>
      </c>
      <c r="F69" t="s">
        <v>632</v>
      </c>
      <c r="G69" t="s">
        <v>1568</v>
      </c>
      <c r="H69" t="s">
        <v>1152</v>
      </c>
    </row>
    <row r="70" spans="1:8" x14ac:dyDescent="0.35">
      <c r="A70">
        <v>20260101</v>
      </c>
      <c r="B70" t="s">
        <v>1173</v>
      </c>
      <c r="C70">
        <v>5420</v>
      </c>
      <c r="D70" t="s">
        <v>1131</v>
      </c>
      <c r="E70">
        <v>43173.9</v>
      </c>
      <c r="F70" t="s">
        <v>1497</v>
      </c>
      <c r="G70" t="s">
        <v>1569</v>
      </c>
      <c r="H70" t="s">
        <v>1152</v>
      </c>
    </row>
    <row r="71" spans="1:8" x14ac:dyDescent="0.35">
      <c r="A71">
        <v>20260101</v>
      </c>
      <c r="B71" t="s">
        <v>1173</v>
      </c>
      <c r="C71">
        <v>6300</v>
      </c>
      <c r="D71" t="s">
        <v>1131</v>
      </c>
      <c r="E71">
        <v>85000</v>
      </c>
      <c r="F71" t="s">
        <v>1499</v>
      </c>
      <c r="G71" t="s">
        <v>1570</v>
      </c>
      <c r="H71" t="s">
        <v>1501</v>
      </c>
    </row>
    <row r="72" spans="1:8" x14ac:dyDescent="0.35">
      <c r="A72">
        <v>20260101</v>
      </c>
      <c r="B72" t="s">
        <v>1173</v>
      </c>
      <c r="C72">
        <v>6420</v>
      </c>
      <c r="D72" t="s">
        <v>1131</v>
      </c>
      <c r="E72">
        <v>25000</v>
      </c>
      <c r="F72" t="s">
        <v>1502</v>
      </c>
      <c r="G72" t="s">
        <v>1571</v>
      </c>
      <c r="H72" t="s">
        <v>1504</v>
      </c>
    </row>
    <row r="73" spans="1:8" x14ac:dyDescent="0.35">
      <c r="A73">
        <v>20260101</v>
      </c>
      <c r="B73" t="s">
        <v>1173</v>
      </c>
      <c r="C73">
        <v>7130</v>
      </c>
      <c r="D73" t="s">
        <v>1131</v>
      </c>
      <c r="E73">
        <v>23390</v>
      </c>
      <c r="F73" t="s">
        <v>1505</v>
      </c>
      <c r="G73" t="s">
        <v>1572</v>
      </c>
      <c r="H73" t="s">
        <v>1507</v>
      </c>
    </row>
    <row r="74" spans="1:8" x14ac:dyDescent="0.35">
      <c r="A74">
        <v>20260101</v>
      </c>
      <c r="B74" t="s">
        <v>1255</v>
      </c>
      <c r="C74">
        <v>5100</v>
      </c>
      <c r="D74" t="s">
        <v>493</v>
      </c>
      <c r="E74">
        <v>82621.7</v>
      </c>
      <c r="F74" t="s">
        <v>1508</v>
      </c>
      <c r="G74" t="s">
        <v>1573</v>
      </c>
      <c r="H74" t="s">
        <v>1510</v>
      </c>
    </row>
    <row r="75" spans="1:8" x14ac:dyDescent="0.35">
      <c r="A75">
        <v>20260101</v>
      </c>
      <c r="B75" t="s">
        <v>1255</v>
      </c>
      <c r="C75">
        <v>6800</v>
      </c>
      <c r="D75" t="s">
        <v>493</v>
      </c>
      <c r="E75">
        <v>35409.300000000003</v>
      </c>
      <c r="F75" t="s">
        <v>1511</v>
      </c>
      <c r="G75" t="s">
        <v>1574</v>
      </c>
      <c r="H75" t="s">
        <v>1513</v>
      </c>
    </row>
    <row r="76" spans="1:8" x14ac:dyDescent="0.35">
      <c r="A76">
        <v>20260101</v>
      </c>
      <c r="B76" t="s">
        <v>1255</v>
      </c>
      <c r="C76">
        <v>3450</v>
      </c>
      <c r="D76" t="s">
        <v>493</v>
      </c>
      <c r="E76">
        <v>-110000</v>
      </c>
      <c r="F76" t="s">
        <v>1523</v>
      </c>
      <c r="G76" t="s">
        <v>1575</v>
      </c>
      <c r="H76" t="s">
        <v>1525</v>
      </c>
    </row>
    <row r="77" spans="1:8" x14ac:dyDescent="0.35">
      <c r="A77">
        <v>20260101</v>
      </c>
      <c r="B77" t="s">
        <v>1155</v>
      </c>
      <c r="C77">
        <v>5000</v>
      </c>
      <c r="D77" t="s">
        <v>1131</v>
      </c>
      <c r="E77">
        <v>476925</v>
      </c>
      <c r="F77" t="s">
        <v>1151</v>
      </c>
      <c r="G77" t="s">
        <v>1161</v>
      </c>
      <c r="H77" t="s">
        <v>1152</v>
      </c>
    </row>
    <row r="78" spans="1:8" x14ac:dyDescent="0.35">
      <c r="A78">
        <v>20260101</v>
      </c>
      <c r="B78" t="s">
        <v>1155</v>
      </c>
      <c r="C78">
        <v>5400</v>
      </c>
      <c r="D78" t="s">
        <v>1131</v>
      </c>
      <c r="E78">
        <v>67246.42</v>
      </c>
      <c r="F78" t="s">
        <v>632</v>
      </c>
      <c r="G78" t="s">
        <v>1576</v>
      </c>
      <c r="H78" t="s">
        <v>1152</v>
      </c>
    </row>
    <row r="79" spans="1:8" x14ac:dyDescent="0.35">
      <c r="A79">
        <v>20260101</v>
      </c>
      <c r="B79" t="s">
        <v>1155</v>
      </c>
      <c r="C79">
        <v>5420</v>
      </c>
      <c r="D79" t="s">
        <v>1131</v>
      </c>
      <c r="E79">
        <v>47692.5</v>
      </c>
      <c r="F79" t="s">
        <v>1497</v>
      </c>
      <c r="G79" t="s">
        <v>1577</v>
      </c>
      <c r="H79" t="s">
        <v>1152</v>
      </c>
    </row>
    <row r="80" spans="1:8" x14ac:dyDescent="0.35">
      <c r="A80">
        <v>20260101</v>
      </c>
      <c r="B80" t="s">
        <v>1155</v>
      </c>
      <c r="C80">
        <v>6300</v>
      </c>
      <c r="D80" t="s">
        <v>1131</v>
      </c>
      <c r="E80">
        <v>85000</v>
      </c>
      <c r="F80" t="s">
        <v>1499</v>
      </c>
      <c r="G80" t="s">
        <v>1578</v>
      </c>
      <c r="H80" t="s">
        <v>1501</v>
      </c>
    </row>
    <row r="81" spans="1:8" x14ac:dyDescent="0.35">
      <c r="A81">
        <v>20260101</v>
      </c>
      <c r="B81" t="s">
        <v>1155</v>
      </c>
      <c r="C81">
        <v>6420</v>
      </c>
      <c r="D81" t="s">
        <v>1131</v>
      </c>
      <c r="E81">
        <v>25000</v>
      </c>
      <c r="F81" t="s">
        <v>1502</v>
      </c>
      <c r="G81" t="s">
        <v>1579</v>
      </c>
      <c r="H81" t="s">
        <v>1504</v>
      </c>
    </row>
    <row r="82" spans="1:8" x14ac:dyDescent="0.35">
      <c r="A82">
        <v>20260101</v>
      </c>
      <c r="B82" t="s">
        <v>1155</v>
      </c>
      <c r="C82">
        <v>7130</v>
      </c>
      <c r="D82" t="s">
        <v>1131</v>
      </c>
      <c r="E82">
        <v>22856</v>
      </c>
      <c r="F82" t="s">
        <v>1505</v>
      </c>
      <c r="G82" t="s">
        <v>1580</v>
      </c>
      <c r="H82" t="s">
        <v>1507</v>
      </c>
    </row>
    <row r="83" spans="1:8" x14ac:dyDescent="0.35">
      <c r="A83">
        <v>20260101</v>
      </c>
      <c r="B83" t="s">
        <v>1138</v>
      </c>
      <c r="C83">
        <v>5000</v>
      </c>
      <c r="D83" t="s">
        <v>1131</v>
      </c>
      <c r="E83">
        <v>457493</v>
      </c>
      <c r="F83" t="s">
        <v>1151</v>
      </c>
      <c r="G83" t="s">
        <v>1193</v>
      </c>
      <c r="H83" t="s">
        <v>1152</v>
      </c>
    </row>
    <row r="84" spans="1:8" x14ac:dyDescent="0.35">
      <c r="A84">
        <v>20260101</v>
      </c>
      <c r="B84" t="s">
        <v>1138</v>
      </c>
      <c r="C84">
        <v>5400</v>
      </c>
      <c r="D84" t="s">
        <v>1131</v>
      </c>
      <c r="E84">
        <v>64506.51</v>
      </c>
      <c r="F84" t="s">
        <v>632</v>
      </c>
      <c r="G84" t="s">
        <v>1581</v>
      </c>
      <c r="H84" t="s">
        <v>1152</v>
      </c>
    </row>
    <row r="85" spans="1:8" x14ac:dyDescent="0.35">
      <c r="A85">
        <v>20260101</v>
      </c>
      <c r="B85" t="s">
        <v>1138</v>
      </c>
      <c r="C85">
        <v>5420</v>
      </c>
      <c r="D85" t="s">
        <v>1131</v>
      </c>
      <c r="E85">
        <v>45749.3</v>
      </c>
      <c r="F85" t="s">
        <v>1497</v>
      </c>
      <c r="G85" t="s">
        <v>1582</v>
      </c>
      <c r="H85" t="s">
        <v>1152</v>
      </c>
    </row>
    <row r="86" spans="1:8" x14ac:dyDescent="0.35">
      <c r="A86">
        <v>20260101</v>
      </c>
      <c r="B86" t="s">
        <v>1138</v>
      </c>
      <c r="C86">
        <v>6300</v>
      </c>
      <c r="D86" t="s">
        <v>1131</v>
      </c>
      <c r="E86">
        <v>85000</v>
      </c>
      <c r="F86" t="s">
        <v>1499</v>
      </c>
      <c r="G86" t="s">
        <v>1583</v>
      </c>
      <c r="H86" t="s">
        <v>1501</v>
      </c>
    </row>
    <row r="87" spans="1:8" x14ac:dyDescent="0.35">
      <c r="A87">
        <v>20260101</v>
      </c>
      <c r="B87" t="s">
        <v>1138</v>
      </c>
      <c r="C87">
        <v>6420</v>
      </c>
      <c r="D87" t="s">
        <v>1131</v>
      </c>
      <c r="E87">
        <v>25000</v>
      </c>
      <c r="F87" t="s">
        <v>1502</v>
      </c>
      <c r="G87" t="s">
        <v>1584</v>
      </c>
      <c r="H87" t="s">
        <v>1504</v>
      </c>
    </row>
    <row r="88" spans="1:8" x14ac:dyDescent="0.35">
      <c r="A88">
        <v>20260101</v>
      </c>
      <c r="B88" t="s">
        <v>1138</v>
      </c>
      <c r="C88">
        <v>7130</v>
      </c>
      <c r="D88" t="s">
        <v>1131</v>
      </c>
      <c r="E88">
        <v>12223</v>
      </c>
      <c r="F88" t="s">
        <v>1505</v>
      </c>
      <c r="G88" t="s">
        <v>1585</v>
      </c>
      <c r="H88" t="s">
        <v>1507</v>
      </c>
    </row>
    <row r="89" spans="1:8" x14ac:dyDescent="0.35">
      <c r="A89">
        <v>20260201</v>
      </c>
      <c r="B89" t="s">
        <v>1150</v>
      </c>
      <c r="C89">
        <v>5000</v>
      </c>
      <c r="D89" t="s">
        <v>1131</v>
      </c>
      <c r="E89">
        <v>459439</v>
      </c>
      <c r="F89" t="s">
        <v>1151</v>
      </c>
      <c r="G89" t="s">
        <v>1191</v>
      </c>
      <c r="H89" t="s">
        <v>1152</v>
      </c>
    </row>
    <row r="90" spans="1:8" x14ac:dyDescent="0.35">
      <c r="A90">
        <v>20260201</v>
      </c>
      <c r="B90" t="s">
        <v>1150</v>
      </c>
      <c r="C90">
        <v>5400</v>
      </c>
      <c r="D90" t="s">
        <v>1131</v>
      </c>
      <c r="E90">
        <v>64780.9</v>
      </c>
      <c r="F90" t="s">
        <v>632</v>
      </c>
      <c r="G90" t="s">
        <v>1586</v>
      </c>
      <c r="H90" t="s">
        <v>1152</v>
      </c>
    </row>
    <row r="91" spans="1:8" x14ac:dyDescent="0.35">
      <c r="A91">
        <v>20260201</v>
      </c>
      <c r="B91" t="s">
        <v>1150</v>
      </c>
      <c r="C91">
        <v>5420</v>
      </c>
      <c r="D91" t="s">
        <v>1131</v>
      </c>
      <c r="E91">
        <v>45943.9</v>
      </c>
      <c r="F91" t="s">
        <v>1497</v>
      </c>
      <c r="G91" t="s">
        <v>1587</v>
      </c>
      <c r="H91" t="s">
        <v>1152</v>
      </c>
    </row>
    <row r="92" spans="1:8" x14ac:dyDescent="0.35">
      <c r="A92">
        <v>20260201</v>
      </c>
      <c r="B92" t="s">
        <v>1150</v>
      </c>
      <c r="C92">
        <v>6300</v>
      </c>
      <c r="D92" t="s">
        <v>1131</v>
      </c>
      <c r="E92">
        <v>85000</v>
      </c>
      <c r="F92" t="s">
        <v>1499</v>
      </c>
      <c r="G92" t="s">
        <v>1588</v>
      </c>
      <c r="H92" t="s">
        <v>1501</v>
      </c>
    </row>
    <row r="93" spans="1:8" x14ac:dyDescent="0.35">
      <c r="A93">
        <v>20260201</v>
      </c>
      <c r="B93" t="s">
        <v>1150</v>
      </c>
      <c r="C93">
        <v>6420</v>
      </c>
      <c r="D93" t="s">
        <v>1131</v>
      </c>
      <c r="E93">
        <v>25000</v>
      </c>
      <c r="F93" t="s">
        <v>1502</v>
      </c>
      <c r="G93" t="s">
        <v>1589</v>
      </c>
      <c r="H93" t="s">
        <v>1504</v>
      </c>
    </row>
    <row r="94" spans="1:8" x14ac:dyDescent="0.35">
      <c r="A94">
        <v>20260201</v>
      </c>
      <c r="B94" t="s">
        <v>1150</v>
      </c>
      <c r="C94">
        <v>7130</v>
      </c>
      <c r="D94" t="s">
        <v>1131</v>
      </c>
      <c r="E94">
        <v>24309</v>
      </c>
      <c r="F94" t="s">
        <v>1505</v>
      </c>
      <c r="G94" t="s">
        <v>1590</v>
      </c>
      <c r="H94" t="s">
        <v>1507</v>
      </c>
    </row>
    <row r="95" spans="1:8" x14ac:dyDescent="0.35">
      <c r="A95">
        <v>20260201</v>
      </c>
      <c r="B95" t="s">
        <v>1272</v>
      </c>
      <c r="C95">
        <v>5100</v>
      </c>
      <c r="D95" t="s">
        <v>480</v>
      </c>
      <c r="E95">
        <v>86261.7</v>
      </c>
      <c r="F95" t="s">
        <v>1508</v>
      </c>
      <c r="G95" t="s">
        <v>1591</v>
      </c>
      <c r="H95" t="s">
        <v>1510</v>
      </c>
    </row>
    <row r="96" spans="1:8" x14ac:dyDescent="0.35">
      <c r="A96">
        <v>20260201</v>
      </c>
      <c r="B96" t="s">
        <v>1272</v>
      </c>
      <c r="C96">
        <v>6800</v>
      </c>
      <c r="D96" t="s">
        <v>480</v>
      </c>
      <c r="E96">
        <v>36969.300000000003</v>
      </c>
      <c r="F96" t="s">
        <v>1511</v>
      </c>
      <c r="G96" t="s">
        <v>1592</v>
      </c>
      <c r="H96" t="s">
        <v>1513</v>
      </c>
    </row>
    <row r="97" spans="1:8" x14ac:dyDescent="0.35">
      <c r="A97">
        <v>20260201</v>
      </c>
      <c r="B97" t="s">
        <v>1272</v>
      </c>
      <c r="C97">
        <v>3420</v>
      </c>
      <c r="D97" t="s">
        <v>480</v>
      </c>
      <c r="E97">
        <v>-123231</v>
      </c>
      <c r="F97" t="s">
        <v>1269</v>
      </c>
      <c r="G97" t="s">
        <v>1593</v>
      </c>
      <c r="H97" t="s">
        <v>1270</v>
      </c>
    </row>
    <row r="98" spans="1:8" x14ac:dyDescent="0.35">
      <c r="A98">
        <v>20260201</v>
      </c>
      <c r="B98" t="s">
        <v>1272</v>
      </c>
      <c r="C98">
        <v>2180</v>
      </c>
      <c r="D98" t="s">
        <v>480</v>
      </c>
      <c r="E98">
        <v>123231</v>
      </c>
      <c r="F98" t="s">
        <v>1266</v>
      </c>
      <c r="G98" t="s">
        <v>1594</v>
      </c>
      <c r="H98" t="s">
        <v>1267</v>
      </c>
    </row>
    <row r="99" spans="1:8" x14ac:dyDescent="0.35">
      <c r="A99">
        <v>20260201</v>
      </c>
      <c r="B99" t="s">
        <v>1158</v>
      </c>
      <c r="C99">
        <v>5000</v>
      </c>
      <c r="D99" t="s">
        <v>1131</v>
      </c>
      <c r="E99">
        <v>430425</v>
      </c>
      <c r="F99" t="s">
        <v>1151</v>
      </c>
      <c r="G99" t="s">
        <v>1241</v>
      </c>
      <c r="H99" t="s">
        <v>1152</v>
      </c>
    </row>
    <row r="100" spans="1:8" x14ac:dyDescent="0.35">
      <c r="A100">
        <v>20260201</v>
      </c>
      <c r="B100" t="s">
        <v>1158</v>
      </c>
      <c r="C100">
        <v>5400</v>
      </c>
      <c r="D100" t="s">
        <v>1131</v>
      </c>
      <c r="E100">
        <v>60689.919999999998</v>
      </c>
      <c r="F100" t="s">
        <v>632</v>
      </c>
      <c r="G100" t="s">
        <v>1595</v>
      </c>
      <c r="H100" t="s">
        <v>1152</v>
      </c>
    </row>
    <row r="101" spans="1:8" x14ac:dyDescent="0.35">
      <c r="A101">
        <v>20260201</v>
      </c>
      <c r="B101" t="s">
        <v>1158</v>
      </c>
      <c r="C101">
        <v>5420</v>
      </c>
      <c r="D101" t="s">
        <v>1131</v>
      </c>
      <c r="E101">
        <v>43042.5</v>
      </c>
      <c r="F101" t="s">
        <v>1497</v>
      </c>
      <c r="G101" t="s">
        <v>1596</v>
      </c>
      <c r="H101" t="s">
        <v>1152</v>
      </c>
    </row>
    <row r="102" spans="1:8" x14ac:dyDescent="0.35">
      <c r="A102">
        <v>20260201</v>
      </c>
      <c r="B102" t="s">
        <v>1158</v>
      </c>
      <c r="C102">
        <v>6300</v>
      </c>
      <c r="D102" t="s">
        <v>1131</v>
      </c>
      <c r="E102">
        <v>85000</v>
      </c>
      <c r="F102" t="s">
        <v>1499</v>
      </c>
      <c r="G102" t="s">
        <v>1597</v>
      </c>
      <c r="H102" t="s">
        <v>1501</v>
      </c>
    </row>
    <row r="103" spans="1:8" x14ac:dyDescent="0.35">
      <c r="A103">
        <v>20260201</v>
      </c>
      <c r="B103" t="s">
        <v>1158</v>
      </c>
      <c r="C103">
        <v>6420</v>
      </c>
      <c r="D103" t="s">
        <v>1131</v>
      </c>
      <c r="E103">
        <v>25000</v>
      </c>
      <c r="F103" t="s">
        <v>1502</v>
      </c>
      <c r="G103" t="s">
        <v>1598</v>
      </c>
      <c r="H103" t="s">
        <v>1504</v>
      </c>
    </row>
    <row r="104" spans="1:8" x14ac:dyDescent="0.35">
      <c r="A104">
        <v>20260201</v>
      </c>
      <c r="B104" t="s">
        <v>1158</v>
      </c>
      <c r="C104">
        <v>7130</v>
      </c>
      <c r="D104" t="s">
        <v>1131</v>
      </c>
      <c r="E104">
        <v>10231</v>
      </c>
      <c r="F104" t="s">
        <v>1505</v>
      </c>
      <c r="G104" t="s">
        <v>1599</v>
      </c>
      <c r="H104" t="s">
        <v>1507</v>
      </c>
    </row>
    <row r="105" spans="1:8" x14ac:dyDescent="0.35">
      <c r="A105">
        <v>20260201</v>
      </c>
      <c r="B105" t="s">
        <v>1243</v>
      </c>
      <c r="C105">
        <v>5100</v>
      </c>
      <c r="D105" t="s">
        <v>493</v>
      </c>
      <c r="E105">
        <v>92887.2</v>
      </c>
      <c r="F105" t="s">
        <v>1508</v>
      </c>
      <c r="G105" t="s">
        <v>1600</v>
      </c>
      <c r="H105" t="s">
        <v>1510</v>
      </c>
    </row>
    <row r="106" spans="1:8" x14ac:dyDescent="0.35">
      <c r="A106">
        <v>20260201</v>
      </c>
      <c r="B106" t="s">
        <v>1243</v>
      </c>
      <c r="C106">
        <v>6800</v>
      </c>
      <c r="D106" t="s">
        <v>493</v>
      </c>
      <c r="E106">
        <v>39808.800000000003</v>
      </c>
      <c r="F106" t="s">
        <v>1511</v>
      </c>
      <c r="G106" t="s">
        <v>1601</v>
      </c>
      <c r="H106" t="s">
        <v>1513</v>
      </c>
    </row>
    <row r="107" spans="1:8" x14ac:dyDescent="0.35">
      <c r="A107">
        <v>20260201</v>
      </c>
      <c r="B107" t="s">
        <v>1243</v>
      </c>
      <c r="C107">
        <v>3450</v>
      </c>
      <c r="D107" t="s">
        <v>493</v>
      </c>
      <c r="E107">
        <v>-110000</v>
      </c>
      <c r="F107" t="s">
        <v>1523</v>
      </c>
      <c r="G107" t="s">
        <v>1602</v>
      </c>
      <c r="H107" t="s">
        <v>1525</v>
      </c>
    </row>
    <row r="108" spans="1:8" x14ac:dyDescent="0.35">
      <c r="A108">
        <v>20260201</v>
      </c>
      <c r="B108" t="s">
        <v>1205</v>
      </c>
      <c r="C108">
        <v>5000</v>
      </c>
      <c r="D108" t="s">
        <v>1131</v>
      </c>
      <c r="E108">
        <v>452298</v>
      </c>
      <c r="F108" t="s">
        <v>1151</v>
      </c>
      <c r="G108" t="s">
        <v>1204</v>
      </c>
      <c r="H108" t="s">
        <v>1152</v>
      </c>
    </row>
    <row r="109" spans="1:8" x14ac:dyDescent="0.35">
      <c r="A109">
        <v>20260201</v>
      </c>
      <c r="B109" t="s">
        <v>1205</v>
      </c>
      <c r="C109">
        <v>5400</v>
      </c>
      <c r="D109" t="s">
        <v>1131</v>
      </c>
      <c r="E109">
        <v>63774.02</v>
      </c>
      <c r="F109" t="s">
        <v>632</v>
      </c>
      <c r="G109" t="s">
        <v>1603</v>
      </c>
      <c r="H109" t="s">
        <v>1152</v>
      </c>
    </row>
    <row r="110" spans="1:8" x14ac:dyDescent="0.35">
      <c r="A110">
        <v>20260201</v>
      </c>
      <c r="B110" t="s">
        <v>1205</v>
      </c>
      <c r="C110">
        <v>5420</v>
      </c>
      <c r="D110" t="s">
        <v>1131</v>
      </c>
      <c r="E110">
        <v>45229.8</v>
      </c>
      <c r="F110" t="s">
        <v>1497</v>
      </c>
      <c r="G110" t="s">
        <v>1604</v>
      </c>
      <c r="H110" t="s">
        <v>1152</v>
      </c>
    </row>
    <row r="111" spans="1:8" x14ac:dyDescent="0.35">
      <c r="A111">
        <v>20260201</v>
      </c>
      <c r="B111" t="s">
        <v>1205</v>
      </c>
      <c r="C111">
        <v>6300</v>
      </c>
      <c r="D111" t="s">
        <v>1131</v>
      </c>
      <c r="E111">
        <v>85000</v>
      </c>
      <c r="F111" t="s">
        <v>1499</v>
      </c>
      <c r="G111" t="s">
        <v>1605</v>
      </c>
      <c r="H111" t="s">
        <v>1501</v>
      </c>
    </row>
    <row r="112" spans="1:8" x14ac:dyDescent="0.35">
      <c r="A112">
        <v>20260201</v>
      </c>
      <c r="B112" t="s">
        <v>1205</v>
      </c>
      <c r="C112">
        <v>6420</v>
      </c>
      <c r="D112" t="s">
        <v>1131</v>
      </c>
      <c r="E112">
        <v>25000</v>
      </c>
      <c r="F112" t="s">
        <v>1502</v>
      </c>
      <c r="G112" t="s">
        <v>1606</v>
      </c>
      <c r="H112" t="s">
        <v>1504</v>
      </c>
    </row>
    <row r="113" spans="1:8" x14ac:dyDescent="0.35">
      <c r="A113">
        <v>20260201</v>
      </c>
      <c r="B113" t="s">
        <v>1205</v>
      </c>
      <c r="C113">
        <v>7130</v>
      </c>
      <c r="D113" t="s">
        <v>1131</v>
      </c>
      <c r="E113">
        <v>14105</v>
      </c>
      <c r="F113" t="s">
        <v>1505</v>
      </c>
      <c r="G113" t="s">
        <v>1607</v>
      </c>
      <c r="H113" t="s">
        <v>1507</v>
      </c>
    </row>
    <row r="114" spans="1:8" x14ac:dyDescent="0.35">
      <c r="A114">
        <v>20260201</v>
      </c>
      <c r="B114" t="s">
        <v>1205</v>
      </c>
      <c r="C114">
        <v>5050</v>
      </c>
      <c r="D114" t="s">
        <v>1131</v>
      </c>
      <c r="E114">
        <v>40094</v>
      </c>
      <c r="F114" t="s">
        <v>1531</v>
      </c>
      <c r="G114" t="s">
        <v>1608</v>
      </c>
      <c r="H114" t="s">
        <v>1533</v>
      </c>
    </row>
    <row r="115" spans="1:8" x14ac:dyDescent="0.35">
      <c r="A115">
        <v>20260201</v>
      </c>
      <c r="B115" t="s">
        <v>1257</v>
      </c>
      <c r="C115">
        <v>5100</v>
      </c>
      <c r="D115" t="s">
        <v>493</v>
      </c>
      <c r="E115">
        <v>83377</v>
      </c>
      <c r="F115" t="s">
        <v>1508</v>
      </c>
      <c r="G115" t="s">
        <v>1609</v>
      </c>
      <c r="H115" t="s">
        <v>1510</v>
      </c>
    </row>
    <row r="116" spans="1:8" x14ac:dyDescent="0.35">
      <c r="A116">
        <v>20260201</v>
      </c>
      <c r="B116" t="s">
        <v>1257</v>
      </c>
      <c r="C116">
        <v>6800</v>
      </c>
      <c r="D116" t="s">
        <v>493</v>
      </c>
      <c r="E116">
        <v>35733</v>
      </c>
      <c r="F116" t="s">
        <v>1511</v>
      </c>
      <c r="G116" t="s">
        <v>1610</v>
      </c>
      <c r="H116" t="s">
        <v>1513</v>
      </c>
    </row>
    <row r="117" spans="1:8" x14ac:dyDescent="0.35">
      <c r="A117">
        <v>20260201</v>
      </c>
      <c r="B117" t="s">
        <v>1257</v>
      </c>
      <c r="C117">
        <v>3450</v>
      </c>
      <c r="D117" t="s">
        <v>493</v>
      </c>
      <c r="E117">
        <v>-110000</v>
      </c>
      <c r="F117" t="s">
        <v>1523</v>
      </c>
      <c r="G117" t="s">
        <v>1611</v>
      </c>
      <c r="H117" t="s">
        <v>1525</v>
      </c>
    </row>
    <row r="118" spans="1:8" x14ac:dyDescent="0.35">
      <c r="A118">
        <v>20260201</v>
      </c>
      <c r="B118" t="s">
        <v>1164</v>
      </c>
      <c r="C118">
        <v>5000</v>
      </c>
      <c r="D118" t="s">
        <v>1131</v>
      </c>
      <c r="E118">
        <v>452059</v>
      </c>
      <c r="F118" t="s">
        <v>1151</v>
      </c>
      <c r="G118" t="s">
        <v>1206</v>
      </c>
      <c r="H118" t="s">
        <v>1152</v>
      </c>
    </row>
    <row r="119" spans="1:8" x14ac:dyDescent="0.35">
      <c r="A119">
        <v>20260201</v>
      </c>
      <c r="B119" t="s">
        <v>1164</v>
      </c>
      <c r="C119">
        <v>5400</v>
      </c>
      <c r="D119" t="s">
        <v>1131</v>
      </c>
      <c r="E119">
        <v>63740.32</v>
      </c>
      <c r="F119" t="s">
        <v>632</v>
      </c>
      <c r="G119" t="s">
        <v>1612</v>
      </c>
      <c r="H119" t="s">
        <v>1152</v>
      </c>
    </row>
    <row r="120" spans="1:8" x14ac:dyDescent="0.35">
      <c r="A120">
        <v>20260201</v>
      </c>
      <c r="B120" t="s">
        <v>1164</v>
      </c>
      <c r="C120">
        <v>5420</v>
      </c>
      <c r="D120" t="s">
        <v>1131</v>
      </c>
      <c r="E120">
        <v>45205.9</v>
      </c>
      <c r="F120" t="s">
        <v>1497</v>
      </c>
      <c r="G120" t="s">
        <v>1613</v>
      </c>
      <c r="H120" t="s">
        <v>1152</v>
      </c>
    </row>
    <row r="121" spans="1:8" x14ac:dyDescent="0.35">
      <c r="A121">
        <v>20260201</v>
      </c>
      <c r="B121" t="s">
        <v>1164</v>
      </c>
      <c r="C121">
        <v>6300</v>
      </c>
      <c r="D121" t="s">
        <v>1131</v>
      </c>
      <c r="E121">
        <v>85000</v>
      </c>
      <c r="F121" t="s">
        <v>1499</v>
      </c>
      <c r="G121" t="s">
        <v>1614</v>
      </c>
      <c r="H121" t="s">
        <v>1501</v>
      </c>
    </row>
    <row r="122" spans="1:8" x14ac:dyDescent="0.35">
      <c r="A122">
        <v>20260201</v>
      </c>
      <c r="B122" t="s">
        <v>1164</v>
      </c>
      <c r="C122">
        <v>6420</v>
      </c>
      <c r="D122" t="s">
        <v>1131</v>
      </c>
      <c r="E122">
        <v>25000</v>
      </c>
      <c r="F122" t="s">
        <v>1502</v>
      </c>
      <c r="G122" t="s">
        <v>1615</v>
      </c>
      <c r="H122" t="s">
        <v>1504</v>
      </c>
    </row>
    <row r="123" spans="1:8" x14ac:dyDescent="0.35">
      <c r="A123">
        <v>20260201</v>
      </c>
      <c r="B123" t="s">
        <v>1164</v>
      </c>
      <c r="C123">
        <v>7130</v>
      </c>
      <c r="D123" t="s">
        <v>1131</v>
      </c>
      <c r="E123">
        <v>8349</v>
      </c>
      <c r="F123" t="s">
        <v>1505</v>
      </c>
      <c r="G123" t="s">
        <v>1616</v>
      </c>
      <c r="H123" t="s">
        <v>1507</v>
      </c>
    </row>
    <row r="124" spans="1:8" x14ac:dyDescent="0.35">
      <c r="A124">
        <v>20260201</v>
      </c>
      <c r="B124" t="s">
        <v>1249</v>
      </c>
      <c r="C124">
        <v>5100</v>
      </c>
      <c r="D124" t="s">
        <v>493</v>
      </c>
      <c r="E124">
        <v>77754.599999999991</v>
      </c>
      <c r="F124" t="s">
        <v>1508</v>
      </c>
      <c r="G124" t="s">
        <v>1617</v>
      </c>
      <c r="H124" t="s">
        <v>1510</v>
      </c>
    </row>
    <row r="125" spans="1:8" x14ac:dyDescent="0.35">
      <c r="A125">
        <v>20260201</v>
      </c>
      <c r="B125" t="s">
        <v>1249</v>
      </c>
      <c r="C125">
        <v>6800</v>
      </c>
      <c r="D125" t="s">
        <v>493</v>
      </c>
      <c r="E125">
        <v>33323.4</v>
      </c>
      <c r="F125" t="s">
        <v>1511</v>
      </c>
      <c r="G125" t="s">
        <v>1618</v>
      </c>
      <c r="H125" t="s">
        <v>1513</v>
      </c>
    </row>
    <row r="126" spans="1:8" x14ac:dyDescent="0.35">
      <c r="A126">
        <v>20260201</v>
      </c>
      <c r="B126" t="s">
        <v>1249</v>
      </c>
      <c r="C126">
        <v>3450</v>
      </c>
      <c r="D126" t="s">
        <v>493</v>
      </c>
      <c r="E126">
        <v>-110000</v>
      </c>
      <c r="F126" t="s">
        <v>1523</v>
      </c>
      <c r="G126" t="s">
        <v>1619</v>
      </c>
      <c r="H126" t="s">
        <v>1525</v>
      </c>
    </row>
    <row r="127" spans="1:8" x14ac:dyDescent="0.35">
      <c r="A127">
        <v>20260201</v>
      </c>
      <c r="B127" t="s">
        <v>1169</v>
      </c>
      <c r="C127">
        <v>5000</v>
      </c>
      <c r="D127" t="s">
        <v>1131</v>
      </c>
      <c r="E127">
        <v>454898</v>
      </c>
      <c r="F127" t="s">
        <v>1151</v>
      </c>
      <c r="G127" t="s">
        <v>1198</v>
      </c>
      <c r="H127" t="s">
        <v>1152</v>
      </c>
    </row>
    <row r="128" spans="1:8" x14ac:dyDescent="0.35">
      <c r="A128">
        <v>20260201</v>
      </c>
      <c r="B128" t="s">
        <v>1169</v>
      </c>
      <c r="C128">
        <v>5400</v>
      </c>
      <c r="D128" t="s">
        <v>1131</v>
      </c>
      <c r="E128">
        <v>64140.62</v>
      </c>
      <c r="F128" t="s">
        <v>632</v>
      </c>
      <c r="G128" t="s">
        <v>1620</v>
      </c>
      <c r="H128" t="s">
        <v>1152</v>
      </c>
    </row>
    <row r="129" spans="1:8" x14ac:dyDescent="0.35">
      <c r="A129">
        <v>20260201</v>
      </c>
      <c r="B129" t="s">
        <v>1169</v>
      </c>
      <c r="C129">
        <v>5420</v>
      </c>
      <c r="D129" t="s">
        <v>1131</v>
      </c>
      <c r="E129">
        <v>45489.8</v>
      </c>
      <c r="F129" t="s">
        <v>1497</v>
      </c>
      <c r="G129" t="s">
        <v>1621</v>
      </c>
      <c r="H129" t="s">
        <v>1152</v>
      </c>
    </row>
    <row r="130" spans="1:8" x14ac:dyDescent="0.35">
      <c r="A130">
        <v>20260201</v>
      </c>
      <c r="B130" t="s">
        <v>1169</v>
      </c>
      <c r="C130">
        <v>6300</v>
      </c>
      <c r="D130" t="s">
        <v>1131</v>
      </c>
      <c r="E130">
        <v>85000</v>
      </c>
      <c r="F130" t="s">
        <v>1499</v>
      </c>
      <c r="G130" t="s">
        <v>1622</v>
      </c>
      <c r="H130" t="s">
        <v>1501</v>
      </c>
    </row>
    <row r="131" spans="1:8" x14ac:dyDescent="0.35">
      <c r="A131">
        <v>20260201</v>
      </c>
      <c r="B131" t="s">
        <v>1169</v>
      </c>
      <c r="C131">
        <v>6420</v>
      </c>
      <c r="D131" t="s">
        <v>1131</v>
      </c>
      <c r="E131">
        <v>25000</v>
      </c>
      <c r="F131" t="s">
        <v>1502</v>
      </c>
      <c r="G131" t="s">
        <v>1623</v>
      </c>
      <c r="H131" t="s">
        <v>1504</v>
      </c>
    </row>
    <row r="132" spans="1:8" x14ac:dyDescent="0.35">
      <c r="A132">
        <v>20260201</v>
      </c>
      <c r="B132" t="s">
        <v>1169</v>
      </c>
      <c r="C132">
        <v>7130</v>
      </c>
      <c r="D132" t="s">
        <v>1131</v>
      </c>
      <c r="E132">
        <v>8169</v>
      </c>
      <c r="F132" t="s">
        <v>1505</v>
      </c>
      <c r="G132" t="s">
        <v>1624</v>
      </c>
      <c r="H132" t="s">
        <v>1507</v>
      </c>
    </row>
    <row r="133" spans="1:8" x14ac:dyDescent="0.35">
      <c r="A133">
        <v>20260201</v>
      </c>
      <c r="B133" t="s">
        <v>1260</v>
      </c>
      <c r="C133">
        <v>5100</v>
      </c>
      <c r="D133" t="s">
        <v>493</v>
      </c>
      <c r="E133">
        <v>89968.2</v>
      </c>
      <c r="F133" t="s">
        <v>1508</v>
      </c>
      <c r="G133" t="s">
        <v>1625</v>
      </c>
      <c r="H133" t="s">
        <v>1510</v>
      </c>
    </row>
    <row r="134" spans="1:8" x14ac:dyDescent="0.35">
      <c r="A134">
        <v>20260201</v>
      </c>
      <c r="B134" t="s">
        <v>1260</v>
      </c>
      <c r="C134">
        <v>6800</v>
      </c>
      <c r="D134" t="s">
        <v>493</v>
      </c>
      <c r="E134">
        <v>38557.800000000003</v>
      </c>
      <c r="F134" t="s">
        <v>1511</v>
      </c>
      <c r="G134" t="s">
        <v>1626</v>
      </c>
      <c r="H134" t="s">
        <v>1513</v>
      </c>
    </row>
    <row r="135" spans="1:8" x14ac:dyDescent="0.35">
      <c r="A135">
        <v>20260201</v>
      </c>
      <c r="B135" t="s">
        <v>1260</v>
      </c>
      <c r="C135">
        <v>3450</v>
      </c>
      <c r="D135" t="s">
        <v>493</v>
      </c>
      <c r="E135">
        <v>-110000</v>
      </c>
      <c r="F135" t="s">
        <v>1523</v>
      </c>
      <c r="G135" t="s">
        <v>1627</v>
      </c>
      <c r="H135" t="s">
        <v>1525</v>
      </c>
    </row>
    <row r="136" spans="1:8" x14ac:dyDescent="0.35">
      <c r="A136">
        <v>20260201</v>
      </c>
      <c r="B136" t="s">
        <v>1175</v>
      </c>
      <c r="C136">
        <v>5000</v>
      </c>
      <c r="D136" t="s">
        <v>1131</v>
      </c>
      <c r="E136">
        <v>452541</v>
      </c>
      <c r="F136" t="s">
        <v>1151</v>
      </c>
      <c r="G136" t="s">
        <v>1203</v>
      </c>
      <c r="H136" t="s">
        <v>1152</v>
      </c>
    </row>
    <row r="137" spans="1:8" x14ac:dyDescent="0.35">
      <c r="A137">
        <v>20260201</v>
      </c>
      <c r="B137" t="s">
        <v>1175</v>
      </c>
      <c r="C137">
        <v>5400</v>
      </c>
      <c r="D137" t="s">
        <v>1131</v>
      </c>
      <c r="E137">
        <v>63808.28</v>
      </c>
      <c r="F137" t="s">
        <v>632</v>
      </c>
      <c r="G137" t="s">
        <v>1628</v>
      </c>
      <c r="H137" t="s">
        <v>1152</v>
      </c>
    </row>
    <row r="138" spans="1:8" x14ac:dyDescent="0.35">
      <c r="A138">
        <v>20260201</v>
      </c>
      <c r="B138" t="s">
        <v>1175</v>
      </c>
      <c r="C138">
        <v>5420</v>
      </c>
      <c r="D138" t="s">
        <v>1131</v>
      </c>
      <c r="E138">
        <v>45254.1</v>
      </c>
      <c r="F138" t="s">
        <v>1497</v>
      </c>
      <c r="G138" t="s">
        <v>1629</v>
      </c>
      <c r="H138" t="s">
        <v>1152</v>
      </c>
    </row>
    <row r="139" spans="1:8" x14ac:dyDescent="0.35">
      <c r="A139">
        <v>20260201</v>
      </c>
      <c r="B139" t="s">
        <v>1175</v>
      </c>
      <c r="C139">
        <v>6300</v>
      </c>
      <c r="D139" t="s">
        <v>1131</v>
      </c>
      <c r="E139">
        <v>85000</v>
      </c>
      <c r="F139" t="s">
        <v>1499</v>
      </c>
      <c r="G139" t="s">
        <v>1630</v>
      </c>
      <c r="H139" t="s">
        <v>1501</v>
      </c>
    </row>
    <row r="140" spans="1:8" x14ac:dyDescent="0.35">
      <c r="A140">
        <v>20260201</v>
      </c>
      <c r="B140" t="s">
        <v>1175</v>
      </c>
      <c r="C140">
        <v>6420</v>
      </c>
      <c r="D140" t="s">
        <v>1131</v>
      </c>
      <c r="E140">
        <v>25000</v>
      </c>
      <c r="F140" t="s">
        <v>1502</v>
      </c>
      <c r="G140" t="s">
        <v>1631</v>
      </c>
      <c r="H140" t="s">
        <v>1504</v>
      </c>
    </row>
    <row r="141" spans="1:8" x14ac:dyDescent="0.35">
      <c r="A141">
        <v>20260201</v>
      </c>
      <c r="B141" t="s">
        <v>1175</v>
      </c>
      <c r="C141">
        <v>7130</v>
      </c>
      <c r="D141" t="s">
        <v>1131</v>
      </c>
      <c r="E141">
        <v>24782</v>
      </c>
      <c r="F141" t="s">
        <v>1505</v>
      </c>
      <c r="G141" t="s">
        <v>1632</v>
      </c>
      <c r="H141" t="s">
        <v>1507</v>
      </c>
    </row>
    <row r="142" spans="1:8" x14ac:dyDescent="0.35">
      <c r="A142">
        <v>20260201</v>
      </c>
      <c r="B142" t="s">
        <v>1247</v>
      </c>
      <c r="C142">
        <v>5100</v>
      </c>
      <c r="D142" t="s">
        <v>493</v>
      </c>
      <c r="E142">
        <v>85634.5</v>
      </c>
      <c r="F142" t="s">
        <v>1508</v>
      </c>
      <c r="G142" t="s">
        <v>1633</v>
      </c>
      <c r="H142" t="s">
        <v>1510</v>
      </c>
    </row>
    <row r="143" spans="1:8" x14ac:dyDescent="0.35">
      <c r="A143">
        <v>20260201</v>
      </c>
      <c r="B143" t="s">
        <v>1247</v>
      </c>
      <c r="C143">
        <v>6800</v>
      </c>
      <c r="D143" t="s">
        <v>493</v>
      </c>
      <c r="E143">
        <v>36700.5</v>
      </c>
      <c r="F143" t="s">
        <v>1511</v>
      </c>
      <c r="G143" t="s">
        <v>1634</v>
      </c>
      <c r="H143" t="s">
        <v>1513</v>
      </c>
    </row>
    <row r="144" spans="1:8" x14ac:dyDescent="0.35">
      <c r="A144">
        <v>20260201</v>
      </c>
      <c r="B144" t="s">
        <v>1247</v>
      </c>
      <c r="C144">
        <v>3450</v>
      </c>
      <c r="D144" t="s">
        <v>493</v>
      </c>
      <c r="E144">
        <v>-110000</v>
      </c>
      <c r="F144" t="s">
        <v>1523</v>
      </c>
      <c r="G144" t="s">
        <v>1635</v>
      </c>
      <c r="H144" t="s">
        <v>1525</v>
      </c>
    </row>
    <row r="145" spans="1:8" x14ac:dyDescent="0.35">
      <c r="A145">
        <v>20260201</v>
      </c>
      <c r="B145" t="s">
        <v>1130</v>
      </c>
      <c r="C145">
        <v>5000</v>
      </c>
      <c r="D145" t="s">
        <v>1131</v>
      </c>
      <c r="E145">
        <v>432847</v>
      </c>
      <c r="F145" t="s">
        <v>1151</v>
      </c>
      <c r="G145" t="s">
        <v>1235</v>
      </c>
      <c r="H145" t="s">
        <v>1152</v>
      </c>
    </row>
    <row r="146" spans="1:8" x14ac:dyDescent="0.35">
      <c r="A146">
        <v>20260201</v>
      </c>
      <c r="B146" t="s">
        <v>1130</v>
      </c>
      <c r="C146">
        <v>5400</v>
      </c>
      <c r="D146" t="s">
        <v>1131</v>
      </c>
      <c r="E146">
        <v>61031.43</v>
      </c>
      <c r="F146" t="s">
        <v>632</v>
      </c>
      <c r="G146" t="s">
        <v>1636</v>
      </c>
      <c r="H146" t="s">
        <v>1152</v>
      </c>
    </row>
    <row r="147" spans="1:8" x14ac:dyDescent="0.35">
      <c r="A147">
        <v>20260201</v>
      </c>
      <c r="B147" t="s">
        <v>1130</v>
      </c>
      <c r="C147">
        <v>5420</v>
      </c>
      <c r="D147" t="s">
        <v>1131</v>
      </c>
      <c r="E147">
        <v>43284.7</v>
      </c>
      <c r="F147" t="s">
        <v>1497</v>
      </c>
      <c r="G147" t="s">
        <v>1637</v>
      </c>
      <c r="H147" t="s">
        <v>1152</v>
      </c>
    </row>
    <row r="148" spans="1:8" x14ac:dyDescent="0.35">
      <c r="A148">
        <v>20260201</v>
      </c>
      <c r="B148" t="s">
        <v>1130</v>
      </c>
      <c r="C148">
        <v>6300</v>
      </c>
      <c r="D148" t="s">
        <v>1131</v>
      </c>
      <c r="E148">
        <v>85000</v>
      </c>
      <c r="F148" t="s">
        <v>1499</v>
      </c>
      <c r="G148" t="s">
        <v>1638</v>
      </c>
      <c r="H148" t="s">
        <v>1501</v>
      </c>
    </row>
    <row r="149" spans="1:8" x14ac:dyDescent="0.35">
      <c r="A149">
        <v>20260201</v>
      </c>
      <c r="B149" t="s">
        <v>1130</v>
      </c>
      <c r="C149">
        <v>6420</v>
      </c>
      <c r="D149" t="s">
        <v>1131</v>
      </c>
      <c r="E149">
        <v>25000</v>
      </c>
      <c r="F149" t="s">
        <v>1502</v>
      </c>
      <c r="G149" t="s">
        <v>1639</v>
      </c>
      <c r="H149" t="s">
        <v>1504</v>
      </c>
    </row>
    <row r="150" spans="1:8" x14ac:dyDescent="0.35">
      <c r="A150">
        <v>20260201</v>
      </c>
      <c r="B150" t="s">
        <v>1130</v>
      </c>
      <c r="C150">
        <v>7130</v>
      </c>
      <c r="D150" t="s">
        <v>1131</v>
      </c>
      <c r="E150">
        <v>20054</v>
      </c>
      <c r="F150" t="s">
        <v>1505</v>
      </c>
      <c r="G150" t="s">
        <v>1640</v>
      </c>
      <c r="H150" t="s">
        <v>1507</v>
      </c>
    </row>
    <row r="151" spans="1:8" x14ac:dyDescent="0.35">
      <c r="A151">
        <v>20260201</v>
      </c>
      <c r="B151" t="s">
        <v>1265</v>
      </c>
      <c r="C151">
        <v>5100</v>
      </c>
      <c r="D151" t="s">
        <v>485</v>
      </c>
      <c r="E151">
        <v>98099.4</v>
      </c>
      <c r="F151" t="s">
        <v>1508</v>
      </c>
      <c r="G151" t="s">
        <v>1641</v>
      </c>
      <c r="H151" t="s">
        <v>1510</v>
      </c>
    </row>
    <row r="152" spans="1:8" x14ac:dyDescent="0.35">
      <c r="A152">
        <v>20260201</v>
      </c>
      <c r="B152" t="s">
        <v>1265</v>
      </c>
      <c r="C152">
        <v>6800</v>
      </c>
      <c r="D152" t="s">
        <v>485</v>
      </c>
      <c r="E152">
        <v>42042.6</v>
      </c>
      <c r="F152" t="s">
        <v>1511</v>
      </c>
      <c r="G152" t="s">
        <v>1642</v>
      </c>
      <c r="H152" t="s">
        <v>1513</v>
      </c>
    </row>
    <row r="153" spans="1:8" x14ac:dyDescent="0.35">
      <c r="A153">
        <v>20260201</v>
      </c>
      <c r="B153" t="s">
        <v>1265</v>
      </c>
      <c r="C153">
        <v>3400</v>
      </c>
      <c r="D153" t="s">
        <v>485</v>
      </c>
      <c r="E153">
        <v>-140142</v>
      </c>
      <c r="F153" t="s">
        <v>1269</v>
      </c>
      <c r="G153" t="s">
        <v>1643</v>
      </c>
      <c r="H153" t="s">
        <v>1270</v>
      </c>
    </row>
    <row r="154" spans="1:8" x14ac:dyDescent="0.35">
      <c r="A154">
        <v>20260201</v>
      </c>
      <c r="B154" t="s">
        <v>1265</v>
      </c>
      <c r="C154">
        <v>2180</v>
      </c>
      <c r="D154" t="s">
        <v>485</v>
      </c>
      <c r="E154">
        <v>140142</v>
      </c>
      <c r="F154" t="s">
        <v>1266</v>
      </c>
      <c r="G154" t="s">
        <v>1644</v>
      </c>
      <c r="H154" t="s">
        <v>1267</v>
      </c>
    </row>
    <row r="155" spans="1:8" x14ac:dyDescent="0.35">
      <c r="A155">
        <v>20260201</v>
      </c>
      <c r="B155" t="s">
        <v>1173</v>
      </c>
      <c r="C155">
        <v>5000</v>
      </c>
      <c r="D155" t="s">
        <v>1131</v>
      </c>
      <c r="E155">
        <v>438180</v>
      </c>
      <c r="F155" t="s">
        <v>1151</v>
      </c>
      <c r="G155" t="s">
        <v>1223</v>
      </c>
      <c r="H155" t="s">
        <v>1152</v>
      </c>
    </row>
    <row r="156" spans="1:8" x14ac:dyDescent="0.35">
      <c r="A156">
        <v>20260201</v>
      </c>
      <c r="B156" t="s">
        <v>1173</v>
      </c>
      <c r="C156">
        <v>5400</v>
      </c>
      <c r="D156" t="s">
        <v>1131</v>
      </c>
      <c r="E156">
        <v>61783.38</v>
      </c>
      <c r="F156" t="s">
        <v>632</v>
      </c>
      <c r="G156" t="s">
        <v>1645</v>
      </c>
      <c r="H156" t="s">
        <v>1152</v>
      </c>
    </row>
    <row r="157" spans="1:8" x14ac:dyDescent="0.35">
      <c r="A157">
        <v>20260201</v>
      </c>
      <c r="B157" t="s">
        <v>1173</v>
      </c>
      <c r="C157">
        <v>5420</v>
      </c>
      <c r="D157" t="s">
        <v>1131</v>
      </c>
      <c r="E157">
        <v>43818</v>
      </c>
      <c r="F157" t="s">
        <v>1497</v>
      </c>
      <c r="G157" t="s">
        <v>1646</v>
      </c>
      <c r="H157" t="s">
        <v>1152</v>
      </c>
    </row>
    <row r="158" spans="1:8" x14ac:dyDescent="0.35">
      <c r="A158">
        <v>20260201</v>
      </c>
      <c r="B158" t="s">
        <v>1173</v>
      </c>
      <c r="C158">
        <v>6300</v>
      </c>
      <c r="D158" t="s">
        <v>1131</v>
      </c>
      <c r="E158">
        <v>85000</v>
      </c>
      <c r="F158" t="s">
        <v>1499</v>
      </c>
      <c r="G158" t="s">
        <v>1647</v>
      </c>
      <c r="H158" t="s">
        <v>1501</v>
      </c>
    </row>
    <row r="159" spans="1:8" x14ac:dyDescent="0.35">
      <c r="A159">
        <v>20260201</v>
      </c>
      <c r="B159" t="s">
        <v>1173</v>
      </c>
      <c r="C159">
        <v>6420</v>
      </c>
      <c r="D159" t="s">
        <v>1131</v>
      </c>
      <c r="E159">
        <v>25000</v>
      </c>
      <c r="F159" t="s">
        <v>1502</v>
      </c>
      <c r="G159" t="s">
        <v>1648</v>
      </c>
      <c r="H159" t="s">
        <v>1504</v>
      </c>
    </row>
    <row r="160" spans="1:8" x14ac:dyDescent="0.35">
      <c r="A160">
        <v>20260201</v>
      </c>
      <c r="B160" t="s">
        <v>1173</v>
      </c>
      <c r="C160">
        <v>7130</v>
      </c>
      <c r="D160" t="s">
        <v>1131</v>
      </c>
      <c r="E160">
        <v>17403</v>
      </c>
      <c r="F160" t="s">
        <v>1505</v>
      </c>
      <c r="G160" t="s">
        <v>1649</v>
      </c>
      <c r="H160" t="s">
        <v>1507</v>
      </c>
    </row>
    <row r="161" spans="1:8" x14ac:dyDescent="0.35">
      <c r="A161">
        <v>20260201</v>
      </c>
      <c r="B161" t="s">
        <v>1255</v>
      </c>
      <c r="C161">
        <v>5100</v>
      </c>
      <c r="D161" t="s">
        <v>493</v>
      </c>
      <c r="E161">
        <v>77114.799999999988</v>
      </c>
      <c r="F161" t="s">
        <v>1508</v>
      </c>
      <c r="G161" t="s">
        <v>1650</v>
      </c>
      <c r="H161" t="s">
        <v>1510</v>
      </c>
    </row>
    <row r="162" spans="1:8" x14ac:dyDescent="0.35">
      <c r="A162">
        <v>20260201</v>
      </c>
      <c r="B162" t="s">
        <v>1255</v>
      </c>
      <c r="C162">
        <v>6800</v>
      </c>
      <c r="D162" t="s">
        <v>493</v>
      </c>
      <c r="E162">
        <v>33049.199999999997</v>
      </c>
      <c r="F162" t="s">
        <v>1511</v>
      </c>
      <c r="G162" t="s">
        <v>1651</v>
      </c>
      <c r="H162" t="s">
        <v>1513</v>
      </c>
    </row>
    <row r="163" spans="1:8" x14ac:dyDescent="0.35">
      <c r="A163">
        <v>20260201</v>
      </c>
      <c r="B163" t="s">
        <v>1255</v>
      </c>
      <c r="C163">
        <v>3450</v>
      </c>
      <c r="D163" t="s">
        <v>493</v>
      </c>
      <c r="E163">
        <v>-110000</v>
      </c>
      <c r="F163" t="s">
        <v>1523</v>
      </c>
      <c r="G163" t="s">
        <v>1652</v>
      </c>
      <c r="H163" t="s">
        <v>1525</v>
      </c>
    </row>
    <row r="164" spans="1:8" x14ac:dyDescent="0.35">
      <c r="A164">
        <v>20260201</v>
      </c>
      <c r="B164" t="s">
        <v>1155</v>
      </c>
      <c r="C164">
        <v>5000</v>
      </c>
      <c r="D164" t="s">
        <v>1131</v>
      </c>
      <c r="E164">
        <v>466178</v>
      </c>
      <c r="F164" t="s">
        <v>1151</v>
      </c>
      <c r="G164" t="s">
        <v>1183</v>
      </c>
      <c r="H164" t="s">
        <v>1152</v>
      </c>
    </row>
    <row r="165" spans="1:8" x14ac:dyDescent="0.35">
      <c r="A165">
        <v>20260201</v>
      </c>
      <c r="B165" t="s">
        <v>1155</v>
      </c>
      <c r="C165">
        <v>5400</v>
      </c>
      <c r="D165" t="s">
        <v>1131</v>
      </c>
      <c r="E165">
        <v>65731.100000000006</v>
      </c>
      <c r="F165" t="s">
        <v>632</v>
      </c>
      <c r="G165" t="s">
        <v>1653</v>
      </c>
      <c r="H165" t="s">
        <v>1152</v>
      </c>
    </row>
    <row r="166" spans="1:8" x14ac:dyDescent="0.35">
      <c r="A166">
        <v>20260201</v>
      </c>
      <c r="B166" t="s">
        <v>1155</v>
      </c>
      <c r="C166">
        <v>5420</v>
      </c>
      <c r="D166" t="s">
        <v>1131</v>
      </c>
      <c r="E166">
        <v>46617.8</v>
      </c>
      <c r="F166" t="s">
        <v>1497</v>
      </c>
      <c r="G166" t="s">
        <v>1654</v>
      </c>
      <c r="H166" t="s">
        <v>1152</v>
      </c>
    </row>
    <row r="167" spans="1:8" x14ac:dyDescent="0.35">
      <c r="A167">
        <v>20260201</v>
      </c>
      <c r="B167" t="s">
        <v>1155</v>
      </c>
      <c r="C167">
        <v>6300</v>
      </c>
      <c r="D167" t="s">
        <v>1131</v>
      </c>
      <c r="E167">
        <v>85000</v>
      </c>
      <c r="F167" t="s">
        <v>1499</v>
      </c>
      <c r="G167" t="s">
        <v>1655</v>
      </c>
      <c r="H167" t="s">
        <v>1501</v>
      </c>
    </row>
    <row r="168" spans="1:8" x14ac:dyDescent="0.35">
      <c r="A168">
        <v>20260201</v>
      </c>
      <c r="B168" t="s">
        <v>1155</v>
      </c>
      <c r="C168">
        <v>6420</v>
      </c>
      <c r="D168" t="s">
        <v>1131</v>
      </c>
      <c r="E168">
        <v>25000</v>
      </c>
      <c r="F168" t="s">
        <v>1502</v>
      </c>
      <c r="G168" t="s">
        <v>1656</v>
      </c>
      <c r="H168" t="s">
        <v>1504</v>
      </c>
    </row>
    <row r="169" spans="1:8" x14ac:dyDescent="0.35">
      <c r="A169">
        <v>20260201</v>
      </c>
      <c r="B169" t="s">
        <v>1155</v>
      </c>
      <c r="C169">
        <v>7130</v>
      </c>
      <c r="D169" t="s">
        <v>1131</v>
      </c>
      <c r="E169">
        <v>14606</v>
      </c>
      <c r="F169" t="s">
        <v>1505</v>
      </c>
      <c r="G169" t="s">
        <v>1657</v>
      </c>
      <c r="H169" t="s">
        <v>1507</v>
      </c>
    </row>
    <row r="170" spans="1:8" x14ac:dyDescent="0.35">
      <c r="A170">
        <v>20260201</v>
      </c>
      <c r="B170" t="s">
        <v>1138</v>
      </c>
      <c r="C170">
        <v>5000</v>
      </c>
      <c r="D170" t="s">
        <v>1131</v>
      </c>
      <c r="E170">
        <v>471198</v>
      </c>
      <c r="F170" t="s">
        <v>1151</v>
      </c>
      <c r="G170" t="s">
        <v>1170</v>
      </c>
      <c r="H170" t="s">
        <v>1152</v>
      </c>
    </row>
    <row r="171" spans="1:8" x14ac:dyDescent="0.35">
      <c r="A171">
        <v>20260201</v>
      </c>
      <c r="B171" t="s">
        <v>1138</v>
      </c>
      <c r="C171">
        <v>5400</v>
      </c>
      <c r="D171" t="s">
        <v>1131</v>
      </c>
      <c r="E171">
        <v>66438.92</v>
      </c>
      <c r="F171" t="s">
        <v>632</v>
      </c>
      <c r="G171" t="s">
        <v>1658</v>
      </c>
      <c r="H171" t="s">
        <v>1152</v>
      </c>
    </row>
    <row r="172" spans="1:8" x14ac:dyDescent="0.35">
      <c r="A172">
        <v>20260201</v>
      </c>
      <c r="B172" t="s">
        <v>1138</v>
      </c>
      <c r="C172">
        <v>5420</v>
      </c>
      <c r="D172" t="s">
        <v>1131</v>
      </c>
      <c r="E172">
        <v>47119.8</v>
      </c>
      <c r="F172" t="s">
        <v>1497</v>
      </c>
      <c r="G172" t="s">
        <v>1659</v>
      </c>
      <c r="H172" t="s">
        <v>1152</v>
      </c>
    </row>
    <row r="173" spans="1:8" x14ac:dyDescent="0.35">
      <c r="A173">
        <v>20260201</v>
      </c>
      <c r="B173" t="s">
        <v>1138</v>
      </c>
      <c r="C173">
        <v>6300</v>
      </c>
      <c r="D173" t="s">
        <v>1131</v>
      </c>
      <c r="E173">
        <v>85000</v>
      </c>
      <c r="F173" t="s">
        <v>1499</v>
      </c>
      <c r="G173" t="s">
        <v>1660</v>
      </c>
      <c r="H173" t="s">
        <v>1501</v>
      </c>
    </row>
    <row r="174" spans="1:8" x14ac:dyDescent="0.35">
      <c r="A174">
        <v>20260201</v>
      </c>
      <c r="B174" t="s">
        <v>1138</v>
      </c>
      <c r="C174">
        <v>6420</v>
      </c>
      <c r="D174" t="s">
        <v>1131</v>
      </c>
      <c r="E174">
        <v>25000</v>
      </c>
      <c r="F174" t="s">
        <v>1502</v>
      </c>
      <c r="G174" t="s">
        <v>1661</v>
      </c>
      <c r="H174" t="s">
        <v>1504</v>
      </c>
    </row>
    <row r="175" spans="1:8" x14ac:dyDescent="0.35">
      <c r="A175">
        <v>20260201</v>
      </c>
      <c r="B175" t="s">
        <v>1138</v>
      </c>
      <c r="C175">
        <v>7130</v>
      </c>
      <c r="D175" t="s">
        <v>1131</v>
      </c>
      <c r="E175">
        <v>16850</v>
      </c>
      <c r="F175" t="s">
        <v>1505</v>
      </c>
      <c r="G175" t="s">
        <v>1662</v>
      </c>
      <c r="H175" t="s">
        <v>1507</v>
      </c>
    </row>
    <row r="176" spans="1:8" x14ac:dyDescent="0.35">
      <c r="A176">
        <v>20260301</v>
      </c>
      <c r="B176" t="s">
        <v>1150</v>
      </c>
      <c r="C176">
        <v>5000</v>
      </c>
      <c r="D176" t="s">
        <v>1131</v>
      </c>
      <c r="E176">
        <v>467837</v>
      </c>
      <c r="F176" t="s">
        <v>1151</v>
      </c>
      <c r="G176" t="s">
        <v>1182</v>
      </c>
      <c r="H176" t="s">
        <v>1152</v>
      </c>
    </row>
    <row r="177" spans="1:8" x14ac:dyDescent="0.35">
      <c r="A177">
        <v>20260301</v>
      </c>
      <c r="B177" t="s">
        <v>1150</v>
      </c>
      <c r="C177">
        <v>5400</v>
      </c>
      <c r="D177" t="s">
        <v>1131</v>
      </c>
      <c r="E177">
        <v>65965.02</v>
      </c>
      <c r="F177" t="s">
        <v>632</v>
      </c>
      <c r="G177" t="s">
        <v>1663</v>
      </c>
      <c r="H177" t="s">
        <v>1152</v>
      </c>
    </row>
    <row r="178" spans="1:8" x14ac:dyDescent="0.35">
      <c r="A178">
        <v>20260301</v>
      </c>
      <c r="B178" t="s">
        <v>1150</v>
      </c>
      <c r="C178">
        <v>5420</v>
      </c>
      <c r="D178" t="s">
        <v>1131</v>
      </c>
      <c r="E178">
        <v>46783.7</v>
      </c>
      <c r="F178" t="s">
        <v>1497</v>
      </c>
      <c r="G178" t="s">
        <v>1664</v>
      </c>
      <c r="H178" t="s">
        <v>1152</v>
      </c>
    </row>
    <row r="179" spans="1:8" x14ac:dyDescent="0.35">
      <c r="A179">
        <v>20260301</v>
      </c>
      <c r="B179" t="s">
        <v>1150</v>
      </c>
      <c r="C179">
        <v>6300</v>
      </c>
      <c r="D179" t="s">
        <v>1131</v>
      </c>
      <c r="E179">
        <v>85000</v>
      </c>
      <c r="F179" t="s">
        <v>1499</v>
      </c>
      <c r="G179" t="s">
        <v>1665</v>
      </c>
      <c r="H179" t="s">
        <v>1501</v>
      </c>
    </row>
    <row r="180" spans="1:8" x14ac:dyDescent="0.35">
      <c r="A180">
        <v>20260301</v>
      </c>
      <c r="B180" t="s">
        <v>1150</v>
      </c>
      <c r="C180">
        <v>6420</v>
      </c>
      <c r="D180" t="s">
        <v>1131</v>
      </c>
      <c r="E180">
        <v>25000</v>
      </c>
      <c r="F180" t="s">
        <v>1502</v>
      </c>
      <c r="G180" t="s">
        <v>1666</v>
      </c>
      <c r="H180" t="s">
        <v>1504</v>
      </c>
    </row>
    <row r="181" spans="1:8" x14ac:dyDescent="0.35">
      <c r="A181">
        <v>20260301</v>
      </c>
      <c r="B181" t="s">
        <v>1150</v>
      </c>
      <c r="C181">
        <v>7130</v>
      </c>
      <c r="D181" t="s">
        <v>1131</v>
      </c>
      <c r="E181">
        <v>11300</v>
      </c>
      <c r="F181" t="s">
        <v>1505</v>
      </c>
      <c r="G181" t="s">
        <v>1667</v>
      </c>
      <c r="H181" t="s">
        <v>1507</v>
      </c>
    </row>
    <row r="182" spans="1:8" x14ac:dyDescent="0.35">
      <c r="A182">
        <v>20260301</v>
      </c>
      <c r="B182" t="s">
        <v>1272</v>
      </c>
      <c r="C182">
        <v>5100</v>
      </c>
      <c r="D182" t="s">
        <v>480</v>
      </c>
      <c r="E182">
        <v>76690.599999999991</v>
      </c>
      <c r="F182" t="s">
        <v>1508</v>
      </c>
      <c r="G182" t="s">
        <v>1668</v>
      </c>
      <c r="H182" t="s">
        <v>1510</v>
      </c>
    </row>
    <row r="183" spans="1:8" x14ac:dyDescent="0.35">
      <c r="A183">
        <v>20260301</v>
      </c>
      <c r="B183" t="s">
        <v>1272</v>
      </c>
      <c r="C183">
        <v>6800</v>
      </c>
      <c r="D183" t="s">
        <v>480</v>
      </c>
      <c r="E183">
        <v>32867.4</v>
      </c>
      <c r="F183" t="s">
        <v>1511</v>
      </c>
      <c r="G183" t="s">
        <v>1669</v>
      </c>
      <c r="H183" t="s">
        <v>1513</v>
      </c>
    </row>
    <row r="184" spans="1:8" x14ac:dyDescent="0.35">
      <c r="A184">
        <v>20260301</v>
      </c>
      <c r="B184" t="s">
        <v>1272</v>
      </c>
      <c r="C184">
        <v>3420</v>
      </c>
      <c r="D184" t="s">
        <v>480</v>
      </c>
      <c r="E184">
        <v>-109558</v>
      </c>
      <c r="F184" t="s">
        <v>1269</v>
      </c>
      <c r="G184" t="s">
        <v>1670</v>
      </c>
      <c r="H184" t="s">
        <v>1270</v>
      </c>
    </row>
    <row r="185" spans="1:8" x14ac:dyDescent="0.35">
      <c r="A185">
        <v>20260301</v>
      </c>
      <c r="B185" t="s">
        <v>1272</v>
      </c>
      <c r="C185">
        <v>2180</v>
      </c>
      <c r="D185" t="s">
        <v>480</v>
      </c>
      <c r="E185">
        <v>109558</v>
      </c>
      <c r="F185" t="s">
        <v>1266</v>
      </c>
      <c r="G185" t="s">
        <v>1671</v>
      </c>
      <c r="H185" t="s">
        <v>1267</v>
      </c>
    </row>
    <row r="186" spans="1:8" x14ac:dyDescent="0.35">
      <c r="A186">
        <v>20260301</v>
      </c>
      <c r="B186" t="s">
        <v>1158</v>
      </c>
      <c r="C186">
        <v>5000</v>
      </c>
      <c r="D186" t="s">
        <v>1131</v>
      </c>
      <c r="E186">
        <v>433003</v>
      </c>
      <c r="F186" t="s">
        <v>1151</v>
      </c>
      <c r="G186" t="s">
        <v>1234</v>
      </c>
      <c r="H186" t="s">
        <v>1152</v>
      </c>
    </row>
    <row r="187" spans="1:8" x14ac:dyDescent="0.35">
      <c r="A187">
        <v>20260301</v>
      </c>
      <c r="B187" t="s">
        <v>1158</v>
      </c>
      <c r="C187">
        <v>5400</v>
      </c>
      <c r="D187" t="s">
        <v>1131</v>
      </c>
      <c r="E187">
        <v>61053.42</v>
      </c>
      <c r="F187" t="s">
        <v>632</v>
      </c>
      <c r="G187" t="s">
        <v>1672</v>
      </c>
      <c r="H187" t="s">
        <v>1152</v>
      </c>
    </row>
    <row r="188" spans="1:8" x14ac:dyDescent="0.35">
      <c r="A188">
        <v>20260301</v>
      </c>
      <c r="B188" t="s">
        <v>1158</v>
      </c>
      <c r="C188">
        <v>5420</v>
      </c>
      <c r="D188" t="s">
        <v>1131</v>
      </c>
      <c r="E188">
        <v>43300.3</v>
      </c>
      <c r="F188" t="s">
        <v>1497</v>
      </c>
      <c r="G188" t="s">
        <v>1673</v>
      </c>
      <c r="H188" t="s">
        <v>1152</v>
      </c>
    </row>
    <row r="189" spans="1:8" x14ac:dyDescent="0.35">
      <c r="A189">
        <v>20260301</v>
      </c>
      <c r="B189" t="s">
        <v>1158</v>
      </c>
      <c r="C189">
        <v>6300</v>
      </c>
      <c r="D189" t="s">
        <v>1131</v>
      </c>
      <c r="E189">
        <v>85000</v>
      </c>
      <c r="F189" t="s">
        <v>1499</v>
      </c>
      <c r="G189" t="s">
        <v>1674</v>
      </c>
      <c r="H189" t="s">
        <v>1501</v>
      </c>
    </row>
    <row r="190" spans="1:8" x14ac:dyDescent="0.35">
      <c r="A190">
        <v>20260301</v>
      </c>
      <c r="B190" t="s">
        <v>1158</v>
      </c>
      <c r="C190">
        <v>6420</v>
      </c>
      <c r="D190" t="s">
        <v>1131</v>
      </c>
      <c r="E190">
        <v>25000</v>
      </c>
      <c r="F190" t="s">
        <v>1502</v>
      </c>
      <c r="G190" t="s">
        <v>1675</v>
      </c>
      <c r="H190" t="s">
        <v>1504</v>
      </c>
    </row>
    <row r="191" spans="1:8" x14ac:dyDescent="0.35">
      <c r="A191">
        <v>20260301</v>
      </c>
      <c r="B191" t="s">
        <v>1158</v>
      </c>
      <c r="C191">
        <v>7130</v>
      </c>
      <c r="D191" t="s">
        <v>1131</v>
      </c>
      <c r="E191">
        <v>12467</v>
      </c>
      <c r="F191" t="s">
        <v>1505</v>
      </c>
      <c r="G191" t="s">
        <v>1676</v>
      </c>
      <c r="H191" t="s">
        <v>1507</v>
      </c>
    </row>
    <row r="192" spans="1:8" x14ac:dyDescent="0.35">
      <c r="A192">
        <v>20260301</v>
      </c>
      <c r="B192" t="s">
        <v>1243</v>
      </c>
      <c r="C192">
        <v>5100</v>
      </c>
      <c r="D192" t="s">
        <v>493</v>
      </c>
      <c r="E192">
        <v>86775.5</v>
      </c>
      <c r="F192" t="s">
        <v>1508</v>
      </c>
      <c r="G192" t="s">
        <v>1677</v>
      </c>
      <c r="H192" t="s">
        <v>1510</v>
      </c>
    </row>
    <row r="193" spans="1:8" x14ac:dyDescent="0.35">
      <c r="A193">
        <v>20260301</v>
      </c>
      <c r="B193" t="s">
        <v>1243</v>
      </c>
      <c r="C193">
        <v>6800</v>
      </c>
      <c r="D193" t="s">
        <v>493</v>
      </c>
      <c r="E193">
        <v>37189.5</v>
      </c>
      <c r="F193" t="s">
        <v>1511</v>
      </c>
      <c r="G193" t="s">
        <v>1678</v>
      </c>
      <c r="H193" t="s">
        <v>1513</v>
      </c>
    </row>
    <row r="194" spans="1:8" x14ac:dyDescent="0.35">
      <c r="A194">
        <v>20260301</v>
      </c>
      <c r="B194" t="s">
        <v>1243</v>
      </c>
      <c r="C194">
        <v>3450</v>
      </c>
      <c r="D194" t="s">
        <v>493</v>
      </c>
      <c r="E194">
        <v>-110000</v>
      </c>
      <c r="F194" t="s">
        <v>1523</v>
      </c>
      <c r="G194" t="s">
        <v>1679</v>
      </c>
      <c r="H194" t="s">
        <v>1525</v>
      </c>
    </row>
    <row r="195" spans="1:8" x14ac:dyDescent="0.35">
      <c r="A195">
        <v>20260301</v>
      </c>
      <c r="B195" t="s">
        <v>1205</v>
      </c>
      <c r="C195">
        <v>5000</v>
      </c>
      <c r="D195" t="s">
        <v>1131</v>
      </c>
      <c r="E195">
        <v>435229</v>
      </c>
      <c r="F195" t="s">
        <v>1151</v>
      </c>
      <c r="G195" t="s">
        <v>1227</v>
      </c>
      <c r="H195" t="s">
        <v>1152</v>
      </c>
    </row>
    <row r="196" spans="1:8" x14ac:dyDescent="0.35">
      <c r="A196">
        <v>20260301</v>
      </c>
      <c r="B196" t="s">
        <v>1205</v>
      </c>
      <c r="C196">
        <v>5400</v>
      </c>
      <c r="D196" t="s">
        <v>1131</v>
      </c>
      <c r="E196">
        <v>61367.29</v>
      </c>
      <c r="F196" t="s">
        <v>632</v>
      </c>
      <c r="G196" t="s">
        <v>1680</v>
      </c>
      <c r="H196" t="s">
        <v>1152</v>
      </c>
    </row>
    <row r="197" spans="1:8" x14ac:dyDescent="0.35">
      <c r="A197">
        <v>20260301</v>
      </c>
      <c r="B197" t="s">
        <v>1205</v>
      </c>
      <c r="C197">
        <v>5420</v>
      </c>
      <c r="D197" t="s">
        <v>1131</v>
      </c>
      <c r="E197">
        <v>43522.9</v>
      </c>
      <c r="F197" t="s">
        <v>1497</v>
      </c>
      <c r="G197" t="s">
        <v>1681</v>
      </c>
      <c r="H197" t="s">
        <v>1152</v>
      </c>
    </row>
    <row r="198" spans="1:8" x14ac:dyDescent="0.35">
      <c r="A198">
        <v>20260301</v>
      </c>
      <c r="B198" t="s">
        <v>1205</v>
      </c>
      <c r="C198">
        <v>6300</v>
      </c>
      <c r="D198" t="s">
        <v>1131</v>
      </c>
      <c r="E198">
        <v>85000</v>
      </c>
      <c r="F198" t="s">
        <v>1499</v>
      </c>
      <c r="G198" t="s">
        <v>1682</v>
      </c>
      <c r="H198" t="s">
        <v>1501</v>
      </c>
    </row>
    <row r="199" spans="1:8" x14ac:dyDescent="0.35">
      <c r="A199">
        <v>20260301</v>
      </c>
      <c r="B199" t="s">
        <v>1205</v>
      </c>
      <c r="C199">
        <v>6420</v>
      </c>
      <c r="D199" t="s">
        <v>1131</v>
      </c>
      <c r="E199">
        <v>25000</v>
      </c>
      <c r="F199" t="s">
        <v>1502</v>
      </c>
      <c r="G199" t="s">
        <v>1683</v>
      </c>
      <c r="H199" t="s">
        <v>1504</v>
      </c>
    </row>
    <row r="200" spans="1:8" x14ac:dyDescent="0.35">
      <c r="A200">
        <v>20260301</v>
      </c>
      <c r="B200" t="s">
        <v>1205</v>
      </c>
      <c r="C200">
        <v>7130</v>
      </c>
      <c r="D200" t="s">
        <v>1131</v>
      </c>
      <c r="E200">
        <v>12628</v>
      </c>
      <c r="F200" t="s">
        <v>1505</v>
      </c>
      <c r="G200" t="s">
        <v>1684</v>
      </c>
      <c r="H200" t="s">
        <v>1507</v>
      </c>
    </row>
    <row r="201" spans="1:8" x14ac:dyDescent="0.35">
      <c r="A201">
        <v>20260301</v>
      </c>
      <c r="B201" t="s">
        <v>1205</v>
      </c>
      <c r="C201">
        <v>5050</v>
      </c>
      <c r="D201" t="s">
        <v>1131</v>
      </c>
      <c r="E201">
        <v>63392</v>
      </c>
      <c r="F201" t="s">
        <v>1531</v>
      </c>
      <c r="G201" t="s">
        <v>1685</v>
      </c>
      <c r="H201" t="s">
        <v>1533</v>
      </c>
    </row>
    <row r="202" spans="1:8" x14ac:dyDescent="0.35">
      <c r="A202">
        <v>20260301</v>
      </c>
      <c r="B202" t="s">
        <v>1205</v>
      </c>
      <c r="C202">
        <v>5800</v>
      </c>
      <c r="D202" t="s">
        <v>1131</v>
      </c>
      <c r="E202">
        <v>-42000</v>
      </c>
      <c r="F202" t="s">
        <v>1686</v>
      </c>
      <c r="G202" t="s">
        <v>1687</v>
      </c>
      <c r="H202" t="s">
        <v>1688</v>
      </c>
    </row>
    <row r="203" spans="1:8" x14ac:dyDescent="0.35">
      <c r="A203">
        <v>20260301</v>
      </c>
      <c r="B203" t="s">
        <v>1257</v>
      </c>
      <c r="C203">
        <v>5100</v>
      </c>
      <c r="D203" t="s">
        <v>493</v>
      </c>
      <c r="E203">
        <v>78133.299999999988</v>
      </c>
      <c r="F203" t="s">
        <v>1508</v>
      </c>
      <c r="G203" t="s">
        <v>1689</v>
      </c>
      <c r="H203" t="s">
        <v>1510</v>
      </c>
    </row>
    <row r="204" spans="1:8" x14ac:dyDescent="0.35">
      <c r="A204">
        <v>20260301</v>
      </c>
      <c r="B204" t="s">
        <v>1257</v>
      </c>
      <c r="C204">
        <v>6800</v>
      </c>
      <c r="D204" t="s">
        <v>493</v>
      </c>
      <c r="E204">
        <v>33485.699999999997</v>
      </c>
      <c r="F204" t="s">
        <v>1511</v>
      </c>
      <c r="G204" t="s">
        <v>1690</v>
      </c>
      <c r="H204" t="s">
        <v>1513</v>
      </c>
    </row>
    <row r="205" spans="1:8" x14ac:dyDescent="0.35">
      <c r="A205">
        <v>20260301</v>
      </c>
      <c r="B205" t="s">
        <v>1257</v>
      </c>
      <c r="C205">
        <v>3450</v>
      </c>
      <c r="D205" t="s">
        <v>493</v>
      </c>
      <c r="E205">
        <v>-110000</v>
      </c>
      <c r="F205" t="s">
        <v>1523</v>
      </c>
      <c r="G205" t="s">
        <v>1691</v>
      </c>
      <c r="H205" t="s">
        <v>1525</v>
      </c>
    </row>
    <row r="206" spans="1:8" x14ac:dyDescent="0.35">
      <c r="A206">
        <v>20260301</v>
      </c>
      <c r="B206" t="s">
        <v>1164</v>
      </c>
      <c r="C206">
        <v>5000</v>
      </c>
      <c r="D206" t="s">
        <v>1131</v>
      </c>
      <c r="E206">
        <v>454911</v>
      </c>
      <c r="F206" t="s">
        <v>1151</v>
      </c>
      <c r="G206" t="s">
        <v>1197</v>
      </c>
      <c r="H206" t="s">
        <v>1152</v>
      </c>
    </row>
    <row r="207" spans="1:8" x14ac:dyDescent="0.35">
      <c r="A207">
        <v>20260301</v>
      </c>
      <c r="B207" t="s">
        <v>1164</v>
      </c>
      <c r="C207">
        <v>5400</v>
      </c>
      <c r="D207" t="s">
        <v>1131</v>
      </c>
      <c r="E207">
        <v>64142.45</v>
      </c>
      <c r="F207" t="s">
        <v>632</v>
      </c>
      <c r="G207" t="s">
        <v>1692</v>
      </c>
      <c r="H207" t="s">
        <v>1152</v>
      </c>
    </row>
    <row r="208" spans="1:8" x14ac:dyDescent="0.35">
      <c r="A208">
        <v>20260301</v>
      </c>
      <c r="B208" t="s">
        <v>1164</v>
      </c>
      <c r="C208">
        <v>5420</v>
      </c>
      <c r="D208" t="s">
        <v>1131</v>
      </c>
      <c r="E208">
        <v>45491.1</v>
      </c>
      <c r="F208" t="s">
        <v>1497</v>
      </c>
      <c r="G208" t="s">
        <v>1693</v>
      </c>
      <c r="H208" t="s">
        <v>1152</v>
      </c>
    </row>
    <row r="209" spans="1:8" x14ac:dyDescent="0.35">
      <c r="A209">
        <v>20260301</v>
      </c>
      <c r="B209" t="s">
        <v>1164</v>
      </c>
      <c r="C209">
        <v>6300</v>
      </c>
      <c r="D209" t="s">
        <v>1131</v>
      </c>
      <c r="E209">
        <v>85000</v>
      </c>
      <c r="F209" t="s">
        <v>1499</v>
      </c>
      <c r="G209" t="s">
        <v>1694</v>
      </c>
      <c r="H209" t="s">
        <v>1501</v>
      </c>
    </row>
    <row r="210" spans="1:8" x14ac:dyDescent="0.35">
      <c r="A210">
        <v>20260301</v>
      </c>
      <c r="B210" t="s">
        <v>1164</v>
      </c>
      <c r="C210">
        <v>6420</v>
      </c>
      <c r="D210" t="s">
        <v>1131</v>
      </c>
      <c r="E210">
        <v>25000</v>
      </c>
      <c r="F210" t="s">
        <v>1502</v>
      </c>
      <c r="G210" t="s">
        <v>1695</v>
      </c>
      <c r="H210" t="s">
        <v>1504</v>
      </c>
    </row>
    <row r="211" spans="1:8" x14ac:dyDescent="0.35">
      <c r="A211">
        <v>20260301</v>
      </c>
      <c r="B211" t="s">
        <v>1164</v>
      </c>
      <c r="C211">
        <v>7130</v>
      </c>
      <c r="D211" t="s">
        <v>1131</v>
      </c>
      <c r="E211">
        <v>14108</v>
      </c>
      <c r="F211" t="s">
        <v>1505</v>
      </c>
      <c r="G211" t="s">
        <v>1696</v>
      </c>
      <c r="H211" t="s">
        <v>1507</v>
      </c>
    </row>
    <row r="212" spans="1:8" x14ac:dyDescent="0.35">
      <c r="A212">
        <v>20260301</v>
      </c>
      <c r="B212" t="s">
        <v>1249</v>
      </c>
      <c r="C212">
        <v>5100</v>
      </c>
      <c r="D212" t="s">
        <v>493</v>
      </c>
      <c r="E212">
        <v>94299.799999999988</v>
      </c>
      <c r="F212" t="s">
        <v>1508</v>
      </c>
      <c r="G212" t="s">
        <v>1697</v>
      </c>
      <c r="H212" t="s">
        <v>1510</v>
      </c>
    </row>
    <row r="213" spans="1:8" x14ac:dyDescent="0.35">
      <c r="A213">
        <v>20260301</v>
      </c>
      <c r="B213" t="s">
        <v>1249</v>
      </c>
      <c r="C213">
        <v>6800</v>
      </c>
      <c r="D213" t="s">
        <v>493</v>
      </c>
      <c r="E213">
        <v>40414.199999999997</v>
      </c>
      <c r="F213" t="s">
        <v>1511</v>
      </c>
      <c r="G213" t="s">
        <v>1698</v>
      </c>
      <c r="H213" t="s">
        <v>1513</v>
      </c>
    </row>
    <row r="214" spans="1:8" x14ac:dyDescent="0.35">
      <c r="A214">
        <v>20260301</v>
      </c>
      <c r="B214" t="s">
        <v>1249</v>
      </c>
      <c r="C214">
        <v>3450</v>
      </c>
      <c r="D214" t="s">
        <v>493</v>
      </c>
      <c r="E214">
        <v>-110000</v>
      </c>
      <c r="F214" t="s">
        <v>1523</v>
      </c>
      <c r="G214" t="s">
        <v>1699</v>
      </c>
      <c r="H214" t="s">
        <v>1525</v>
      </c>
    </row>
    <row r="215" spans="1:8" x14ac:dyDescent="0.35">
      <c r="A215">
        <v>20260301</v>
      </c>
      <c r="B215" t="s">
        <v>1169</v>
      </c>
      <c r="C215">
        <v>5000</v>
      </c>
      <c r="D215" t="s">
        <v>1131</v>
      </c>
      <c r="E215">
        <v>471660</v>
      </c>
      <c r="F215" t="s">
        <v>1151</v>
      </c>
      <c r="G215" t="s">
        <v>1168</v>
      </c>
      <c r="H215" t="s">
        <v>1152</v>
      </c>
    </row>
    <row r="216" spans="1:8" x14ac:dyDescent="0.35">
      <c r="A216">
        <v>20260301</v>
      </c>
      <c r="B216" t="s">
        <v>1169</v>
      </c>
      <c r="C216">
        <v>5400</v>
      </c>
      <c r="D216" t="s">
        <v>1131</v>
      </c>
      <c r="E216">
        <v>66504.06</v>
      </c>
      <c r="F216" t="s">
        <v>632</v>
      </c>
      <c r="G216" t="s">
        <v>1700</v>
      </c>
      <c r="H216" t="s">
        <v>1152</v>
      </c>
    </row>
    <row r="217" spans="1:8" x14ac:dyDescent="0.35">
      <c r="A217">
        <v>20260301</v>
      </c>
      <c r="B217" t="s">
        <v>1169</v>
      </c>
      <c r="C217">
        <v>5420</v>
      </c>
      <c r="D217" t="s">
        <v>1131</v>
      </c>
      <c r="E217">
        <v>47166</v>
      </c>
      <c r="F217" t="s">
        <v>1497</v>
      </c>
      <c r="G217" t="s">
        <v>1701</v>
      </c>
      <c r="H217" t="s">
        <v>1152</v>
      </c>
    </row>
    <row r="218" spans="1:8" x14ac:dyDescent="0.35">
      <c r="A218">
        <v>20260301</v>
      </c>
      <c r="B218" t="s">
        <v>1169</v>
      </c>
      <c r="C218">
        <v>6300</v>
      </c>
      <c r="D218" t="s">
        <v>1131</v>
      </c>
      <c r="E218">
        <v>85000</v>
      </c>
      <c r="F218" t="s">
        <v>1499</v>
      </c>
      <c r="G218" t="s">
        <v>1702</v>
      </c>
      <c r="H218" t="s">
        <v>1501</v>
      </c>
    </row>
    <row r="219" spans="1:8" x14ac:dyDescent="0.35">
      <c r="A219">
        <v>20260301</v>
      </c>
      <c r="B219" t="s">
        <v>1169</v>
      </c>
      <c r="C219">
        <v>6420</v>
      </c>
      <c r="D219" t="s">
        <v>1131</v>
      </c>
      <c r="E219">
        <v>25000</v>
      </c>
      <c r="F219" t="s">
        <v>1502</v>
      </c>
      <c r="G219" t="s">
        <v>1703</v>
      </c>
      <c r="H219" t="s">
        <v>1504</v>
      </c>
    </row>
    <row r="220" spans="1:8" x14ac:dyDescent="0.35">
      <c r="A220">
        <v>20260301</v>
      </c>
      <c r="B220" t="s">
        <v>1169</v>
      </c>
      <c r="C220">
        <v>7130</v>
      </c>
      <c r="D220" t="s">
        <v>1131</v>
      </c>
      <c r="E220">
        <v>16954</v>
      </c>
      <c r="F220" t="s">
        <v>1505</v>
      </c>
      <c r="G220" t="s">
        <v>1704</v>
      </c>
      <c r="H220" t="s">
        <v>1507</v>
      </c>
    </row>
    <row r="221" spans="1:8" x14ac:dyDescent="0.35">
      <c r="A221">
        <v>20260301</v>
      </c>
      <c r="B221" t="s">
        <v>1260</v>
      </c>
      <c r="C221">
        <v>5100</v>
      </c>
      <c r="D221" t="s">
        <v>493</v>
      </c>
      <c r="E221">
        <v>80961.299999999988</v>
      </c>
      <c r="F221" t="s">
        <v>1508</v>
      </c>
      <c r="G221" t="s">
        <v>1705</v>
      </c>
      <c r="H221" t="s">
        <v>1510</v>
      </c>
    </row>
    <row r="222" spans="1:8" x14ac:dyDescent="0.35">
      <c r="A222">
        <v>20260301</v>
      </c>
      <c r="B222" t="s">
        <v>1260</v>
      </c>
      <c r="C222">
        <v>6800</v>
      </c>
      <c r="D222" t="s">
        <v>493</v>
      </c>
      <c r="E222">
        <v>34697.699999999997</v>
      </c>
      <c r="F222" t="s">
        <v>1511</v>
      </c>
      <c r="G222" t="s">
        <v>1706</v>
      </c>
      <c r="H222" t="s">
        <v>1513</v>
      </c>
    </row>
    <row r="223" spans="1:8" x14ac:dyDescent="0.35">
      <c r="A223">
        <v>20260301</v>
      </c>
      <c r="B223" t="s">
        <v>1260</v>
      </c>
      <c r="C223">
        <v>3450</v>
      </c>
      <c r="D223" t="s">
        <v>493</v>
      </c>
      <c r="E223">
        <v>-110000</v>
      </c>
      <c r="F223" t="s">
        <v>1523</v>
      </c>
      <c r="G223" t="s">
        <v>1707</v>
      </c>
      <c r="H223" t="s">
        <v>1525</v>
      </c>
    </row>
    <row r="224" spans="1:8" x14ac:dyDescent="0.35">
      <c r="A224">
        <v>20260301</v>
      </c>
      <c r="B224" t="s">
        <v>1175</v>
      </c>
      <c r="C224">
        <v>5000</v>
      </c>
      <c r="D224" t="s">
        <v>1131</v>
      </c>
      <c r="E224">
        <v>454260</v>
      </c>
      <c r="F224" t="s">
        <v>1151</v>
      </c>
      <c r="G224" t="s">
        <v>1201</v>
      </c>
      <c r="H224" t="s">
        <v>1152</v>
      </c>
    </row>
    <row r="225" spans="1:8" x14ac:dyDescent="0.35">
      <c r="A225">
        <v>20260301</v>
      </c>
      <c r="B225" t="s">
        <v>1175</v>
      </c>
      <c r="C225">
        <v>5400</v>
      </c>
      <c r="D225" t="s">
        <v>1131</v>
      </c>
      <c r="E225">
        <v>64050.66</v>
      </c>
      <c r="F225" t="s">
        <v>632</v>
      </c>
      <c r="G225" t="s">
        <v>1708</v>
      </c>
      <c r="H225" t="s">
        <v>1152</v>
      </c>
    </row>
    <row r="226" spans="1:8" x14ac:dyDescent="0.35">
      <c r="A226">
        <v>20260301</v>
      </c>
      <c r="B226" t="s">
        <v>1175</v>
      </c>
      <c r="C226">
        <v>5420</v>
      </c>
      <c r="D226" t="s">
        <v>1131</v>
      </c>
      <c r="E226">
        <v>45426</v>
      </c>
      <c r="F226" t="s">
        <v>1497</v>
      </c>
      <c r="G226" t="s">
        <v>1709</v>
      </c>
      <c r="H226" t="s">
        <v>1152</v>
      </c>
    </row>
    <row r="227" spans="1:8" x14ac:dyDescent="0.35">
      <c r="A227">
        <v>20260301</v>
      </c>
      <c r="B227" t="s">
        <v>1175</v>
      </c>
      <c r="C227">
        <v>6300</v>
      </c>
      <c r="D227" t="s">
        <v>1131</v>
      </c>
      <c r="E227">
        <v>85000</v>
      </c>
      <c r="F227" t="s">
        <v>1499</v>
      </c>
      <c r="G227" t="s">
        <v>1710</v>
      </c>
      <c r="H227" t="s">
        <v>1501</v>
      </c>
    </row>
    <row r="228" spans="1:8" x14ac:dyDescent="0.35">
      <c r="A228">
        <v>20260301</v>
      </c>
      <c r="B228" t="s">
        <v>1175</v>
      </c>
      <c r="C228">
        <v>6420</v>
      </c>
      <c r="D228" t="s">
        <v>1131</v>
      </c>
      <c r="E228">
        <v>25000</v>
      </c>
      <c r="F228" t="s">
        <v>1502</v>
      </c>
      <c r="G228" t="s">
        <v>1711</v>
      </c>
      <c r="H228" t="s">
        <v>1504</v>
      </c>
    </row>
    <row r="229" spans="1:8" x14ac:dyDescent="0.35">
      <c r="A229">
        <v>20260301</v>
      </c>
      <c r="B229" t="s">
        <v>1175</v>
      </c>
      <c r="C229">
        <v>7130</v>
      </c>
      <c r="D229" t="s">
        <v>1131</v>
      </c>
      <c r="E229">
        <v>16641</v>
      </c>
      <c r="F229" t="s">
        <v>1505</v>
      </c>
      <c r="G229" t="s">
        <v>1712</v>
      </c>
      <c r="H229" t="s">
        <v>1507</v>
      </c>
    </row>
    <row r="230" spans="1:8" x14ac:dyDescent="0.35">
      <c r="A230">
        <v>20260301</v>
      </c>
      <c r="B230" t="s">
        <v>1247</v>
      </c>
      <c r="C230">
        <v>5100</v>
      </c>
      <c r="D230" t="s">
        <v>493</v>
      </c>
      <c r="E230">
        <v>83111</v>
      </c>
      <c r="F230" t="s">
        <v>1508</v>
      </c>
      <c r="G230" t="s">
        <v>1713</v>
      </c>
      <c r="H230" t="s">
        <v>1510</v>
      </c>
    </row>
    <row r="231" spans="1:8" x14ac:dyDescent="0.35">
      <c r="A231">
        <v>20260301</v>
      </c>
      <c r="B231" t="s">
        <v>1247</v>
      </c>
      <c r="C231">
        <v>6800</v>
      </c>
      <c r="D231" t="s">
        <v>493</v>
      </c>
      <c r="E231">
        <v>35619</v>
      </c>
      <c r="F231" t="s">
        <v>1511</v>
      </c>
      <c r="G231" t="s">
        <v>1714</v>
      </c>
      <c r="H231" t="s">
        <v>1513</v>
      </c>
    </row>
    <row r="232" spans="1:8" x14ac:dyDescent="0.35">
      <c r="A232">
        <v>20260301</v>
      </c>
      <c r="B232" t="s">
        <v>1247</v>
      </c>
      <c r="C232">
        <v>3450</v>
      </c>
      <c r="D232" t="s">
        <v>493</v>
      </c>
      <c r="E232">
        <v>-110000</v>
      </c>
      <c r="F232" t="s">
        <v>1523</v>
      </c>
      <c r="G232" t="s">
        <v>1715</v>
      </c>
      <c r="H232" t="s">
        <v>1525</v>
      </c>
    </row>
    <row r="233" spans="1:8" x14ac:dyDescent="0.35">
      <c r="A233">
        <v>20260301</v>
      </c>
      <c r="B233" t="s">
        <v>1130</v>
      </c>
      <c r="C233">
        <v>5000</v>
      </c>
      <c r="D233" t="s">
        <v>1131</v>
      </c>
      <c r="E233">
        <v>473920</v>
      </c>
      <c r="F233" t="s">
        <v>1151</v>
      </c>
      <c r="G233" t="s">
        <v>1165</v>
      </c>
      <c r="H233" t="s">
        <v>1152</v>
      </c>
    </row>
    <row r="234" spans="1:8" x14ac:dyDescent="0.35">
      <c r="A234">
        <v>20260301</v>
      </c>
      <c r="B234" t="s">
        <v>1130</v>
      </c>
      <c r="C234">
        <v>5400</v>
      </c>
      <c r="D234" t="s">
        <v>1131</v>
      </c>
      <c r="E234">
        <v>66822.720000000001</v>
      </c>
      <c r="F234" t="s">
        <v>632</v>
      </c>
      <c r="G234" t="s">
        <v>1716</v>
      </c>
      <c r="H234" t="s">
        <v>1152</v>
      </c>
    </row>
    <row r="235" spans="1:8" x14ac:dyDescent="0.35">
      <c r="A235">
        <v>20260301</v>
      </c>
      <c r="B235" t="s">
        <v>1130</v>
      </c>
      <c r="C235">
        <v>5420</v>
      </c>
      <c r="D235" t="s">
        <v>1131</v>
      </c>
      <c r="E235">
        <v>47392</v>
      </c>
      <c r="F235" t="s">
        <v>1497</v>
      </c>
      <c r="G235" t="s">
        <v>1717</v>
      </c>
      <c r="H235" t="s">
        <v>1152</v>
      </c>
    </row>
    <row r="236" spans="1:8" x14ac:dyDescent="0.35">
      <c r="A236">
        <v>20260301</v>
      </c>
      <c r="B236" t="s">
        <v>1130</v>
      </c>
      <c r="C236">
        <v>6300</v>
      </c>
      <c r="D236" t="s">
        <v>1131</v>
      </c>
      <c r="E236">
        <v>85000</v>
      </c>
      <c r="F236" t="s">
        <v>1499</v>
      </c>
      <c r="G236" t="s">
        <v>1718</v>
      </c>
      <c r="H236" t="s">
        <v>1501</v>
      </c>
    </row>
    <row r="237" spans="1:8" x14ac:dyDescent="0.35">
      <c r="A237">
        <v>20260301</v>
      </c>
      <c r="B237" t="s">
        <v>1130</v>
      </c>
      <c r="C237">
        <v>6420</v>
      </c>
      <c r="D237" t="s">
        <v>1131</v>
      </c>
      <c r="E237">
        <v>25000</v>
      </c>
      <c r="F237" t="s">
        <v>1502</v>
      </c>
      <c r="G237" t="s">
        <v>1719</v>
      </c>
      <c r="H237" t="s">
        <v>1504</v>
      </c>
    </row>
    <row r="238" spans="1:8" x14ac:dyDescent="0.35">
      <c r="A238">
        <v>20260301</v>
      </c>
      <c r="B238" t="s">
        <v>1130</v>
      </c>
      <c r="C238">
        <v>7130</v>
      </c>
      <c r="D238" t="s">
        <v>1131</v>
      </c>
      <c r="E238">
        <v>13748</v>
      </c>
      <c r="F238" t="s">
        <v>1505</v>
      </c>
      <c r="G238" t="s">
        <v>1720</v>
      </c>
      <c r="H238" t="s">
        <v>1507</v>
      </c>
    </row>
    <row r="239" spans="1:8" x14ac:dyDescent="0.35">
      <c r="A239">
        <v>20260301</v>
      </c>
      <c r="B239" t="s">
        <v>1265</v>
      </c>
      <c r="C239">
        <v>5100</v>
      </c>
      <c r="D239" t="s">
        <v>485</v>
      </c>
      <c r="E239">
        <v>76775.299999999988</v>
      </c>
      <c r="F239" t="s">
        <v>1508</v>
      </c>
      <c r="G239" t="s">
        <v>1721</v>
      </c>
      <c r="H239" t="s">
        <v>1510</v>
      </c>
    </row>
    <row r="240" spans="1:8" x14ac:dyDescent="0.35">
      <c r="A240">
        <v>20260301</v>
      </c>
      <c r="B240" t="s">
        <v>1265</v>
      </c>
      <c r="C240">
        <v>6800</v>
      </c>
      <c r="D240" t="s">
        <v>485</v>
      </c>
      <c r="E240">
        <v>32903.699999999997</v>
      </c>
      <c r="F240" t="s">
        <v>1511</v>
      </c>
      <c r="G240" t="s">
        <v>1722</v>
      </c>
      <c r="H240" t="s">
        <v>1513</v>
      </c>
    </row>
    <row r="241" spans="1:8" x14ac:dyDescent="0.35">
      <c r="A241">
        <v>20260301</v>
      </c>
      <c r="B241" t="s">
        <v>1265</v>
      </c>
      <c r="C241">
        <v>3400</v>
      </c>
      <c r="D241" t="s">
        <v>485</v>
      </c>
      <c r="E241">
        <v>-109679</v>
      </c>
      <c r="F241" t="s">
        <v>1269</v>
      </c>
      <c r="G241" t="s">
        <v>1723</v>
      </c>
      <c r="H241" t="s">
        <v>1270</v>
      </c>
    </row>
    <row r="242" spans="1:8" x14ac:dyDescent="0.35">
      <c r="A242">
        <v>20260301</v>
      </c>
      <c r="B242" t="s">
        <v>1265</v>
      </c>
      <c r="C242">
        <v>2180</v>
      </c>
      <c r="D242" t="s">
        <v>485</v>
      </c>
      <c r="E242">
        <v>109679</v>
      </c>
      <c r="F242" t="s">
        <v>1266</v>
      </c>
      <c r="G242" t="s">
        <v>1724</v>
      </c>
      <c r="H242" t="s">
        <v>1267</v>
      </c>
    </row>
    <row r="243" spans="1:8" x14ac:dyDescent="0.35">
      <c r="A243">
        <v>20260301</v>
      </c>
      <c r="B243" t="s">
        <v>1173</v>
      </c>
      <c r="C243">
        <v>5000</v>
      </c>
      <c r="D243" t="s">
        <v>1131</v>
      </c>
      <c r="E243">
        <v>469920</v>
      </c>
      <c r="F243" t="s">
        <v>1151</v>
      </c>
      <c r="G243" t="s">
        <v>1172</v>
      </c>
      <c r="H243" t="s">
        <v>1152</v>
      </c>
    </row>
    <row r="244" spans="1:8" x14ac:dyDescent="0.35">
      <c r="A244">
        <v>20260301</v>
      </c>
      <c r="B244" t="s">
        <v>1173</v>
      </c>
      <c r="C244">
        <v>5400</v>
      </c>
      <c r="D244" t="s">
        <v>1131</v>
      </c>
      <c r="E244">
        <v>66258.720000000001</v>
      </c>
      <c r="F244" t="s">
        <v>632</v>
      </c>
      <c r="G244" t="s">
        <v>1725</v>
      </c>
      <c r="H244" t="s">
        <v>1152</v>
      </c>
    </row>
    <row r="245" spans="1:8" x14ac:dyDescent="0.35">
      <c r="A245">
        <v>20260301</v>
      </c>
      <c r="B245" t="s">
        <v>1173</v>
      </c>
      <c r="C245">
        <v>5420</v>
      </c>
      <c r="D245" t="s">
        <v>1131</v>
      </c>
      <c r="E245">
        <v>46992</v>
      </c>
      <c r="F245" t="s">
        <v>1497</v>
      </c>
      <c r="G245" t="s">
        <v>1726</v>
      </c>
      <c r="H245" t="s">
        <v>1152</v>
      </c>
    </row>
    <row r="246" spans="1:8" x14ac:dyDescent="0.35">
      <c r="A246">
        <v>20260301</v>
      </c>
      <c r="B246" t="s">
        <v>1173</v>
      </c>
      <c r="C246">
        <v>6300</v>
      </c>
      <c r="D246" t="s">
        <v>1131</v>
      </c>
      <c r="E246">
        <v>85000</v>
      </c>
      <c r="F246" t="s">
        <v>1499</v>
      </c>
      <c r="G246" t="s">
        <v>1727</v>
      </c>
      <c r="H246" t="s">
        <v>1501</v>
      </c>
    </row>
    <row r="247" spans="1:8" x14ac:dyDescent="0.35">
      <c r="A247">
        <v>20260301</v>
      </c>
      <c r="B247" t="s">
        <v>1173</v>
      </c>
      <c r="C247">
        <v>6420</v>
      </c>
      <c r="D247" t="s">
        <v>1131</v>
      </c>
      <c r="E247">
        <v>25000</v>
      </c>
      <c r="F247" t="s">
        <v>1502</v>
      </c>
      <c r="G247" t="s">
        <v>1728</v>
      </c>
      <c r="H247" t="s">
        <v>1504</v>
      </c>
    </row>
    <row r="248" spans="1:8" x14ac:dyDescent="0.35">
      <c r="A248">
        <v>20260301</v>
      </c>
      <c r="B248" t="s">
        <v>1173</v>
      </c>
      <c r="C248">
        <v>7130</v>
      </c>
      <c r="D248" t="s">
        <v>1131</v>
      </c>
      <c r="E248">
        <v>10607</v>
      </c>
      <c r="F248" t="s">
        <v>1505</v>
      </c>
      <c r="G248" t="s">
        <v>1729</v>
      </c>
      <c r="H248" t="s">
        <v>1507</v>
      </c>
    </row>
    <row r="249" spans="1:8" x14ac:dyDescent="0.35">
      <c r="A249">
        <v>20260301</v>
      </c>
      <c r="B249" t="s">
        <v>1255</v>
      </c>
      <c r="C249">
        <v>5100</v>
      </c>
      <c r="D249" t="s">
        <v>493</v>
      </c>
      <c r="E249">
        <v>98003.5</v>
      </c>
      <c r="F249" t="s">
        <v>1508</v>
      </c>
      <c r="G249" t="s">
        <v>1730</v>
      </c>
      <c r="H249" t="s">
        <v>1510</v>
      </c>
    </row>
    <row r="250" spans="1:8" x14ac:dyDescent="0.35">
      <c r="A250">
        <v>20260301</v>
      </c>
      <c r="B250" t="s">
        <v>1255</v>
      </c>
      <c r="C250">
        <v>6800</v>
      </c>
      <c r="D250" t="s">
        <v>493</v>
      </c>
      <c r="E250">
        <v>42001.5</v>
      </c>
      <c r="F250" t="s">
        <v>1511</v>
      </c>
      <c r="G250" t="s">
        <v>1731</v>
      </c>
      <c r="H250" t="s">
        <v>1513</v>
      </c>
    </row>
    <row r="251" spans="1:8" x14ac:dyDescent="0.35">
      <c r="A251">
        <v>20260301</v>
      </c>
      <c r="B251" t="s">
        <v>1255</v>
      </c>
      <c r="C251">
        <v>3450</v>
      </c>
      <c r="D251" t="s">
        <v>493</v>
      </c>
      <c r="E251">
        <v>-110000</v>
      </c>
      <c r="F251" t="s">
        <v>1523</v>
      </c>
      <c r="G251" t="s">
        <v>1732</v>
      </c>
      <c r="H251" t="s">
        <v>1525</v>
      </c>
    </row>
    <row r="252" spans="1:8" x14ac:dyDescent="0.35">
      <c r="A252">
        <v>20260301</v>
      </c>
      <c r="B252" t="s">
        <v>1155</v>
      </c>
      <c r="C252">
        <v>5000</v>
      </c>
      <c r="D252" t="s">
        <v>1131</v>
      </c>
      <c r="E252">
        <v>477784</v>
      </c>
      <c r="F252" t="s">
        <v>1151</v>
      </c>
      <c r="G252" t="s">
        <v>1159</v>
      </c>
      <c r="H252" t="s">
        <v>1152</v>
      </c>
    </row>
    <row r="253" spans="1:8" x14ac:dyDescent="0.35">
      <c r="A253">
        <v>20260301</v>
      </c>
      <c r="B253" t="s">
        <v>1155</v>
      </c>
      <c r="C253">
        <v>5400</v>
      </c>
      <c r="D253" t="s">
        <v>1131</v>
      </c>
      <c r="E253">
        <v>67367.539999999994</v>
      </c>
      <c r="F253" t="s">
        <v>632</v>
      </c>
      <c r="G253" t="s">
        <v>1733</v>
      </c>
      <c r="H253" t="s">
        <v>1152</v>
      </c>
    </row>
    <row r="254" spans="1:8" x14ac:dyDescent="0.35">
      <c r="A254">
        <v>20260301</v>
      </c>
      <c r="B254" t="s">
        <v>1155</v>
      </c>
      <c r="C254">
        <v>5420</v>
      </c>
      <c r="D254" t="s">
        <v>1131</v>
      </c>
      <c r="E254">
        <v>47778.400000000001</v>
      </c>
      <c r="F254" t="s">
        <v>1497</v>
      </c>
      <c r="G254" t="s">
        <v>1734</v>
      </c>
      <c r="H254" t="s">
        <v>1152</v>
      </c>
    </row>
    <row r="255" spans="1:8" x14ac:dyDescent="0.35">
      <c r="A255">
        <v>20260301</v>
      </c>
      <c r="B255" t="s">
        <v>1155</v>
      </c>
      <c r="C255">
        <v>6300</v>
      </c>
      <c r="D255" t="s">
        <v>1131</v>
      </c>
      <c r="E255">
        <v>85000</v>
      </c>
      <c r="F255" t="s">
        <v>1499</v>
      </c>
      <c r="G255" t="s">
        <v>1735</v>
      </c>
      <c r="H255" t="s">
        <v>1501</v>
      </c>
    </row>
    <row r="256" spans="1:8" x14ac:dyDescent="0.35">
      <c r="A256">
        <v>20260301</v>
      </c>
      <c r="B256" t="s">
        <v>1155</v>
      </c>
      <c r="C256">
        <v>6420</v>
      </c>
      <c r="D256" t="s">
        <v>1131</v>
      </c>
      <c r="E256">
        <v>25000</v>
      </c>
      <c r="F256" t="s">
        <v>1502</v>
      </c>
      <c r="G256" t="s">
        <v>1736</v>
      </c>
      <c r="H256" t="s">
        <v>1504</v>
      </c>
    </row>
    <row r="257" spans="1:8" x14ac:dyDescent="0.35">
      <c r="A257">
        <v>20260301</v>
      </c>
      <c r="B257" t="s">
        <v>1155</v>
      </c>
      <c r="C257">
        <v>7130</v>
      </c>
      <c r="D257" t="s">
        <v>1131</v>
      </c>
      <c r="E257">
        <v>13021</v>
      </c>
      <c r="F257" t="s">
        <v>1505</v>
      </c>
      <c r="G257" t="s">
        <v>1737</v>
      </c>
      <c r="H257" t="s">
        <v>1507</v>
      </c>
    </row>
    <row r="258" spans="1:8" x14ac:dyDescent="0.35">
      <c r="A258">
        <v>20260301</v>
      </c>
      <c r="B258" t="s">
        <v>1138</v>
      </c>
      <c r="C258">
        <v>5000</v>
      </c>
      <c r="D258" t="s">
        <v>1131</v>
      </c>
      <c r="E258">
        <v>440708</v>
      </c>
      <c r="F258" t="s">
        <v>1151</v>
      </c>
      <c r="G258" t="s">
        <v>1219</v>
      </c>
      <c r="H258" t="s">
        <v>1152</v>
      </c>
    </row>
    <row r="259" spans="1:8" x14ac:dyDescent="0.35">
      <c r="A259">
        <v>20260301</v>
      </c>
      <c r="B259" t="s">
        <v>1138</v>
      </c>
      <c r="C259">
        <v>5400</v>
      </c>
      <c r="D259" t="s">
        <v>1131</v>
      </c>
      <c r="E259">
        <v>62139.83</v>
      </c>
      <c r="F259" t="s">
        <v>632</v>
      </c>
      <c r="G259" t="s">
        <v>1738</v>
      </c>
      <c r="H259" t="s">
        <v>1152</v>
      </c>
    </row>
    <row r="260" spans="1:8" x14ac:dyDescent="0.35">
      <c r="A260">
        <v>20260301</v>
      </c>
      <c r="B260" t="s">
        <v>1138</v>
      </c>
      <c r="C260">
        <v>5420</v>
      </c>
      <c r="D260" t="s">
        <v>1131</v>
      </c>
      <c r="E260">
        <v>44070.8</v>
      </c>
      <c r="F260" t="s">
        <v>1497</v>
      </c>
      <c r="G260" t="s">
        <v>1739</v>
      </c>
      <c r="H260" t="s">
        <v>1152</v>
      </c>
    </row>
    <row r="261" spans="1:8" x14ac:dyDescent="0.35">
      <c r="A261">
        <v>20260301</v>
      </c>
      <c r="B261" t="s">
        <v>1138</v>
      </c>
      <c r="C261">
        <v>6300</v>
      </c>
      <c r="D261" t="s">
        <v>1131</v>
      </c>
      <c r="E261">
        <v>85000</v>
      </c>
      <c r="F261" t="s">
        <v>1499</v>
      </c>
      <c r="G261" t="s">
        <v>1740</v>
      </c>
      <c r="H261" t="s">
        <v>1501</v>
      </c>
    </row>
    <row r="262" spans="1:8" x14ac:dyDescent="0.35">
      <c r="A262">
        <v>20260301</v>
      </c>
      <c r="B262" t="s">
        <v>1138</v>
      </c>
      <c r="C262">
        <v>6420</v>
      </c>
      <c r="D262" t="s">
        <v>1131</v>
      </c>
      <c r="E262">
        <v>25000</v>
      </c>
      <c r="F262" t="s">
        <v>1502</v>
      </c>
      <c r="G262" t="s">
        <v>1741</v>
      </c>
      <c r="H262" t="s">
        <v>1504</v>
      </c>
    </row>
    <row r="263" spans="1:8" x14ac:dyDescent="0.35">
      <c r="A263">
        <v>20260301</v>
      </c>
      <c r="B263" t="s">
        <v>1138</v>
      </c>
      <c r="C263">
        <v>7130</v>
      </c>
      <c r="D263" t="s">
        <v>1131</v>
      </c>
      <c r="E263">
        <v>20147</v>
      </c>
      <c r="F263" t="s">
        <v>1505</v>
      </c>
      <c r="G263" t="s">
        <v>1742</v>
      </c>
      <c r="H263" t="s">
        <v>1507</v>
      </c>
    </row>
    <row r="264" spans="1:8" x14ac:dyDescent="0.35">
      <c r="A264">
        <v>20260301</v>
      </c>
      <c r="B264" t="s">
        <v>1138</v>
      </c>
      <c r="C264">
        <v>1250</v>
      </c>
      <c r="D264" t="s">
        <v>1139</v>
      </c>
      <c r="E264">
        <v>1200000</v>
      </c>
      <c r="F264" t="s">
        <v>1142</v>
      </c>
      <c r="G264" t="s">
        <v>1141</v>
      </c>
      <c r="H264" t="s">
        <v>1143</v>
      </c>
    </row>
    <row r="265" spans="1:8" x14ac:dyDescent="0.35">
      <c r="A265">
        <v>20260301</v>
      </c>
      <c r="B265" t="s">
        <v>1138</v>
      </c>
      <c r="C265">
        <v>2050</v>
      </c>
      <c r="D265" t="s">
        <v>1139</v>
      </c>
      <c r="E265">
        <v>-1200000</v>
      </c>
      <c r="F265" t="s">
        <v>634</v>
      </c>
      <c r="G265" t="s">
        <v>1136</v>
      </c>
      <c r="H265" t="s">
        <v>1140</v>
      </c>
    </row>
    <row r="266" spans="1:8" x14ac:dyDescent="0.35">
      <c r="A266">
        <v>20260301</v>
      </c>
      <c r="B266" t="s">
        <v>1138</v>
      </c>
      <c r="C266">
        <v>6050</v>
      </c>
      <c r="D266" t="s">
        <v>1139</v>
      </c>
      <c r="E266">
        <v>33333.33</v>
      </c>
      <c r="F266" t="s">
        <v>1743</v>
      </c>
      <c r="G266" t="s">
        <v>1744</v>
      </c>
      <c r="H266" t="s">
        <v>1745</v>
      </c>
    </row>
    <row r="267" spans="1:8" x14ac:dyDescent="0.35">
      <c r="A267">
        <v>20260401</v>
      </c>
      <c r="B267" t="s">
        <v>1150</v>
      </c>
      <c r="C267">
        <v>5000</v>
      </c>
      <c r="D267" t="s">
        <v>1131</v>
      </c>
      <c r="E267">
        <v>454867</v>
      </c>
      <c r="F267" t="s">
        <v>1151</v>
      </c>
      <c r="G267" t="s">
        <v>1199</v>
      </c>
      <c r="H267" t="s">
        <v>1152</v>
      </c>
    </row>
    <row r="268" spans="1:8" x14ac:dyDescent="0.35">
      <c r="A268">
        <v>20260401</v>
      </c>
      <c r="B268" t="s">
        <v>1150</v>
      </c>
      <c r="C268">
        <v>5400</v>
      </c>
      <c r="D268" t="s">
        <v>1131</v>
      </c>
      <c r="E268">
        <v>64136.25</v>
      </c>
      <c r="F268" t="s">
        <v>632</v>
      </c>
      <c r="G268" t="s">
        <v>1746</v>
      </c>
      <c r="H268" t="s">
        <v>1152</v>
      </c>
    </row>
    <row r="269" spans="1:8" x14ac:dyDescent="0.35">
      <c r="A269">
        <v>20260401</v>
      </c>
      <c r="B269" t="s">
        <v>1150</v>
      </c>
      <c r="C269">
        <v>5420</v>
      </c>
      <c r="D269" t="s">
        <v>1131</v>
      </c>
      <c r="E269">
        <v>45486.7</v>
      </c>
      <c r="F269" t="s">
        <v>1497</v>
      </c>
      <c r="G269" t="s">
        <v>1747</v>
      </c>
      <c r="H269" t="s">
        <v>1152</v>
      </c>
    </row>
    <row r="270" spans="1:8" x14ac:dyDescent="0.35">
      <c r="A270">
        <v>20260401</v>
      </c>
      <c r="B270" t="s">
        <v>1150</v>
      </c>
      <c r="C270">
        <v>6300</v>
      </c>
      <c r="D270" t="s">
        <v>1131</v>
      </c>
      <c r="E270">
        <v>85000</v>
      </c>
      <c r="F270" t="s">
        <v>1499</v>
      </c>
      <c r="G270" t="s">
        <v>1748</v>
      </c>
      <c r="H270" t="s">
        <v>1501</v>
      </c>
    </row>
    <row r="271" spans="1:8" x14ac:dyDescent="0.35">
      <c r="A271">
        <v>20260401</v>
      </c>
      <c r="B271" t="s">
        <v>1150</v>
      </c>
      <c r="C271">
        <v>6420</v>
      </c>
      <c r="D271" t="s">
        <v>1131</v>
      </c>
      <c r="E271">
        <v>25000</v>
      </c>
      <c r="F271" t="s">
        <v>1502</v>
      </c>
      <c r="G271" t="s">
        <v>1749</v>
      </c>
      <c r="H271" t="s">
        <v>1504</v>
      </c>
    </row>
    <row r="272" spans="1:8" x14ac:dyDescent="0.35">
      <c r="A272">
        <v>20260401</v>
      </c>
      <c r="B272" t="s">
        <v>1150</v>
      </c>
      <c r="C272">
        <v>7130</v>
      </c>
      <c r="D272" t="s">
        <v>1131</v>
      </c>
      <c r="E272">
        <v>13845</v>
      </c>
      <c r="F272" t="s">
        <v>1505</v>
      </c>
      <c r="G272" t="s">
        <v>1750</v>
      </c>
      <c r="H272" t="s">
        <v>1507</v>
      </c>
    </row>
    <row r="273" spans="1:8" x14ac:dyDescent="0.35">
      <c r="A273">
        <v>20260401</v>
      </c>
      <c r="B273" t="s">
        <v>1272</v>
      </c>
      <c r="C273">
        <v>5100</v>
      </c>
      <c r="D273" t="s">
        <v>480</v>
      </c>
      <c r="E273">
        <v>99050</v>
      </c>
      <c r="F273" t="s">
        <v>1508</v>
      </c>
      <c r="G273" t="s">
        <v>1751</v>
      </c>
      <c r="H273" t="s">
        <v>1510</v>
      </c>
    </row>
    <row r="274" spans="1:8" x14ac:dyDescent="0.35">
      <c r="A274">
        <v>20260401</v>
      </c>
      <c r="B274" t="s">
        <v>1272</v>
      </c>
      <c r="C274">
        <v>6800</v>
      </c>
      <c r="D274" t="s">
        <v>480</v>
      </c>
      <c r="E274">
        <v>42450</v>
      </c>
      <c r="F274" t="s">
        <v>1511</v>
      </c>
      <c r="G274" t="s">
        <v>1752</v>
      </c>
      <c r="H274" t="s">
        <v>1513</v>
      </c>
    </row>
    <row r="275" spans="1:8" x14ac:dyDescent="0.35">
      <c r="A275">
        <v>20260401</v>
      </c>
      <c r="B275" t="s">
        <v>1272</v>
      </c>
      <c r="C275">
        <v>3420</v>
      </c>
      <c r="D275" t="s">
        <v>480</v>
      </c>
      <c r="E275">
        <v>-141500</v>
      </c>
      <c r="F275" t="s">
        <v>1269</v>
      </c>
      <c r="G275" t="s">
        <v>1753</v>
      </c>
      <c r="H275" t="s">
        <v>1270</v>
      </c>
    </row>
    <row r="276" spans="1:8" x14ac:dyDescent="0.35">
      <c r="A276">
        <v>20260401</v>
      </c>
      <c r="B276" t="s">
        <v>1272</v>
      </c>
      <c r="C276">
        <v>2180</v>
      </c>
      <c r="D276" t="s">
        <v>480</v>
      </c>
      <c r="E276">
        <v>141500</v>
      </c>
      <c r="F276" t="s">
        <v>1266</v>
      </c>
      <c r="G276" t="s">
        <v>1271</v>
      </c>
      <c r="H276" t="s">
        <v>1267</v>
      </c>
    </row>
    <row r="277" spans="1:8" x14ac:dyDescent="0.35">
      <c r="A277">
        <v>20260401</v>
      </c>
      <c r="B277" t="s">
        <v>1158</v>
      </c>
      <c r="C277">
        <v>5000</v>
      </c>
      <c r="D277" t="s">
        <v>1131</v>
      </c>
      <c r="E277">
        <v>444392</v>
      </c>
      <c r="F277" t="s">
        <v>1151</v>
      </c>
      <c r="G277" t="s">
        <v>1214</v>
      </c>
      <c r="H277" t="s">
        <v>1152</v>
      </c>
    </row>
    <row r="278" spans="1:8" x14ac:dyDescent="0.35">
      <c r="A278">
        <v>20260401</v>
      </c>
      <c r="B278" t="s">
        <v>1158</v>
      </c>
      <c r="C278">
        <v>5400</v>
      </c>
      <c r="D278" t="s">
        <v>1131</v>
      </c>
      <c r="E278">
        <v>62659.27</v>
      </c>
      <c r="F278" t="s">
        <v>632</v>
      </c>
      <c r="G278" t="s">
        <v>1754</v>
      </c>
      <c r="H278" t="s">
        <v>1152</v>
      </c>
    </row>
    <row r="279" spans="1:8" x14ac:dyDescent="0.35">
      <c r="A279">
        <v>20260401</v>
      </c>
      <c r="B279" t="s">
        <v>1158</v>
      </c>
      <c r="C279">
        <v>5420</v>
      </c>
      <c r="D279" t="s">
        <v>1131</v>
      </c>
      <c r="E279">
        <v>44439.199999999997</v>
      </c>
      <c r="F279" t="s">
        <v>1497</v>
      </c>
      <c r="G279" t="s">
        <v>1755</v>
      </c>
      <c r="H279" t="s">
        <v>1152</v>
      </c>
    </row>
    <row r="280" spans="1:8" x14ac:dyDescent="0.35">
      <c r="A280">
        <v>20260401</v>
      </c>
      <c r="B280" t="s">
        <v>1158</v>
      </c>
      <c r="C280">
        <v>6300</v>
      </c>
      <c r="D280" t="s">
        <v>1131</v>
      </c>
      <c r="E280">
        <v>85000</v>
      </c>
      <c r="F280" t="s">
        <v>1499</v>
      </c>
      <c r="G280" t="s">
        <v>1756</v>
      </c>
      <c r="H280" t="s">
        <v>1501</v>
      </c>
    </row>
    <row r="281" spans="1:8" x14ac:dyDescent="0.35">
      <c r="A281">
        <v>20260401</v>
      </c>
      <c r="B281" t="s">
        <v>1158</v>
      </c>
      <c r="C281">
        <v>6420</v>
      </c>
      <c r="D281" t="s">
        <v>1131</v>
      </c>
      <c r="E281">
        <v>25000</v>
      </c>
      <c r="F281" t="s">
        <v>1502</v>
      </c>
      <c r="G281" t="s">
        <v>1757</v>
      </c>
      <c r="H281" t="s">
        <v>1504</v>
      </c>
    </row>
    <row r="282" spans="1:8" x14ac:dyDescent="0.35">
      <c r="A282">
        <v>20260401</v>
      </c>
      <c r="B282" t="s">
        <v>1158</v>
      </c>
      <c r="C282">
        <v>7130</v>
      </c>
      <c r="D282" t="s">
        <v>1131</v>
      </c>
      <c r="E282">
        <v>15626</v>
      </c>
      <c r="F282" t="s">
        <v>1505</v>
      </c>
      <c r="G282" t="s">
        <v>1758</v>
      </c>
      <c r="H282" t="s">
        <v>1507</v>
      </c>
    </row>
    <row r="283" spans="1:8" x14ac:dyDescent="0.35">
      <c r="A283">
        <v>20260401</v>
      </c>
      <c r="B283" t="s">
        <v>1243</v>
      </c>
      <c r="C283">
        <v>5100</v>
      </c>
      <c r="D283" t="s">
        <v>493</v>
      </c>
      <c r="E283">
        <v>76065.5</v>
      </c>
      <c r="F283" t="s">
        <v>1508</v>
      </c>
      <c r="G283" t="s">
        <v>1759</v>
      </c>
      <c r="H283" t="s">
        <v>1510</v>
      </c>
    </row>
    <row r="284" spans="1:8" x14ac:dyDescent="0.35">
      <c r="A284">
        <v>20260401</v>
      </c>
      <c r="B284" t="s">
        <v>1243</v>
      </c>
      <c r="C284">
        <v>6800</v>
      </c>
      <c r="D284" t="s">
        <v>493</v>
      </c>
      <c r="E284">
        <v>32599.5</v>
      </c>
      <c r="F284" t="s">
        <v>1511</v>
      </c>
      <c r="G284" t="s">
        <v>1760</v>
      </c>
      <c r="H284" t="s">
        <v>1513</v>
      </c>
    </row>
    <row r="285" spans="1:8" x14ac:dyDescent="0.35">
      <c r="A285">
        <v>20260401</v>
      </c>
      <c r="B285" t="s">
        <v>1243</v>
      </c>
      <c r="C285">
        <v>3450</v>
      </c>
      <c r="D285" t="s">
        <v>493</v>
      </c>
      <c r="E285">
        <v>-110000</v>
      </c>
      <c r="F285" t="s">
        <v>1523</v>
      </c>
      <c r="G285" t="s">
        <v>1761</v>
      </c>
      <c r="H285" t="s">
        <v>1525</v>
      </c>
    </row>
    <row r="286" spans="1:8" x14ac:dyDescent="0.35">
      <c r="A286">
        <v>20260401</v>
      </c>
      <c r="B286" t="s">
        <v>1205</v>
      </c>
      <c r="C286">
        <v>5000</v>
      </c>
      <c r="D286" t="s">
        <v>1131</v>
      </c>
      <c r="E286">
        <v>445010</v>
      </c>
      <c r="F286" t="s">
        <v>1151</v>
      </c>
      <c r="G286" t="s">
        <v>1211</v>
      </c>
      <c r="H286" t="s">
        <v>1152</v>
      </c>
    </row>
    <row r="287" spans="1:8" x14ac:dyDescent="0.35">
      <c r="A287">
        <v>20260401</v>
      </c>
      <c r="B287" t="s">
        <v>1205</v>
      </c>
      <c r="C287">
        <v>5400</v>
      </c>
      <c r="D287" t="s">
        <v>1131</v>
      </c>
      <c r="E287">
        <v>62746.41</v>
      </c>
      <c r="F287" t="s">
        <v>632</v>
      </c>
      <c r="G287" t="s">
        <v>1762</v>
      </c>
      <c r="H287" t="s">
        <v>1152</v>
      </c>
    </row>
    <row r="288" spans="1:8" x14ac:dyDescent="0.35">
      <c r="A288">
        <v>20260401</v>
      </c>
      <c r="B288" t="s">
        <v>1205</v>
      </c>
      <c r="C288">
        <v>5420</v>
      </c>
      <c r="D288" t="s">
        <v>1131</v>
      </c>
      <c r="E288">
        <v>44501</v>
      </c>
      <c r="F288" t="s">
        <v>1497</v>
      </c>
      <c r="G288" t="s">
        <v>1763</v>
      </c>
      <c r="H288" t="s">
        <v>1152</v>
      </c>
    </row>
    <row r="289" spans="1:8" x14ac:dyDescent="0.35">
      <c r="A289">
        <v>20260401</v>
      </c>
      <c r="B289" t="s">
        <v>1205</v>
      </c>
      <c r="C289">
        <v>6300</v>
      </c>
      <c r="D289" t="s">
        <v>1131</v>
      </c>
      <c r="E289">
        <v>85000</v>
      </c>
      <c r="F289" t="s">
        <v>1499</v>
      </c>
      <c r="G289" t="s">
        <v>1764</v>
      </c>
      <c r="H289" t="s">
        <v>1501</v>
      </c>
    </row>
    <row r="290" spans="1:8" x14ac:dyDescent="0.35">
      <c r="A290">
        <v>20260401</v>
      </c>
      <c r="B290" t="s">
        <v>1205</v>
      </c>
      <c r="C290">
        <v>6420</v>
      </c>
      <c r="D290" t="s">
        <v>1131</v>
      </c>
      <c r="E290">
        <v>25000</v>
      </c>
      <c r="F290" t="s">
        <v>1502</v>
      </c>
      <c r="G290" t="s">
        <v>1765</v>
      </c>
      <c r="H290" t="s">
        <v>1504</v>
      </c>
    </row>
    <row r="291" spans="1:8" x14ac:dyDescent="0.35">
      <c r="A291">
        <v>20260401</v>
      </c>
      <c r="B291" t="s">
        <v>1205</v>
      </c>
      <c r="C291">
        <v>7130</v>
      </c>
      <c r="D291" t="s">
        <v>1131</v>
      </c>
      <c r="E291">
        <v>6051</v>
      </c>
      <c r="F291" t="s">
        <v>1505</v>
      </c>
      <c r="G291" t="s">
        <v>1766</v>
      </c>
      <c r="H291" t="s">
        <v>1507</v>
      </c>
    </row>
    <row r="292" spans="1:8" x14ac:dyDescent="0.35">
      <c r="A292">
        <v>20260401</v>
      </c>
      <c r="B292" t="s">
        <v>1205</v>
      </c>
      <c r="C292">
        <v>5050</v>
      </c>
      <c r="D292" t="s">
        <v>1131</v>
      </c>
      <c r="E292">
        <v>61379</v>
      </c>
      <c r="F292" t="s">
        <v>1531</v>
      </c>
      <c r="G292" t="s">
        <v>1767</v>
      </c>
      <c r="H292" t="s">
        <v>1533</v>
      </c>
    </row>
    <row r="293" spans="1:8" x14ac:dyDescent="0.35">
      <c r="A293">
        <v>20260401</v>
      </c>
      <c r="B293" t="s">
        <v>1257</v>
      </c>
      <c r="C293">
        <v>5100</v>
      </c>
      <c r="D293" t="s">
        <v>493</v>
      </c>
      <c r="E293">
        <v>87971.099999999991</v>
      </c>
      <c r="F293" t="s">
        <v>1508</v>
      </c>
      <c r="G293" t="s">
        <v>1768</v>
      </c>
      <c r="H293" t="s">
        <v>1510</v>
      </c>
    </row>
    <row r="294" spans="1:8" x14ac:dyDescent="0.35">
      <c r="A294">
        <v>20260401</v>
      </c>
      <c r="B294" t="s">
        <v>1257</v>
      </c>
      <c r="C294">
        <v>6800</v>
      </c>
      <c r="D294" t="s">
        <v>493</v>
      </c>
      <c r="E294">
        <v>37701.9</v>
      </c>
      <c r="F294" t="s">
        <v>1511</v>
      </c>
      <c r="G294" t="s">
        <v>1769</v>
      </c>
      <c r="H294" t="s">
        <v>1513</v>
      </c>
    </row>
    <row r="295" spans="1:8" x14ac:dyDescent="0.35">
      <c r="A295">
        <v>20260401</v>
      </c>
      <c r="B295" t="s">
        <v>1257</v>
      </c>
      <c r="C295">
        <v>3450</v>
      </c>
      <c r="D295" t="s">
        <v>493</v>
      </c>
      <c r="E295">
        <v>-110000</v>
      </c>
      <c r="F295" t="s">
        <v>1523</v>
      </c>
      <c r="G295" t="s">
        <v>1770</v>
      </c>
      <c r="H295" t="s">
        <v>1525</v>
      </c>
    </row>
    <row r="296" spans="1:8" x14ac:dyDescent="0.35">
      <c r="A296">
        <v>20260401</v>
      </c>
      <c r="B296" t="s">
        <v>1164</v>
      </c>
      <c r="C296">
        <v>5000</v>
      </c>
      <c r="D296" t="s">
        <v>1131</v>
      </c>
      <c r="E296">
        <v>456290</v>
      </c>
      <c r="F296" t="s">
        <v>1151</v>
      </c>
      <c r="G296" t="s">
        <v>1194</v>
      </c>
      <c r="H296" t="s">
        <v>1152</v>
      </c>
    </row>
    <row r="297" spans="1:8" x14ac:dyDescent="0.35">
      <c r="A297">
        <v>20260401</v>
      </c>
      <c r="B297" t="s">
        <v>1164</v>
      </c>
      <c r="C297">
        <v>5400</v>
      </c>
      <c r="D297" t="s">
        <v>1131</v>
      </c>
      <c r="E297">
        <v>64336.89</v>
      </c>
      <c r="F297" t="s">
        <v>632</v>
      </c>
      <c r="G297" t="s">
        <v>1771</v>
      </c>
      <c r="H297" t="s">
        <v>1152</v>
      </c>
    </row>
    <row r="298" spans="1:8" x14ac:dyDescent="0.35">
      <c r="A298">
        <v>20260401</v>
      </c>
      <c r="B298" t="s">
        <v>1164</v>
      </c>
      <c r="C298">
        <v>5420</v>
      </c>
      <c r="D298" t="s">
        <v>1131</v>
      </c>
      <c r="E298">
        <v>45629</v>
      </c>
      <c r="F298" t="s">
        <v>1497</v>
      </c>
      <c r="G298" t="s">
        <v>1772</v>
      </c>
      <c r="H298" t="s">
        <v>1152</v>
      </c>
    </row>
    <row r="299" spans="1:8" x14ac:dyDescent="0.35">
      <c r="A299">
        <v>20260401</v>
      </c>
      <c r="B299" t="s">
        <v>1164</v>
      </c>
      <c r="C299">
        <v>6300</v>
      </c>
      <c r="D299" t="s">
        <v>1131</v>
      </c>
      <c r="E299">
        <v>85000</v>
      </c>
      <c r="F299" t="s">
        <v>1499</v>
      </c>
      <c r="G299" t="s">
        <v>1773</v>
      </c>
      <c r="H299" t="s">
        <v>1501</v>
      </c>
    </row>
    <row r="300" spans="1:8" x14ac:dyDescent="0.35">
      <c r="A300">
        <v>20260401</v>
      </c>
      <c r="B300" t="s">
        <v>1164</v>
      </c>
      <c r="C300">
        <v>6420</v>
      </c>
      <c r="D300" t="s">
        <v>1131</v>
      </c>
      <c r="E300">
        <v>25000</v>
      </c>
      <c r="F300" t="s">
        <v>1502</v>
      </c>
      <c r="G300" t="s">
        <v>1774</v>
      </c>
      <c r="H300" t="s">
        <v>1504</v>
      </c>
    </row>
    <row r="301" spans="1:8" x14ac:dyDescent="0.35">
      <c r="A301">
        <v>20260401</v>
      </c>
      <c r="B301" t="s">
        <v>1164</v>
      </c>
      <c r="C301">
        <v>7130</v>
      </c>
      <c r="D301" t="s">
        <v>1131</v>
      </c>
      <c r="E301">
        <v>13773</v>
      </c>
      <c r="F301" t="s">
        <v>1505</v>
      </c>
      <c r="G301" t="s">
        <v>1775</v>
      </c>
      <c r="H301" t="s">
        <v>1507</v>
      </c>
    </row>
    <row r="302" spans="1:8" x14ac:dyDescent="0.35">
      <c r="A302">
        <v>20260401</v>
      </c>
      <c r="B302" t="s">
        <v>1249</v>
      </c>
      <c r="C302">
        <v>5100</v>
      </c>
      <c r="D302" t="s">
        <v>493</v>
      </c>
      <c r="E302">
        <v>76535.899999999994</v>
      </c>
      <c r="F302" t="s">
        <v>1508</v>
      </c>
      <c r="G302" t="s">
        <v>1776</v>
      </c>
      <c r="H302" t="s">
        <v>1510</v>
      </c>
    </row>
    <row r="303" spans="1:8" x14ac:dyDescent="0.35">
      <c r="A303">
        <v>20260401</v>
      </c>
      <c r="B303" t="s">
        <v>1249</v>
      </c>
      <c r="C303">
        <v>6800</v>
      </c>
      <c r="D303" t="s">
        <v>493</v>
      </c>
      <c r="E303">
        <v>32801.1</v>
      </c>
      <c r="F303" t="s">
        <v>1511</v>
      </c>
      <c r="G303" t="s">
        <v>1777</v>
      </c>
      <c r="H303" t="s">
        <v>1513</v>
      </c>
    </row>
    <row r="304" spans="1:8" x14ac:dyDescent="0.35">
      <c r="A304">
        <v>20260401</v>
      </c>
      <c r="B304" t="s">
        <v>1249</v>
      </c>
      <c r="C304">
        <v>3450</v>
      </c>
      <c r="D304" t="s">
        <v>493</v>
      </c>
      <c r="E304">
        <v>-110000</v>
      </c>
      <c r="F304" t="s">
        <v>1523</v>
      </c>
      <c r="G304" t="s">
        <v>1778</v>
      </c>
      <c r="H304" t="s">
        <v>1525</v>
      </c>
    </row>
    <row r="305" spans="1:8" x14ac:dyDescent="0.35">
      <c r="A305">
        <v>20260401</v>
      </c>
      <c r="B305" t="s">
        <v>1169</v>
      </c>
      <c r="C305">
        <v>5000</v>
      </c>
      <c r="D305" t="s">
        <v>1131</v>
      </c>
      <c r="E305">
        <v>443826</v>
      </c>
      <c r="F305" t="s">
        <v>1151</v>
      </c>
      <c r="G305" t="s">
        <v>1217</v>
      </c>
      <c r="H305" t="s">
        <v>1152</v>
      </c>
    </row>
    <row r="306" spans="1:8" x14ac:dyDescent="0.35">
      <c r="A306">
        <v>20260401</v>
      </c>
      <c r="B306" t="s">
        <v>1169</v>
      </c>
      <c r="C306">
        <v>5400</v>
      </c>
      <c r="D306" t="s">
        <v>1131</v>
      </c>
      <c r="E306">
        <v>62579.47</v>
      </c>
      <c r="F306" t="s">
        <v>632</v>
      </c>
      <c r="G306" t="s">
        <v>1779</v>
      </c>
      <c r="H306" t="s">
        <v>1152</v>
      </c>
    </row>
    <row r="307" spans="1:8" x14ac:dyDescent="0.35">
      <c r="A307">
        <v>20260401</v>
      </c>
      <c r="B307" t="s">
        <v>1169</v>
      </c>
      <c r="C307">
        <v>5420</v>
      </c>
      <c r="D307" t="s">
        <v>1131</v>
      </c>
      <c r="E307">
        <v>44382.6</v>
      </c>
      <c r="F307" t="s">
        <v>1497</v>
      </c>
      <c r="G307" t="s">
        <v>1780</v>
      </c>
      <c r="H307" t="s">
        <v>1152</v>
      </c>
    </row>
    <row r="308" spans="1:8" x14ac:dyDescent="0.35">
      <c r="A308">
        <v>20260401</v>
      </c>
      <c r="B308" t="s">
        <v>1169</v>
      </c>
      <c r="C308">
        <v>6300</v>
      </c>
      <c r="D308" t="s">
        <v>1131</v>
      </c>
      <c r="E308">
        <v>85000</v>
      </c>
      <c r="F308" t="s">
        <v>1499</v>
      </c>
      <c r="G308" t="s">
        <v>1781</v>
      </c>
      <c r="H308" t="s">
        <v>1501</v>
      </c>
    </row>
    <row r="309" spans="1:8" x14ac:dyDescent="0.35">
      <c r="A309">
        <v>20260401</v>
      </c>
      <c r="B309" t="s">
        <v>1169</v>
      </c>
      <c r="C309">
        <v>6420</v>
      </c>
      <c r="D309" t="s">
        <v>1131</v>
      </c>
      <c r="E309">
        <v>25000</v>
      </c>
      <c r="F309" t="s">
        <v>1502</v>
      </c>
      <c r="G309" t="s">
        <v>1782</v>
      </c>
      <c r="H309" t="s">
        <v>1504</v>
      </c>
    </row>
    <row r="310" spans="1:8" x14ac:dyDescent="0.35">
      <c r="A310">
        <v>20260401</v>
      </c>
      <c r="B310" t="s">
        <v>1169</v>
      </c>
      <c r="C310">
        <v>7130</v>
      </c>
      <c r="D310" t="s">
        <v>1131</v>
      </c>
      <c r="E310">
        <v>23585</v>
      </c>
      <c r="F310" t="s">
        <v>1505</v>
      </c>
      <c r="G310" t="s">
        <v>1783</v>
      </c>
      <c r="H310" t="s">
        <v>1507</v>
      </c>
    </row>
    <row r="311" spans="1:8" x14ac:dyDescent="0.35">
      <c r="A311">
        <v>20260401</v>
      </c>
      <c r="B311" t="s">
        <v>1260</v>
      </c>
      <c r="C311">
        <v>5100</v>
      </c>
      <c r="D311" t="s">
        <v>493</v>
      </c>
      <c r="E311">
        <v>87935.4</v>
      </c>
      <c r="F311" t="s">
        <v>1508</v>
      </c>
      <c r="G311" t="s">
        <v>1784</v>
      </c>
      <c r="H311" t="s">
        <v>1510</v>
      </c>
    </row>
    <row r="312" spans="1:8" x14ac:dyDescent="0.35">
      <c r="A312">
        <v>20260401</v>
      </c>
      <c r="B312" t="s">
        <v>1260</v>
      </c>
      <c r="C312">
        <v>6800</v>
      </c>
      <c r="D312" t="s">
        <v>493</v>
      </c>
      <c r="E312">
        <v>37686.6</v>
      </c>
      <c r="F312" t="s">
        <v>1511</v>
      </c>
      <c r="G312" t="s">
        <v>1785</v>
      </c>
      <c r="H312" t="s">
        <v>1513</v>
      </c>
    </row>
    <row r="313" spans="1:8" x14ac:dyDescent="0.35">
      <c r="A313">
        <v>20260401</v>
      </c>
      <c r="B313" t="s">
        <v>1260</v>
      </c>
      <c r="C313">
        <v>3450</v>
      </c>
      <c r="D313" t="s">
        <v>493</v>
      </c>
      <c r="E313">
        <v>-110000</v>
      </c>
      <c r="F313" t="s">
        <v>1523</v>
      </c>
      <c r="G313" t="s">
        <v>1786</v>
      </c>
      <c r="H313" t="s">
        <v>1525</v>
      </c>
    </row>
    <row r="314" spans="1:8" x14ac:dyDescent="0.35">
      <c r="A314">
        <v>20260401</v>
      </c>
      <c r="B314" t="s">
        <v>1175</v>
      </c>
      <c r="C314">
        <v>5000</v>
      </c>
      <c r="D314" t="s">
        <v>1131</v>
      </c>
      <c r="E314">
        <v>443934</v>
      </c>
      <c r="F314" t="s">
        <v>1151</v>
      </c>
      <c r="G314" t="s">
        <v>1216</v>
      </c>
      <c r="H314" t="s">
        <v>1152</v>
      </c>
    </row>
    <row r="315" spans="1:8" x14ac:dyDescent="0.35">
      <c r="A315">
        <v>20260401</v>
      </c>
      <c r="B315" t="s">
        <v>1175</v>
      </c>
      <c r="C315">
        <v>5400</v>
      </c>
      <c r="D315" t="s">
        <v>1131</v>
      </c>
      <c r="E315">
        <v>62594.69</v>
      </c>
      <c r="F315" t="s">
        <v>632</v>
      </c>
      <c r="G315" t="s">
        <v>1787</v>
      </c>
      <c r="H315" t="s">
        <v>1152</v>
      </c>
    </row>
    <row r="316" spans="1:8" x14ac:dyDescent="0.35">
      <c r="A316">
        <v>20260401</v>
      </c>
      <c r="B316" t="s">
        <v>1175</v>
      </c>
      <c r="C316">
        <v>5420</v>
      </c>
      <c r="D316" t="s">
        <v>1131</v>
      </c>
      <c r="E316">
        <v>44393.4</v>
      </c>
      <c r="F316" t="s">
        <v>1497</v>
      </c>
      <c r="G316" t="s">
        <v>1788</v>
      </c>
      <c r="H316" t="s">
        <v>1152</v>
      </c>
    </row>
    <row r="317" spans="1:8" x14ac:dyDescent="0.35">
      <c r="A317">
        <v>20260401</v>
      </c>
      <c r="B317" t="s">
        <v>1175</v>
      </c>
      <c r="C317">
        <v>6300</v>
      </c>
      <c r="D317" t="s">
        <v>1131</v>
      </c>
      <c r="E317">
        <v>85000</v>
      </c>
      <c r="F317" t="s">
        <v>1499</v>
      </c>
      <c r="G317" t="s">
        <v>1789</v>
      </c>
      <c r="H317" t="s">
        <v>1501</v>
      </c>
    </row>
    <row r="318" spans="1:8" x14ac:dyDescent="0.35">
      <c r="A318">
        <v>20260401</v>
      </c>
      <c r="B318" t="s">
        <v>1175</v>
      </c>
      <c r="C318">
        <v>6420</v>
      </c>
      <c r="D318" t="s">
        <v>1131</v>
      </c>
      <c r="E318">
        <v>25000</v>
      </c>
      <c r="F318" t="s">
        <v>1502</v>
      </c>
      <c r="G318" t="s">
        <v>1790</v>
      </c>
      <c r="H318" t="s">
        <v>1504</v>
      </c>
    </row>
    <row r="319" spans="1:8" x14ac:dyDescent="0.35">
      <c r="A319">
        <v>20260401</v>
      </c>
      <c r="B319" t="s">
        <v>1175</v>
      </c>
      <c r="C319">
        <v>7130</v>
      </c>
      <c r="D319" t="s">
        <v>1131</v>
      </c>
      <c r="E319">
        <v>21358</v>
      </c>
      <c r="F319" t="s">
        <v>1505</v>
      </c>
      <c r="G319" t="s">
        <v>1791</v>
      </c>
      <c r="H319" t="s">
        <v>1507</v>
      </c>
    </row>
    <row r="320" spans="1:8" x14ac:dyDescent="0.35">
      <c r="A320">
        <v>20260401</v>
      </c>
      <c r="B320" t="s">
        <v>1247</v>
      </c>
      <c r="C320">
        <v>5100</v>
      </c>
      <c r="D320" t="s">
        <v>493</v>
      </c>
      <c r="E320">
        <v>91649.599999999991</v>
      </c>
      <c r="F320" t="s">
        <v>1508</v>
      </c>
      <c r="G320" t="s">
        <v>1792</v>
      </c>
      <c r="H320" t="s">
        <v>1510</v>
      </c>
    </row>
    <row r="321" spans="1:8" x14ac:dyDescent="0.35">
      <c r="A321">
        <v>20260401</v>
      </c>
      <c r="B321" t="s">
        <v>1247</v>
      </c>
      <c r="C321">
        <v>6800</v>
      </c>
      <c r="D321" t="s">
        <v>493</v>
      </c>
      <c r="E321">
        <v>39278.400000000001</v>
      </c>
      <c r="F321" t="s">
        <v>1511</v>
      </c>
      <c r="G321" t="s">
        <v>1793</v>
      </c>
      <c r="H321" t="s">
        <v>1513</v>
      </c>
    </row>
    <row r="322" spans="1:8" x14ac:dyDescent="0.35">
      <c r="A322">
        <v>20260401</v>
      </c>
      <c r="B322" t="s">
        <v>1247</v>
      </c>
      <c r="C322">
        <v>3450</v>
      </c>
      <c r="D322" t="s">
        <v>493</v>
      </c>
      <c r="E322">
        <v>-110000</v>
      </c>
      <c r="F322" t="s">
        <v>1523</v>
      </c>
      <c r="G322" t="s">
        <v>1794</v>
      </c>
      <c r="H322" t="s">
        <v>1525</v>
      </c>
    </row>
    <row r="323" spans="1:8" x14ac:dyDescent="0.35">
      <c r="A323">
        <v>20260401</v>
      </c>
      <c r="B323" t="s">
        <v>1130</v>
      </c>
      <c r="C323">
        <v>5000</v>
      </c>
      <c r="D323" t="s">
        <v>1131</v>
      </c>
      <c r="E323">
        <v>472129</v>
      </c>
      <c r="F323" t="s">
        <v>1151</v>
      </c>
      <c r="G323" t="s">
        <v>1166</v>
      </c>
      <c r="H323" t="s">
        <v>1152</v>
      </c>
    </row>
    <row r="324" spans="1:8" x14ac:dyDescent="0.35">
      <c r="A324">
        <v>20260401</v>
      </c>
      <c r="B324" t="s">
        <v>1130</v>
      </c>
      <c r="C324">
        <v>5400</v>
      </c>
      <c r="D324" t="s">
        <v>1131</v>
      </c>
      <c r="E324">
        <v>66570.19</v>
      </c>
      <c r="F324" t="s">
        <v>632</v>
      </c>
      <c r="G324" t="s">
        <v>1795</v>
      </c>
      <c r="H324" t="s">
        <v>1152</v>
      </c>
    </row>
    <row r="325" spans="1:8" x14ac:dyDescent="0.35">
      <c r="A325">
        <v>20260401</v>
      </c>
      <c r="B325" t="s">
        <v>1130</v>
      </c>
      <c r="C325">
        <v>5420</v>
      </c>
      <c r="D325" t="s">
        <v>1131</v>
      </c>
      <c r="E325">
        <v>47212.9</v>
      </c>
      <c r="F325" t="s">
        <v>1497</v>
      </c>
      <c r="G325" t="s">
        <v>1796</v>
      </c>
      <c r="H325" t="s">
        <v>1152</v>
      </c>
    </row>
    <row r="326" spans="1:8" x14ac:dyDescent="0.35">
      <c r="A326">
        <v>20260401</v>
      </c>
      <c r="B326" t="s">
        <v>1130</v>
      </c>
      <c r="C326">
        <v>6300</v>
      </c>
      <c r="D326" t="s">
        <v>1131</v>
      </c>
      <c r="E326">
        <v>85000</v>
      </c>
      <c r="F326" t="s">
        <v>1499</v>
      </c>
      <c r="G326" t="s">
        <v>1797</v>
      </c>
      <c r="H326" t="s">
        <v>1501</v>
      </c>
    </row>
    <row r="327" spans="1:8" x14ac:dyDescent="0.35">
      <c r="A327">
        <v>20260401</v>
      </c>
      <c r="B327" t="s">
        <v>1130</v>
      </c>
      <c r="C327">
        <v>6420</v>
      </c>
      <c r="D327" t="s">
        <v>1131</v>
      </c>
      <c r="E327">
        <v>25000</v>
      </c>
      <c r="F327" t="s">
        <v>1502</v>
      </c>
      <c r="G327" t="s">
        <v>1798</v>
      </c>
      <c r="H327" t="s">
        <v>1504</v>
      </c>
    </row>
    <row r="328" spans="1:8" x14ac:dyDescent="0.35">
      <c r="A328">
        <v>20260401</v>
      </c>
      <c r="B328" t="s">
        <v>1130</v>
      </c>
      <c r="C328">
        <v>7130</v>
      </c>
      <c r="D328" t="s">
        <v>1131</v>
      </c>
      <c r="E328">
        <v>20035</v>
      </c>
      <c r="F328" t="s">
        <v>1505</v>
      </c>
      <c r="G328" t="s">
        <v>1799</v>
      </c>
      <c r="H328" t="s">
        <v>1507</v>
      </c>
    </row>
    <row r="329" spans="1:8" x14ac:dyDescent="0.35">
      <c r="A329">
        <v>20260401</v>
      </c>
      <c r="B329" t="s">
        <v>1130</v>
      </c>
      <c r="C329">
        <v>2080</v>
      </c>
      <c r="D329" t="s">
        <v>1131</v>
      </c>
      <c r="E329">
        <v>-2400000</v>
      </c>
      <c r="F329" t="s">
        <v>1132</v>
      </c>
      <c r="G329" t="s">
        <v>1134</v>
      </c>
      <c r="H329" t="s">
        <v>1133</v>
      </c>
    </row>
    <row r="330" spans="1:8" x14ac:dyDescent="0.35">
      <c r="A330">
        <v>20260401</v>
      </c>
      <c r="B330" t="s">
        <v>1265</v>
      </c>
      <c r="C330">
        <v>5100</v>
      </c>
      <c r="D330" t="s">
        <v>485</v>
      </c>
      <c r="E330">
        <v>80054.099999999991</v>
      </c>
      <c r="F330" t="s">
        <v>1508</v>
      </c>
      <c r="G330" t="s">
        <v>1800</v>
      </c>
      <c r="H330" t="s">
        <v>1510</v>
      </c>
    </row>
    <row r="331" spans="1:8" x14ac:dyDescent="0.35">
      <c r="A331">
        <v>20260401</v>
      </c>
      <c r="B331" t="s">
        <v>1265</v>
      </c>
      <c r="C331">
        <v>6800</v>
      </c>
      <c r="D331" t="s">
        <v>485</v>
      </c>
      <c r="E331">
        <v>34308.9</v>
      </c>
      <c r="F331" t="s">
        <v>1511</v>
      </c>
      <c r="G331" t="s">
        <v>1801</v>
      </c>
      <c r="H331" t="s">
        <v>1513</v>
      </c>
    </row>
    <row r="332" spans="1:8" x14ac:dyDescent="0.35">
      <c r="A332">
        <v>20260401</v>
      </c>
      <c r="B332" t="s">
        <v>1265</v>
      </c>
      <c r="C332">
        <v>3400</v>
      </c>
      <c r="D332" t="s">
        <v>485</v>
      </c>
      <c r="E332">
        <v>-114363</v>
      </c>
      <c r="F332" t="s">
        <v>1269</v>
      </c>
      <c r="G332" t="s">
        <v>1802</v>
      </c>
      <c r="H332" t="s">
        <v>1270</v>
      </c>
    </row>
    <row r="333" spans="1:8" x14ac:dyDescent="0.35">
      <c r="A333">
        <v>20260401</v>
      </c>
      <c r="B333" t="s">
        <v>1265</v>
      </c>
      <c r="C333">
        <v>2180</v>
      </c>
      <c r="D333" t="s">
        <v>485</v>
      </c>
      <c r="E333">
        <v>114363</v>
      </c>
      <c r="F333" t="s">
        <v>1266</v>
      </c>
      <c r="G333" t="s">
        <v>1803</v>
      </c>
      <c r="H333" t="s">
        <v>1267</v>
      </c>
    </row>
    <row r="334" spans="1:8" x14ac:dyDescent="0.35">
      <c r="A334">
        <v>20260401</v>
      </c>
      <c r="B334" t="s">
        <v>1173</v>
      </c>
      <c r="C334">
        <v>5000</v>
      </c>
      <c r="D334" t="s">
        <v>1131</v>
      </c>
      <c r="E334">
        <v>447359</v>
      </c>
      <c r="F334" t="s">
        <v>1151</v>
      </c>
      <c r="G334" t="s">
        <v>1209</v>
      </c>
      <c r="H334" t="s">
        <v>1152</v>
      </c>
    </row>
    <row r="335" spans="1:8" x14ac:dyDescent="0.35">
      <c r="A335">
        <v>20260401</v>
      </c>
      <c r="B335" t="s">
        <v>1173</v>
      </c>
      <c r="C335">
        <v>5400</v>
      </c>
      <c r="D335" t="s">
        <v>1131</v>
      </c>
      <c r="E335">
        <v>63077.62</v>
      </c>
      <c r="F335" t="s">
        <v>632</v>
      </c>
      <c r="G335" t="s">
        <v>1804</v>
      </c>
      <c r="H335" t="s">
        <v>1152</v>
      </c>
    </row>
    <row r="336" spans="1:8" x14ac:dyDescent="0.35">
      <c r="A336">
        <v>20260401</v>
      </c>
      <c r="B336" t="s">
        <v>1173</v>
      </c>
      <c r="C336">
        <v>5420</v>
      </c>
      <c r="D336" t="s">
        <v>1131</v>
      </c>
      <c r="E336">
        <v>44735.9</v>
      </c>
      <c r="F336" t="s">
        <v>1497</v>
      </c>
      <c r="G336" t="s">
        <v>1805</v>
      </c>
      <c r="H336" t="s">
        <v>1152</v>
      </c>
    </row>
    <row r="337" spans="1:8" x14ac:dyDescent="0.35">
      <c r="A337">
        <v>20260401</v>
      </c>
      <c r="B337" t="s">
        <v>1173</v>
      </c>
      <c r="C337">
        <v>6300</v>
      </c>
      <c r="D337" t="s">
        <v>1131</v>
      </c>
      <c r="E337">
        <v>85000</v>
      </c>
      <c r="F337" t="s">
        <v>1499</v>
      </c>
      <c r="G337" t="s">
        <v>1806</v>
      </c>
      <c r="H337" t="s">
        <v>1501</v>
      </c>
    </row>
    <row r="338" spans="1:8" x14ac:dyDescent="0.35">
      <c r="A338">
        <v>20260401</v>
      </c>
      <c r="B338" t="s">
        <v>1173</v>
      </c>
      <c r="C338">
        <v>6420</v>
      </c>
      <c r="D338" t="s">
        <v>1131</v>
      </c>
      <c r="E338">
        <v>25000</v>
      </c>
      <c r="F338" t="s">
        <v>1502</v>
      </c>
      <c r="G338" t="s">
        <v>1807</v>
      </c>
      <c r="H338" t="s">
        <v>1504</v>
      </c>
    </row>
    <row r="339" spans="1:8" x14ac:dyDescent="0.35">
      <c r="A339">
        <v>20260401</v>
      </c>
      <c r="B339" t="s">
        <v>1173</v>
      </c>
      <c r="C339">
        <v>7130</v>
      </c>
      <c r="D339" t="s">
        <v>1131</v>
      </c>
      <c r="E339">
        <v>9575</v>
      </c>
      <c r="F339" t="s">
        <v>1505</v>
      </c>
      <c r="G339" t="s">
        <v>1808</v>
      </c>
      <c r="H339" t="s">
        <v>1507</v>
      </c>
    </row>
    <row r="340" spans="1:8" x14ac:dyDescent="0.35">
      <c r="A340">
        <v>20260401</v>
      </c>
      <c r="B340" t="s">
        <v>1255</v>
      </c>
      <c r="C340">
        <v>5100</v>
      </c>
      <c r="D340" t="s">
        <v>493</v>
      </c>
      <c r="E340">
        <v>84813.4</v>
      </c>
      <c r="F340" t="s">
        <v>1508</v>
      </c>
      <c r="G340" t="s">
        <v>1809</v>
      </c>
      <c r="H340" t="s">
        <v>1510</v>
      </c>
    </row>
    <row r="341" spans="1:8" x14ac:dyDescent="0.35">
      <c r="A341">
        <v>20260401</v>
      </c>
      <c r="B341" t="s">
        <v>1255</v>
      </c>
      <c r="C341">
        <v>6800</v>
      </c>
      <c r="D341" t="s">
        <v>493</v>
      </c>
      <c r="E341">
        <v>36348.6</v>
      </c>
      <c r="F341" t="s">
        <v>1511</v>
      </c>
      <c r="G341" t="s">
        <v>1810</v>
      </c>
      <c r="H341" t="s">
        <v>1513</v>
      </c>
    </row>
    <row r="342" spans="1:8" x14ac:dyDescent="0.35">
      <c r="A342">
        <v>20260401</v>
      </c>
      <c r="B342" t="s">
        <v>1255</v>
      </c>
      <c r="C342">
        <v>3450</v>
      </c>
      <c r="D342" t="s">
        <v>493</v>
      </c>
      <c r="E342">
        <v>-110000</v>
      </c>
      <c r="F342" t="s">
        <v>1523</v>
      </c>
      <c r="G342" t="s">
        <v>1811</v>
      </c>
      <c r="H342" t="s">
        <v>1525</v>
      </c>
    </row>
    <row r="343" spans="1:8" x14ac:dyDescent="0.35">
      <c r="A343">
        <v>20260401</v>
      </c>
      <c r="B343" t="s">
        <v>1155</v>
      </c>
      <c r="C343">
        <v>5000</v>
      </c>
      <c r="D343" t="s">
        <v>1131</v>
      </c>
      <c r="E343">
        <v>478823</v>
      </c>
      <c r="F343" t="s">
        <v>1151</v>
      </c>
      <c r="G343" t="s">
        <v>1154</v>
      </c>
      <c r="H343" t="s">
        <v>1152</v>
      </c>
    </row>
    <row r="344" spans="1:8" x14ac:dyDescent="0.35">
      <c r="A344">
        <v>20260401</v>
      </c>
      <c r="B344" t="s">
        <v>1155</v>
      </c>
      <c r="C344">
        <v>5400</v>
      </c>
      <c r="D344" t="s">
        <v>1131</v>
      </c>
      <c r="E344">
        <v>67514.039999999994</v>
      </c>
      <c r="F344" t="s">
        <v>632</v>
      </c>
      <c r="G344" t="s">
        <v>1812</v>
      </c>
      <c r="H344" t="s">
        <v>1152</v>
      </c>
    </row>
    <row r="345" spans="1:8" x14ac:dyDescent="0.35">
      <c r="A345">
        <v>20260401</v>
      </c>
      <c r="B345" t="s">
        <v>1155</v>
      </c>
      <c r="C345">
        <v>5420</v>
      </c>
      <c r="D345" t="s">
        <v>1131</v>
      </c>
      <c r="E345">
        <v>47882.3</v>
      </c>
      <c r="F345" t="s">
        <v>1497</v>
      </c>
      <c r="G345" t="s">
        <v>1813</v>
      </c>
      <c r="H345" t="s">
        <v>1152</v>
      </c>
    </row>
    <row r="346" spans="1:8" x14ac:dyDescent="0.35">
      <c r="A346">
        <v>20260401</v>
      </c>
      <c r="B346" t="s">
        <v>1155</v>
      </c>
      <c r="C346">
        <v>6300</v>
      </c>
      <c r="D346" t="s">
        <v>1131</v>
      </c>
      <c r="E346">
        <v>85000</v>
      </c>
      <c r="F346" t="s">
        <v>1499</v>
      </c>
      <c r="G346" t="s">
        <v>1814</v>
      </c>
      <c r="H346" t="s">
        <v>1501</v>
      </c>
    </row>
    <row r="347" spans="1:8" x14ac:dyDescent="0.35">
      <c r="A347">
        <v>20260401</v>
      </c>
      <c r="B347" t="s">
        <v>1155</v>
      </c>
      <c r="C347">
        <v>6420</v>
      </c>
      <c r="D347" t="s">
        <v>1131</v>
      </c>
      <c r="E347">
        <v>25000</v>
      </c>
      <c r="F347" t="s">
        <v>1502</v>
      </c>
      <c r="G347" t="s">
        <v>1815</v>
      </c>
      <c r="H347" t="s">
        <v>1504</v>
      </c>
    </row>
    <row r="348" spans="1:8" x14ac:dyDescent="0.35">
      <c r="A348">
        <v>20260401</v>
      </c>
      <c r="B348" t="s">
        <v>1155</v>
      </c>
      <c r="C348">
        <v>7130</v>
      </c>
      <c r="D348" t="s">
        <v>1131</v>
      </c>
      <c r="E348">
        <v>23394</v>
      </c>
      <c r="F348" t="s">
        <v>1505</v>
      </c>
      <c r="G348" t="s">
        <v>1816</v>
      </c>
      <c r="H348" t="s">
        <v>1507</v>
      </c>
    </row>
    <row r="349" spans="1:8" x14ac:dyDescent="0.35">
      <c r="A349">
        <v>20260401</v>
      </c>
      <c r="B349" t="s">
        <v>1138</v>
      </c>
      <c r="C349">
        <v>5000</v>
      </c>
      <c r="D349" t="s">
        <v>1131</v>
      </c>
      <c r="E349">
        <v>465322</v>
      </c>
      <c r="F349" t="s">
        <v>1151</v>
      </c>
      <c r="G349" t="s">
        <v>1186</v>
      </c>
      <c r="H349" t="s">
        <v>1152</v>
      </c>
    </row>
    <row r="350" spans="1:8" x14ac:dyDescent="0.35">
      <c r="A350">
        <v>20260401</v>
      </c>
      <c r="B350" t="s">
        <v>1138</v>
      </c>
      <c r="C350">
        <v>5400</v>
      </c>
      <c r="D350" t="s">
        <v>1131</v>
      </c>
      <c r="E350">
        <v>65610.399999999994</v>
      </c>
      <c r="F350" t="s">
        <v>632</v>
      </c>
      <c r="G350" t="s">
        <v>1817</v>
      </c>
      <c r="H350" t="s">
        <v>1152</v>
      </c>
    </row>
    <row r="351" spans="1:8" x14ac:dyDescent="0.35">
      <c r="A351">
        <v>20260401</v>
      </c>
      <c r="B351" t="s">
        <v>1138</v>
      </c>
      <c r="C351">
        <v>5420</v>
      </c>
      <c r="D351" t="s">
        <v>1131</v>
      </c>
      <c r="E351">
        <v>46532.2</v>
      </c>
      <c r="F351" t="s">
        <v>1497</v>
      </c>
      <c r="G351" t="s">
        <v>1818</v>
      </c>
      <c r="H351" t="s">
        <v>1152</v>
      </c>
    </row>
    <row r="352" spans="1:8" x14ac:dyDescent="0.35">
      <c r="A352">
        <v>20260401</v>
      </c>
      <c r="B352" t="s">
        <v>1138</v>
      </c>
      <c r="C352">
        <v>6300</v>
      </c>
      <c r="D352" t="s">
        <v>1131</v>
      </c>
      <c r="E352">
        <v>85000</v>
      </c>
      <c r="F352" t="s">
        <v>1499</v>
      </c>
      <c r="G352" t="s">
        <v>1819</v>
      </c>
      <c r="H352" t="s">
        <v>1501</v>
      </c>
    </row>
    <row r="353" spans="1:8" x14ac:dyDescent="0.35">
      <c r="A353">
        <v>20260401</v>
      </c>
      <c r="B353" t="s">
        <v>1138</v>
      </c>
      <c r="C353">
        <v>6420</v>
      </c>
      <c r="D353" t="s">
        <v>1131</v>
      </c>
      <c r="E353">
        <v>25000</v>
      </c>
      <c r="F353" t="s">
        <v>1502</v>
      </c>
      <c r="G353" t="s">
        <v>1820</v>
      </c>
      <c r="H353" t="s">
        <v>1504</v>
      </c>
    </row>
    <row r="354" spans="1:8" x14ac:dyDescent="0.35">
      <c r="A354">
        <v>20260401</v>
      </c>
      <c r="B354" t="s">
        <v>1138</v>
      </c>
      <c r="C354">
        <v>7130</v>
      </c>
      <c r="D354" t="s">
        <v>1131</v>
      </c>
      <c r="E354">
        <v>13609</v>
      </c>
      <c r="F354" t="s">
        <v>1505</v>
      </c>
      <c r="G354" t="s">
        <v>1821</v>
      </c>
      <c r="H354" t="s">
        <v>1507</v>
      </c>
    </row>
    <row r="355" spans="1:8" x14ac:dyDescent="0.35">
      <c r="A355">
        <v>20260401</v>
      </c>
      <c r="B355" t="s">
        <v>1138</v>
      </c>
      <c r="C355">
        <v>6050</v>
      </c>
      <c r="D355" t="s">
        <v>1139</v>
      </c>
      <c r="E355">
        <v>33333.33</v>
      </c>
      <c r="F355" t="s">
        <v>1743</v>
      </c>
      <c r="G355" t="s">
        <v>1822</v>
      </c>
      <c r="H355" t="s">
        <v>1745</v>
      </c>
    </row>
    <row r="356" spans="1:8" x14ac:dyDescent="0.35">
      <c r="A356">
        <v>20260501</v>
      </c>
      <c r="B356" t="s">
        <v>1150</v>
      </c>
      <c r="C356">
        <v>5000</v>
      </c>
      <c r="D356" t="s">
        <v>1131</v>
      </c>
      <c r="E356">
        <v>478956</v>
      </c>
      <c r="F356" t="s">
        <v>1151</v>
      </c>
      <c r="G356" t="s">
        <v>1153</v>
      </c>
      <c r="H356" t="s">
        <v>1152</v>
      </c>
    </row>
    <row r="357" spans="1:8" x14ac:dyDescent="0.35">
      <c r="A357">
        <v>20260501</v>
      </c>
      <c r="B357" t="s">
        <v>1150</v>
      </c>
      <c r="C357">
        <v>5400</v>
      </c>
      <c r="D357" t="s">
        <v>1131</v>
      </c>
      <c r="E357">
        <v>67532.800000000003</v>
      </c>
      <c r="F357" t="s">
        <v>632</v>
      </c>
      <c r="G357" t="s">
        <v>1823</v>
      </c>
      <c r="H357" t="s">
        <v>1152</v>
      </c>
    </row>
    <row r="358" spans="1:8" x14ac:dyDescent="0.35">
      <c r="A358">
        <v>20260501</v>
      </c>
      <c r="B358" t="s">
        <v>1150</v>
      </c>
      <c r="C358">
        <v>5420</v>
      </c>
      <c r="D358" t="s">
        <v>1131</v>
      </c>
      <c r="E358">
        <v>47895.6</v>
      </c>
      <c r="F358" t="s">
        <v>1497</v>
      </c>
      <c r="G358" t="s">
        <v>1824</v>
      </c>
      <c r="H358" t="s">
        <v>1152</v>
      </c>
    </row>
    <row r="359" spans="1:8" x14ac:dyDescent="0.35">
      <c r="A359">
        <v>20260501</v>
      </c>
      <c r="B359" t="s">
        <v>1150</v>
      </c>
      <c r="C359">
        <v>6300</v>
      </c>
      <c r="D359" t="s">
        <v>1131</v>
      </c>
      <c r="E359">
        <v>85000</v>
      </c>
      <c r="F359" t="s">
        <v>1499</v>
      </c>
      <c r="G359" t="s">
        <v>1825</v>
      </c>
      <c r="H359" t="s">
        <v>1501</v>
      </c>
    </row>
    <row r="360" spans="1:8" x14ac:dyDescent="0.35">
      <c r="A360">
        <v>20260501</v>
      </c>
      <c r="B360" t="s">
        <v>1150</v>
      </c>
      <c r="C360">
        <v>6420</v>
      </c>
      <c r="D360" t="s">
        <v>1131</v>
      </c>
      <c r="E360">
        <v>25000</v>
      </c>
      <c r="F360" t="s">
        <v>1502</v>
      </c>
      <c r="G360" t="s">
        <v>1826</v>
      </c>
      <c r="H360" t="s">
        <v>1504</v>
      </c>
    </row>
    <row r="361" spans="1:8" x14ac:dyDescent="0.35">
      <c r="A361">
        <v>20260501</v>
      </c>
      <c r="B361" t="s">
        <v>1150</v>
      </c>
      <c r="C361">
        <v>7130</v>
      </c>
      <c r="D361" t="s">
        <v>1131</v>
      </c>
      <c r="E361">
        <v>24155</v>
      </c>
      <c r="F361" t="s">
        <v>1505</v>
      </c>
      <c r="G361" t="s">
        <v>1827</v>
      </c>
      <c r="H361" t="s">
        <v>1507</v>
      </c>
    </row>
    <row r="362" spans="1:8" x14ac:dyDescent="0.35">
      <c r="A362">
        <v>20260501</v>
      </c>
      <c r="B362" t="s">
        <v>1272</v>
      </c>
      <c r="C362">
        <v>5100</v>
      </c>
      <c r="D362" t="s">
        <v>480</v>
      </c>
      <c r="E362">
        <v>93153.9</v>
      </c>
      <c r="F362" t="s">
        <v>1508</v>
      </c>
      <c r="G362" t="s">
        <v>1828</v>
      </c>
      <c r="H362" t="s">
        <v>1510</v>
      </c>
    </row>
    <row r="363" spans="1:8" x14ac:dyDescent="0.35">
      <c r="A363">
        <v>20260501</v>
      </c>
      <c r="B363" t="s">
        <v>1272</v>
      </c>
      <c r="C363">
        <v>6800</v>
      </c>
      <c r="D363" t="s">
        <v>480</v>
      </c>
      <c r="E363">
        <v>39923.1</v>
      </c>
      <c r="F363" t="s">
        <v>1511</v>
      </c>
      <c r="G363" t="s">
        <v>1829</v>
      </c>
      <c r="H363" t="s">
        <v>1513</v>
      </c>
    </row>
    <row r="364" spans="1:8" x14ac:dyDescent="0.35">
      <c r="A364">
        <v>20260501</v>
      </c>
      <c r="B364" t="s">
        <v>1272</v>
      </c>
      <c r="C364">
        <v>3420</v>
      </c>
      <c r="D364" t="s">
        <v>480</v>
      </c>
      <c r="E364">
        <v>-133077</v>
      </c>
      <c r="F364" t="s">
        <v>1269</v>
      </c>
      <c r="G364" t="s">
        <v>1830</v>
      </c>
      <c r="H364" t="s">
        <v>1270</v>
      </c>
    </row>
    <row r="365" spans="1:8" x14ac:dyDescent="0.35">
      <c r="A365">
        <v>20260501</v>
      </c>
      <c r="B365" t="s">
        <v>1272</v>
      </c>
      <c r="C365">
        <v>2180</v>
      </c>
      <c r="D365" t="s">
        <v>480</v>
      </c>
      <c r="E365">
        <v>133077</v>
      </c>
      <c r="F365" t="s">
        <v>1266</v>
      </c>
      <c r="G365" t="s">
        <v>1831</v>
      </c>
      <c r="H365" t="s">
        <v>1267</v>
      </c>
    </row>
    <row r="366" spans="1:8" x14ac:dyDescent="0.35">
      <c r="A366">
        <v>20260501</v>
      </c>
      <c r="B366" t="s">
        <v>1158</v>
      </c>
      <c r="C366">
        <v>5000</v>
      </c>
      <c r="D366" t="s">
        <v>1131</v>
      </c>
      <c r="E366">
        <v>468242</v>
      </c>
      <c r="F366" t="s">
        <v>1151</v>
      </c>
      <c r="G366" t="s">
        <v>1181</v>
      </c>
      <c r="H366" t="s">
        <v>1152</v>
      </c>
    </row>
    <row r="367" spans="1:8" x14ac:dyDescent="0.35">
      <c r="A367">
        <v>20260501</v>
      </c>
      <c r="B367" t="s">
        <v>1158</v>
      </c>
      <c r="C367">
        <v>5400</v>
      </c>
      <c r="D367" t="s">
        <v>1131</v>
      </c>
      <c r="E367">
        <v>66022.12</v>
      </c>
      <c r="F367" t="s">
        <v>632</v>
      </c>
      <c r="G367" t="s">
        <v>1832</v>
      </c>
      <c r="H367" t="s">
        <v>1152</v>
      </c>
    </row>
    <row r="368" spans="1:8" x14ac:dyDescent="0.35">
      <c r="A368">
        <v>20260501</v>
      </c>
      <c r="B368" t="s">
        <v>1158</v>
      </c>
      <c r="C368">
        <v>5420</v>
      </c>
      <c r="D368" t="s">
        <v>1131</v>
      </c>
      <c r="E368">
        <v>46824.2</v>
      </c>
      <c r="F368" t="s">
        <v>1497</v>
      </c>
      <c r="G368" t="s">
        <v>1833</v>
      </c>
      <c r="H368" t="s">
        <v>1152</v>
      </c>
    </row>
    <row r="369" spans="1:8" x14ac:dyDescent="0.35">
      <c r="A369">
        <v>20260501</v>
      </c>
      <c r="B369" t="s">
        <v>1158</v>
      </c>
      <c r="C369">
        <v>6300</v>
      </c>
      <c r="D369" t="s">
        <v>1131</v>
      </c>
      <c r="E369">
        <v>85000</v>
      </c>
      <c r="F369" t="s">
        <v>1499</v>
      </c>
      <c r="G369" t="s">
        <v>1834</v>
      </c>
      <c r="H369" t="s">
        <v>1501</v>
      </c>
    </row>
    <row r="370" spans="1:8" x14ac:dyDescent="0.35">
      <c r="A370">
        <v>20260501</v>
      </c>
      <c r="B370" t="s">
        <v>1158</v>
      </c>
      <c r="C370">
        <v>6420</v>
      </c>
      <c r="D370" t="s">
        <v>1131</v>
      </c>
      <c r="E370">
        <v>25000</v>
      </c>
      <c r="F370" t="s">
        <v>1502</v>
      </c>
      <c r="G370" t="s">
        <v>1835</v>
      </c>
      <c r="H370" t="s">
        <v>1504</v>
      </c>
    </row>
    <row r="371" spans="1:8" x14ac:dyDescent="0.35">
      <c r="A371">
        <v>20260501</v>
      </c>
      <c r="B371" t="s">
        <v>1158</v>
      </c>
      <c r="C371">
        <v>7130</v>
      </c>
      <c r="D371" t="s">
        <v>1131</v>
      </c>
      <c r="E371">
        <v>18087</v>
      </c>
      <c r="F371" t="s">
        <v>1505</v>
      </c>
      <c r="G371" t="s">
        <v>1836</v>
      </c>
      <c r="H371" t="s">
        <v>1507</v>
      </c>
    </row>
    <row r="372" spans="1:8" x14ac:dyDescent="0.35">
      <c r="A372">
        <v>20260501</v>
      </c>
      <c r="B372" t="s">
        <v>1243</v>
      </c>
      <c r="C372">
        <v>5100</v>
      </c>
      <c r="D372" t="s">
        <v>493</v>
      </c>
      <c r="E372">
        <v>90106.099999999991</v>
      </c>
      <c r="F372" t="s">
        <v>1508</v>
      </c>
      <c r="G372" t="s">
        <v>1837</v>
      </c>
      <c r="H372" t="s">
        <v>1510</v>
      </c>
    </row>
    <row r="373" spans="1:8" x14ac:dyDescent="0.35">
      <c r="A373">
        <v>20260501</v>
      </c>
      <c r="B373" t="s">
        <v>1243</v>
      </c>
      <c r="C373">
        <v>6800</v>
      </c>
      <c r="D373" t="s">
        <v>493</v>
      </c>
      <c r="E373">
        <v>38616.9</v>
      </c>
      <c r="F373" t="s">
        <v>1511</v>
      </c>
      <c r="G373" t="s">
        <v>1838</v>
      </c>
      <c r="H373" t="s">
        <v>1513</v>
      </c>
    </row>
    <row r="374" spans="1:8" x14ac:dyDescent="0.35">
      <c r="A374">
        <v>20260501</v>
      </c>
      <c r="B374" t="s">
        <v>1243</v>
      </c>
      <c r="C374">
        <v>3450</v>
      </c>
      <c r="D374" t="s">
        <v>493</v>
      </c>
      <c r="E374">
        <v>-110000</v>
      </c>
      <c r="F374" t="s">
        <v>1523</v>
      </c>
      <c r="G374" t="s">
        <v>1839</v>
      </c>
      <c r="H374" t="s">
        <v>1525</v>
      </c>
    </row>
    <row r="375" spans="1:8" x14ac:dyDescent="0.35">
      <c r="A375">
        <v>20260501</v>
      </c>
      <c r="B375" t="s">
        <v>1205</v>
      </c>
      <c r="C375">
        <v>5000</v>
      </c>
      <c r="D375" t="s">
        <v>1131</v>
      </c>
      <c r="E375">
        <v>444373</v>
      </c>
      <c r="F375" t="s">
        <v>1151</v>
      </c>
      <c r="G375" t="s">
        <v>1215</v>
      </c>
      <c r="H375" t="s">
        <v>1152</v>
      </c>
    </row>
    <row r="376" spans="1:8" x14ac:dyDescent="0.35">
      <c r="A376">
        <v>20260501</v>
      </c>
      <c r="B376" t="s">
        <v>1205</v>
      </c>
      <c r="C376">
        <v>5400</v>
      </c>
      <c r="D376" t="s">
        <v>1131</v>
      </c>
      <c r="E376">
        <v>62656.59</v>
      </c>
      <c r="F376" t="s">
        <v>632</v>
      </c>
      <c r="G376" t="s">
        <v>1840</v>
      </c>
      <c r="H376" t="s">
        <v>1152</v>
      </c>
    </row>
    <row r="377" spans="1:8" x14ac:dyDescent="0.35">
      <c r="A377">
        <v>20260501</v>
      </c>
      <c r="B377" t="s">
        <v>1205</v>
      </c>
      <c r="C377">
        <v>5420</v>
      </c>
      <c r="D377" t="s">
        <v>1131</v>
      </c>
      <c r="E377">
        <v>44437.3</v>
      </c>
      <c r="F377" t="s">
        <v>1497</v>
      </c>
      <c r="G377" t="s">
        <v>1841</v>
      </c>
      <c r="H377" t="s">
        <v>1152</v>
      </c>
    </row>
    <row r="378" spans="1:8" x14ac:dyDescent="0.35">
      <c r="A378">
        <v>20260501</v>
      </c>
      <c r="B378" t="s">
        <v>1205</v>
      </c>
      <c r="C378">
        <v>6300</v>
      </c>
      <c r="D378" t="s">
        <v>1131</v>
      </c>
      <c r="E378">
        <v>85000</v>
      </c>
      <c r="F378" t="s">
        <v>1499</v>
      </c>
      <c r="G378" t="s">
        <v>1842</v>
      </c>
      <c r="H378" t="s">
        <v>1501</v>
      </c>
    </row>
    <row r="379" spans="1:8" x14ac:dyDescent="0.35">
      <c r="A379">
        <v>20260501</v>
      </c>
      <c r="B379" t="s">
        <v>1205</v>
      </c>
      <c r="C379">
        <v>6420</v>
      </c>
      <c r="D379" t="s">
        <v>1131</v>
      </c>
      <c r="E379">
        <v>25000</v>
      </c>
      <c r="F379" t="s">
        <v>1502</v>
      </c>
      <c r="G379" t="s">
        <v>1843</v>
      </c>
      <c r="H379" t="s">
        <v>1504</v>
      </c>
    </row>
    <row r="380" spans="1:8" x14ac:dyDescent="0.35">
      <c r="A380">
        <v>20260501</v>
      </c>
      <c r="B380" t="s">
        <v>1205</v>
      </c>
      <c r="C380">
        <v>7130</v>
      </c>
      <c r="D380" t="s">
        <v>1131</v>
      </c>
      <c r="E380">
        <v>9532</v>
      </c>
      <c r="F380" t="s">
        <v>1505</v>
      </c>
      <c r="G380" t="s">
        <v>1844</v>
      </c>
      <c r="H380" t="s">
        <v>1507</v>
      </c>
    </row>
    <row r="381" spans="1:8" x14ac:dyDescent="0.35">
      <c r="A381">
        <v>20260501</v>
      </c>
      <c r="B381" t="s">
        <v>1205</v>
      </c>
      <c r="C381">
        <v>5050</v>
      </c>
      <c r="D381" t="s">
        <v>1131</v>
      </c>
      <c r="E381">
        <v>51696</v>
      </c>
      <c r="F381" t="s">
        <v>1531</v>
      </c>
      <c r="G381" t="s">
        <v>1845</v>
      </c>
      <c r="H381" t="s">
        <v>1533</v>
      </c>
    </row>
    <row r="382" spans="1:8" x14ac:dyDescent="0.35">
      <c r="A382">
        <v>20260501</v>
      </c>
      <c r="B382" t="s">
        <v>1257</v>
      </c>
      <c r="C382">
        <v>5100</v>
      </c>
      <c r="D382" t="s">
        <v>493</v>
      </c>
      <c r="E382">
        <v>96140.099999999991</v>
      </c>
      <c r="F382" t="s">
        <v>1508</v>
      </c>
      <c r="G382" t="s">
        <v>1846</v>
      </c>
      <c r="H382" t="s">
        <v>1510</v>
      </c>
    </row>
    <row r="383" spans="1:8" x14ac:dyDescent="0.35">
      <c r="A383">
        <v>20260501</v>
      </c>
      <c r="B383" t="s">
        <v>1257</v>
      </c>
      <c r="C383">
        <v>6800</v>
      </c>
      <c r="D383" t="s">
        <v>493</v>
      </c>
      <c r="E383">
        <v>41202.9</v>
      </c>
      <c r="F383" t="s">
        <v>1511</v>
      </c>
      <c r="G383" t="s">
        <v>1847</v>
      </c>
      <c r="H383" t="s">
        <v>1513</v>
      </c>
    </row>
    <row r="384" spans="1:8" x14ac:dyDescent="0.35">
      <c r="A384">
        <v>20260501</v>
      </c>
      <c r="B384" t="s">
        <v>1257</v>
      </c>
      <c r="C384">
        <v>3450</v>
      </c>
      <c r="D384" t="s">
        <v>493</v>
      </c>
      <c r="E384">
        <v>-110000</v>
      </c>
      <c r="F384" t="s">
        <v>1523</v>
      </c>
      <c r="G384" t="s">
        <v>1848</v>
      </c>
      <c r="H384" t="s">
        <v>1525</v>
      </c>
    </row>
    <row r="385" spans="1:8" x14ac:dyDescent="0.35">
      <c r="A385">
        <v>20260501</v>
      </c>
      <c r="B385" t="s">
        <v>1164</v>
      </c>
      <c r="C385">
        <v>5000</v>
      </c>
      <c r="D385" t="s">
        <v>1131</v>
      </c>
      <c r="E385">
        <v>435957</v>
      </c>
      <c r="F385" t="s">
        <v>1151</v>
      </c>
      <c r="G385" t="s">
        <v>1226</v>
      </c>
      <c r="H385" t="s">
        <v>1152</v>
      </c>
    </row>
    <row r="386" spans="1:8" x14ac:dyDescent="0.35">
      <c r="A386">
        <v>20260501</v>
      </c>
      <c r="B386" t="s">
        <v>1164</v>
      </c>
      <c r="C386">
        <v>5400</v>
      </c>
      <c r="D386" t="s">
        <v>1131</v>
      </c>
      <c r="E386">
        <v>61469.94</v>
      </c>
      <c r="F386" t="s">
        <v>632</v>
      </c>
      <c r="G386" t="s">
        <v>1849</v>
      </c>
      <c r="H386" t="s">
        <v>1152</v>
      </c>
    </row>
    <row r="387" spans="1:8" x14ac:dyDescent="0.35">
      <c r="A387">
        <v>20260501</v>
      </c>
      <c r="B387" t="s">
        <v>1164</v>
      </c>
      <c r="C387">
        <v>5420</v>
      </c>
      <c r="D387" t="s">
        <v>1131</v>
      </c>
      <c r="E387">
        <v>43595.7</v>
      </c>
      <c r="F387" t="s">
        <v>1497</v>
      </c>
      <c r="G387" t="s">
        <v>1850</v>
      </c>
      <c r="H387" t="s">
        <v>1152</v>
      </c>
    </row>
    <row r="388" spans="1:8" x14ac:dyDescent="0.35">
      <c r="A388">
        <v>20260501</v>
      </c>
      <c r="B388" t="s">
        <v>1164</v>
      </c>
      <c r="C388">
        <v>6300</v>
      </c>
      <c r="D388" t="s">
        <v>1131</v>
      </c>
      <c r="E388">
        <v>85000</v>
      </c>
      <c r="F388" t="s">
        <v>1499</v>
      </c>
      <c r="G388" t="s">
        <v>1851</v>
      </c>
      <c r="H388" t="s">
        <v>1501</v>
      </c>
    </row>
    <row r="389" spans="1:8" x14ac:dyDescent="0.35">
      <c r="A389">
        <v>20260501</v>
      </c>
      <c r="B389" t="s">
        <v>1164</v>
      </c>
      <c r="C389">
        <v>6420</v>
      </c>
      <c r="D389" t="s">
        <v>1131</v>
      </c>
      <c r="E389">
        <v>25000</v>
      </c>
      <c r="F389" t="s">
        <v>1502</v>
      </c>
      <c r="G389" t="s">
        <v>1852</v>
      </c>
      <c r="H389" t="s">
        <v>1504</v>
      </c>
    </row>
    <row r="390" spans="1:8" x14ac:dyDescent="0.35">
      <c r="A390">
        <v>20260501</v>
      </c>
      <c r="B390" t="s">
        <v>1164</v>
      </c>
      <c r="C390">
        <v>7130</v>
      </c>
      <c r="D390" t="s">
        <v>1131</v>
      </c>
      <c r="E390">
        <v>6543</v>
      </c>
      <c r="F390" t="s">
        <v>1505</v>
      </c>
      <c r="G390" t="s">
        <v>1853</v>
      </c>
      <c r="H390" t="s">
        <v>1507</v>
      </c>
    </row>
    <row r="391" spans="1:8" x14ac:dyDescent="0.35">
      <c r="A391">
        <v>20260501</v>
      </c>
      <c r="B391" t="s">
        <v>1249</v>
      </c>
      <c r="C391">
        <v>5100</v>
      </c>
      <c r="D391" t="s">
        <v>493</v>
      </c>
      <c r="E391">
        <v>78529.5</v>
      </c>
      <c r="F391" t="s">
        <v>1508</v>
      </c>
      <c r="G391" t="s">
        <v>1854</v>
      </c>
      <c r="H391" t="s">
        <v>1510</v>
      </c>
    </row>
    <row r="392" spans="1:8" x14ac:dyDescent="0.35">
      <c r="A392">
        <v>20260501</v>
      </c>
      <c r="B392" t="s">
        <v>1249</v>
      </c>
      <c r="C392">
        <v>6800</v>
      </c>
      <c r="D392" t="s">
        <v>493</v>
      </c>
      <c r="E392">
        <v>33655.5</v>
      </c>
      <c r="F392" t="s">
        <v>1511</v>
      </c>
      <c r="G392" t="s">
        <v>1855</v>
      </c>
      <c r="H392" t="s">
        <v>1513</v>
      </c>
    </row>
    <row r="393" spans="1:8" x14ac:dyDescent="0.35">
      <c r="A393">
        <v>20260501</v>
      </c>
      <c r="B393" t="s">
        <v>1249</v>
      </c>
      <c r="C393">
        <v>3450</v>
      </c>
      <c r="D393" t="s">
        <v>493</v>
      </c>
      <c r="E393">
        <v>-110000</v>
      </c>
      <c r="F393" t="s">
        <v>1523</v>
      </c>
      <c r="G393" t="s">
        <v>1856</v>
      </c>
      <c r="H393" t="s">
        <v>1525</v>
      </c>
    </row>
    <row r="394" spans="1:8" x14ac:dyDescent="0.35">
      <c r="A394">
        <v>20260501</v>
      </c>
      <c r="B394" t="s">
        <v>1169</v>
      </c>
      <c r="C394">
        <v>5000</v>
      </c>
      <c r="D394" t="s">
        <v>1131</v>
      </c>
      <c r="E394">
        <v>440016</v>
      </c>
      <c r="F394" t="s">
        <v>1151</v>
      </c>
      <c r="G394" t="s">
        <v>1221</v>
      </c>
      <c r="H394" t="s">
        <v>1152</v>
      </c>
    </row>
    <row r="395" spans="1:8" x14ac:dyDescent="0.35">
      <c r="A395">
        <v>20260501</v>
      </c>
      <c r="B395" t="s">
        <v>1169</v>
      </c>
      <c r="C395">
        <v>5400</v>
      </c>
      <c r="D395" t="s">
        <v>1131</v>
      </c>
      <c r="E395">
        <v>62042.26</v>
      </c>
      <c r="F395" t="s">
        <v>632</v>
      </c>
      <c r="G395" t="s">
        <v>1857</v>
      </c>
      <c r="H395" t="s">
        <v>1152</v>
      </c>
    </row>
    <row r="396" spans="1:8" x14ac:dyDescent="0.35">
      <c r="A396">
        <v>20260501</v>
      </c>
      <c r="B396" t="s">
        <v>1169</v>
      </c>
      <c r="C396">
        <v>5420</v>
      </c>
      <c r="D396" t="s">
        <v>1131</v>
      </c>
      <c r="E396">
        <v>44001.599999999999</v>
      </c>
      <c r="F396" t="s">
        <v>1497</v>
      </c>
      <c r="G396" t="s">
        <v>1858</v>
      </c>
      <c r="H396" t="s">
        <v>1152</v>
      </c>
    </row>
    <row r="397" spans="1:8" x14ac:dyDescent="0.35">
      <c r="A397">
        <v>20260501</v>
      </c>
      <c r="B397" t="s">
        <v>1169</v>
      </c>
      <c r="C397">
        <v>6300</v>
      </c>
      <c r="D397" t="s">
        <v>1131</v>
      </c>
      <c r="E397">
        <v>85000</v>
      </c>
      <c r="F397" t="s">
        <v>1499</v>
      </c>
      <c r="G397" t="s">
        <v>1859</v>
      </c>
      <c r="H397" t="s">
        <v>1501</v>
      </c>
    </row>
    <row r="398" spans="1:8" x14ac:dyDescent="0.35">
      <c r="A398">
        <v>20260501</v>
      </c>
      <c r="B398" t="s">
        <v>1169</v>
      </c>
      <c r="C398">
        <v>6420</v>
      </c>
      <c r="D398" t="s">
        <v>1131</v>
      </c>
      <c r="E398">
        <v>25000</v>
      </c>
      <c r="F398" t="s">
        <v>1502</v>
      </c>
      <c r="G398" t="s">
        <v>1860</v>
      </c>
      <c r="H398" t="s">
        <v>1504</v>
      </c>
    </row>
    <row r="399" spans="1:8" x14ac:dyDescent="0.35">
      <c r="A399">
        <v>20260501</v>
      </c>
      <c r="B399" t="s">
        <v>1169</v>
      </c>
      <c r="C399">
        <v>7130</v>
      </c>
      <c r="D399" t="s">
        <v>1131</v>
      </c>
      <c r="E399">
        <v>10242</v>
      </c>
      <c r="F399" t="s">
        <v>1505</v>
      </c>
      <c r="G399" t="s">
        <v>1861</v>
      </c>
      <c r="H399" t="s">
        <v>1507</v>
      </c>
    </row>
    <row r="400" spans="1:8" x14ac:dyDescent="0.35">
      <c r="A400">
        <v>20260501</v>
      </c>
      <c r="B400" t="s">
        <v>1260</v>
      </c>
      <c r="C400">
        <v>5100</v>
      </c>
      <c r="D400" t="s">
        <v>493</v>
      </c>
      <c r="E400">
        <v>92866.2</v>
      </c>
      <c r="F400" t="s">
        <v>1508</v>
      </c>
      <c r="G400" t="s">
        <v>1862</v>
      </c>
      <c r="H400" t="s">
        <v>1510</v>
      </c>
    </row>
    <row r="401" spans="1:8" x14ac:dyDescent="0.35">
      <c r="A401">
        <v>20260501</v>
      </c>
      <c r="B401" t="s">
        <v>1260</v>
      </c>
      <c r="C401">
        <v>6800</v>
      </c>
      <c r="D401" t="s">
        <v>493</v>
      </c>
      <c r="E401">
        <v>39799.800000000003</v>
      </c>
      <c r="F401" t="s">
        <v>1511</v>
      </c>
      <c r="G401" t="s">
        <v>1863</v>
      </c>
      <c r="H401" t="s">
        <v>1513</v>
      </c>
    </row>
    <row r="402" spans="1:8" x14ac:dyDescent="0.35">
      <c r="A402">
        <v>20260501</v>
      </c>
      <c r="B402" t="s">
        <v>1260</v>
      </c>
      <c r="C402">
        <v>3450</v>
      </c>
      <c r="D402" t="s">
        <v>493</v>
      </c>
      <c r="E402">
        <v>-110000</v>
      </c>
      <c r="F402" t="s">
        <v>1523</v>
      </c>
      <c r="G402" t="s">
        <v>1864</v>
      </c>
      <c r="H402" t="s">
        <v>1525</v>
      </c>
    </row>
    <row r="403" spans="1:8" x14ac:dyDescent="0.35">
      <c r="A403">
        <v>20260501</v>
      </c>
      <c r="B403" t="s">
        <v>1175</v>
      </c>
      <c r="C403">
        <v>5000</v>
      </c>
      <c r="D403" t="s">
        <v>1131</v>
      </c>
      <c r="E403">
        <v>469086</v>
      </c>
      <c r="F403" t="s">
        <v>1151</v>
      </c>
      <c r="G403" t="s">
        <v>1178</v>
      </c>
      <c r="H403" t="s">
        <v>1152</v>
      </c>
    </row>
    <row r="404" spans="1:8" x14ac:dyDescent="0.35">
      <c r="A404">
        <v>20260501</v>
      </c>
      <c r="B404" t="s">
        <v>1175</v>
      </c>
      <c r="C404">
        <v>5400</v>
      </c>
      <c r="D404" t="s">
        <v>1131</v>
      </c>
      <c r="E404">
        <v>66141.13</v>
      </c>
      <c r="F404" t="s">
        <v>632</v>
      </c>
      <c r="G404" t="s">
        <v>1865</v>
      </c>
      <c r="H404" t="s">
        <v>1152</v>
      </c>
    </row>
    <row r="405" spans="1:8" x14ac:dyDescent="0.35">
      <c r="A405">
        <v>20260501</v>
      </c>
      <c r="B405" t="s">
        <v>1175</v>
      </c>
      <c r="C405">
        <v>5420</v>
      </c>
      <c r="D405" t="s">
        <v>1131</v>
      </c>
      <c r="E405">
        <v>46908.6</v>
      </c>
      <c r="F405" t="s">
        <v>1497</v>
      </c>
      <c r="G405" t="s">
        <v>1866</v>
      </c>
      <c r="H405" t="s">
        <v>1152</v>
      </c>
    </row>
    <row r="406" spans="1:8" x14ac:dyDescent="0.35">
      <c r="A406">
        <v>20260501</v>
      </c>
      <c r="B406" t="s">
        <v>1175</v>
      </c>
      <c r="C406">
        <v>6300</v>
      </c>
      <c r="D406" t="s">
        <v>1131</v>
      </c>
      <c r="E406">
        <v>85000</v>
      </c>
      <c r="F406" t="s">
        <v>1499</v>
      </c>
      <c r="G406" t="s">
        <v>1867</v>
      </c>
      <c r="H406" t="s">
        <v>1501</v>
      </c>
    </row>
    <row r="407" spans="1:8" x14ac:dyDescent="0.35">
      <c r="A407">
        <v>20260501</v>
      </c>
      <c r="B407" t="s">
        <v>1175</v>
      </c>
      <c r="C407">
        <v>6420</v>
      </c>
      <c r="D407" t="s">
        <v>1131</v>
      </c>
      <c r="E407">
        <v>25000</v>
      </c>
      <c r="F407" t="s">
        <v>1502</v>
      </c>
      <c r="G407" t="s">
        <v>1868</v>
      </c>
      <c r="H407" t="s">
        <v>1504</v>
      </c>
    </row>
    <row r="408" spans="1:8" x14ac:dyDescent="0.35">
      <c r="A408">
        <v>20260501</v>
      </c>
      <c r="B408" t="s">
        <v>1175</v>
      </c>
      <c r="C408">
        <v>7130</v>
      </c>
      <c r="D408" t="s">
        <v>1131</v>
      </c>
      <c r="E408">
        <v>7081</v>
      </c>
      <c r="F408" t="s">
        <v>1505</v>
      </c>
      <c r="G408" t="s">
        <v>1869</v>
      </c>
      <c r="H408" t="s">
        <v>1507</v>
      </c>
    </row>
    <row r="409" spans="1:8" x14ac:dyDescent="0.35">
      <c r="A409">
        <v>20260501</v>
      </c>
      <c r="B409" t="s">
        <v>1247</v>
      </c>
      <c r="C409">
        <v>5100</v>
      </c>
      <c r="D409" t="s">
        <v>493</v>
      </c>
      <c r="E409">
        <v>91151.2</v>
      </c>
      <c r="F409" t="s">
        <v>1508</v>
      </c>
      <c r="G409" t="s">
        <v>1870</v>
      </c>
      <c r="H409" t="s">
        <v>1510</v>
      </c>
    </row>
    <row r="410" spans="1:8" x14ac:dyDescent="0.35">
      <c r="A410">
        <v>20260501</v>
      </c>
      <c r="B410" t="s">
        <v>1247</v>
      </c>
      <c r="C410">
        <v>6800</v>
      </c>
      <c r="D410" t="s">
        <v>493</v>
      </c>
      <c r="E410">
        <v>39064.800000000003</v>
      </c>
      <c r="F410" t="s">
        <v>1511</v>
      </c>
      <c r="G410" t="s">
        <v>1871</v>
      </c>
      <c r="H410" t="s">
        <v>1513</v>
      </c>
    </row>
    <row r="411" spans="1:8" x14ac:dyDescent="0.35">
      <c r="A411">
        <v>20260501</v>
      </c>
      <c r="B411" t="s">
        <v>1247</v>
      </c>
      <c r="C411">
        <v>3450</v>
      </c>
      <c r="D411" t="s">
        <v>493</v>
      </c>
      <c r="E411">
        <v>-110000</v>
      </c>
      <c r="F411" t="s">
        <v>1523</v>
      </c>
      <c r="G411" t="s">
        <v>1872</v>
      </c>
      <c r="H411" t="s">
        <v>1525</v>
      </c>
    </row>
    <row r="412" spans="1:8" x14ac:dyDescent="0.35">
      <c r="A412">
        <v>20260501</v>
      </c>
      <c r="B412" t="s">
        <v>1130</v>
      </c>
      <c r="C412">
        <v>5000</v>
      </c>
      <c r="D412" t="s">
        <v>1131</v>
      </c>
      <c r="E412">
        <v>455009</v>
      </c>
      <c r="F412" t="s">
        <v>1151</v>
      </c>
      <c r="G412" t="s">
        <v>1196</v>
      </c>
      <c r="H412" t="s">
        <v>1152</v>
      </c>
    </row>
    <row r="413" spans="1:8" x14ac:dyDescent="0.35">
      <c r="A413">
        <v>20260501</v>
      </c>
      <c r="B413" t="s">
        <v>1130</v>
      </c>
      <c r="C413">
        <v>5400</v>
      </c>
      <c r="D413" t="s">
        <v>1131</v>
      </c>
      <c r="E413">
        <v>64156.27</v>
      </c>
      <c r="F413" t="s">
        <v>632</v>
      </c>
      <c r="G413" t="s">
        <v>1873</v>
      </c>
      <c r="H413" t="s">
        <v>1152</v>
      </c>
    </row>
    <row r="414" spans="1:8" x14ac:dyDescent="0.35">
      <c r="A414">
        <v>20260501</v>
      </c>
      <c r="B414" t="s">
        <v>1130</v>
      </c>
      <c r="C414">
        <v>5420</v>
      </c>
      <c r="D414" t="s">
        <v>1131</v>
      </c>
      <c r="E414">
        <v>45500.9</v>
      </c>
      <c r="F414" t="s">
        <v>1497</v>
      </c>
      <c r="G414" t="s">
        <v>1874</v>
      </c>
      <c r="H414" t="s">
        <v>1152</v>
      </c>
    </row>
    <row r="415" spans="1:8" x14ac:dyDescent="0.35">
      <c r="A415">
        <v>20260501</v>
      </c>
      <c r="B415" t="s">
        <v>1130</v>
      </c>
      <c r="C415">
        <v>6300</v>
      </c>
      <c r="D415" t="s">
        <v>1131</v>
      </c>
      <c r="E415">
        <v>85000</v>
      </c>
      <c r="F415" t="s">
        <v>1499</v>
      </c>
      <c r="G415" t="s">
        <v>1875</v>
      </c>
      <c r="H415" t="s">
        <v>1501</v>
      </c>
    </row>
    <row r="416" spans="1:8" x14ac:dyDescent="0.35">
      <c r="A416">
        <v>20260501</v>
      </c>
      <c r="B416" t="s">
        <v>1130</v>
      </c>
      <c r="C416">
        <v>6420</v>
      </c>
      <c r="D416" t="s">
        <v>1131</v>
      </c>
      <c r="E416">
        <v>25000</v>
      </c>
      <c r="F416" t="s">
        <v>1502</v>
      </c>
      <c r="G416" t="s">
        <v>1876</v>
      </c>
      <c r="H416" t="s">
        <v>1504</v>
      </c>
    </row>
    <row r="417" spans="1:8" x14ac:dyDescent="0.35">
      <c r="A417">
        <v>20260501</v>
      </c>
      <c r="B417" t="s">
        <v>1130</v>
      </c>
      <c r="C417">
        <v>7130</v>
      </c>
      <c r="D417" t="s">
        <v>1131</v>
      </c>
      <c r="E417">
        <v>24526</v>
      </c>
      <c r="F417" t="s">
        <v>1505</v>
      </c>
      <c r="G417" t="s">
        <v>1877</v>
      </c>
      <c r="H417" t="s">
        <v>1507</v>
      </c>
    </row>
    <row r="418" spans="1:8" x14ac:dyDescent="0.35">
      <c r="A418">
        <v>20260501</v>
      </c>
      <c r="B418" t="s">
        <v>1130</v>
      </c>
      <c r="C418">
        <v>6710</v>
      </c>
      <c r="D418" t="s">
        <v>1131</v>
      </c>
      <c r="E418">
        <v>620000</v>
      </c>
      <c r="F418" t="s">
        <v>1146</v>
      </c>
      <c r="G418" t="s">
        <v>1144</v>
      </c>
      <c r="H418" t="s">
        <v>1147</v>
      </c>
    </row>
    <row r="419" spans="1:8" x14ac:dyDescent="0.35">
      <c r="A419">
        <v>20260501</v>
      </c>
      <c r="B419" t="s">
        <v>1265</v>
      </c>
      <c r="C419">
        <v>5100</v>
      </c>
      <c r="D419" t="s">
        <v>485</v>
      </c>
      <c r="E419">
        <v>94971.799999999988</v>
      </c>
      <c r="F419" t="s">
        <v>1508</v>
      </c>
      <c r="G419" t="s">
        <v>1878</v>
      </c>
      <c r="H419" t="s">
        <v>1510</v>
      </c>
    </row>
    <row r="420" spans="1:8" x14ac:dyDescent="0.35">
      <c r="A420">
        <v>20260501</v>
      </c>
      <c r="B420" t="s">
        <v>1265</v>
      </c>
      <c r="C420">
        <v>6800</v>
      </c>
      <c r="D420" t="s">
        <v>485</v>
      </c>
      <c r="E420">
        <v>40702.199999999997</v>
      </c>
      <c r="F420" t="s">
        <v>1511</v>
      </c>
      <c r="G420" t="s">
        <v>1879</v>
      </c>
      <c r="H420" t="s">
        <v>1513</v>
      </c>
    </row>
    <row r="421" spans="1:8" x14ac:dyDescent="0.35">
      <c r="A421">
        <v>20260501</v>
      </c>
      <c r="B421" t="s">
        <v>1265</v>
      </c>
      <c r="C421">
        <v>3400</v>
      </c>
      <c r="D421" t="s">
        <v>485</v>
      </c>
      <c r="E421">
        <v>-135674</v>
      </c>
      <c r="F421" t="s">
        <v>1269</v>
      </c>
      <c r="G421" t="s">
        <v>1880</v>
      </c>
      <c r="H421" t="s">
        <v>1270</v>
      </c>
    </row>
    <row r="422" spans="1:8" x14ac:dyDescent="0.35">
      <c r="A422">
        <v>20260501</v>
      </c>
      <c r="B422" t="s">
        <v>1265</v>
      </c>
      <c r="C422">
        <v>2180</v>
      </c>
      <c r="D422" t="s">
        <v>485</v>
      </c>
      <c r="E422">
        <v>135674</v>
      </c>
      <c r="F422" t="s">
        <v>1266</v>
      </c>
      <c r="G422" t="s">
        <v>1881</v>
      </c>
      <c r="H422" t="s">
        <v>1267</v>
      </c>
    </row>
    <row r="423" spans="1:8" x14ac:dyDescent="0.35">
      <c r="A423">
        <v>20260501</v>
      </c>
      <c r="B423" t="s">
        <v>1173</v>
      </c>
      <c r="C423">
        <v>5000</v>
      </c>
      <c r="D423" t="s">
        <v>1131</v>
      </c>
      <c r="E423">
        <v>464676</v>
      </c>
      <c r="F423" t="s">
        <v>1151</v>
      </c>
      <c r="G423" t="s">
        <v>1188</v>
      </c>
      <c r="H423" t="s">
        <v>1152</v>
      </c>
    </row>
    <row r="424" spans="1:8" x14ac:dyDescent="0.35">
      <c r="A424">
        <v>20260501</v>
      </c>
      <c r="B424" t="s">
        <v>1173</v>
      </c>
      <c r="C424">
        <v>5400</v>
      </c>
      <c r="D424" t="s">
        <v>1131</v>
      </c>
      <c r="E424">
        <v>65519.32</v>
      </c>
      <c r="F424" t="s">
        <v>632</v>
      </c>
      <c r="G424" t="s">
        <v>1882</v>
      </c>
      <c r="H424" t="s">
        <v>1152</v>
      </c>
    </row>
    <row r="425" spans="1:8" x14ac:dyDescent="0.35">
      <c r="A425">
        <v>20260501</v>
      </c>
      <c r="B425" t="s">
        <v>1173</v>
      </c>
      <c r="C425">
        <v>5420</v>
      </c>
      <c r="D425" t="s">
        <v>1131</v>
      </c>
      <c r="E425">
        <v>46467.6</v>
      </c>
      <c r="F425" t="s">
        <v>1497</v>
      </c>
      <c r="G425" t="s">
        <v>1883</v>
      </c>
      <c r="H425" t="s">
        <v>1152</v>
      </c>
    </row>
    <row r="426" spans="1:8" x14ac:dyDescent="0.35">
      <c r="A426">
        <v>20260501</v>
      </c>
      <c r="B426" t="s">
        <v>1173</v>
      </c>
      <c r="C426">
        <v>6300</v>
      </c>
      <c r="D426" t="s">
        <v>1131</v>
      </c>
      <c r="E426">
        <v>85000</v>
      </c>
      <c r="F426" t="s">
        <v>1499</v>
      </c>
      <c r="G426" t="s">
        <v>1884</v>
      </c>
      <c r="H426" t="s">
        <v>1501</v>
      </c>
    </row>
    <row r="427" spans="1:8" x14ac:dyDescent="0.35">
      <c r="A427">
        <v>20260501</v>
      </c>
      <c r="B427" t="s">
        <v>1173</v>
      </c>
      <c r="C427">
        <v>6420</v>
      </c>
      <c r="D427" t="s">
        <v>1131</v>
      </c>
      <c r="E427">
        <v>25000</v>
      </c>
      <c r="F427" t="s">
        <v>1502</v>
      </c>
      <c r="G427" t="s">
        <v>1885</v>
      </c>
      <c r="H427" t="s">
        <v>1504</v>
      </c>
    </row>
    <row r="428" spans="1:8" x14ac:dyDescent="0.35">
      <c r="A428">
        <v>20260501</v>
      </c>
      <c r="B428" t="s">
        <v>1173</v>
      </c>
      <c r="C428">
        <v>7130</v>
      </c>
      <c r="D428" t="s">
        <v>1131</v>
      </c>
      <c r="E428">
        <v>13238</v>
      </c>
      <c r="F428" t="s">
        <v>1505</v>
      </c>
      <c r="G428" t="s">
        <v>1886</v>
      </c>
      <c r="H428" t="s">
        <v>1507</v>
      </c>
    </row>
    <row r="429" spans="1:8" x14ac:dyDescent="0.35">
      <c r="A429">
        <v>20260501</v>
      </c>
      <c r="B429" t="s">
        <v>1255</v>
      </c>
      <c r="C429">
        <v>5100</v>
      </c>
      <c r="D429" t="s">
        <v>493</v>
      </c>
      <c r="E429">
        <v>98879.2</v>
      </c>
      <c r="F429" t="s">
        <v>1508</v>
      </c>
      <c r="G429" t="s">
        <v>1887</v>
      </c>
      <c r="H429" t="s">
        <v>1510</v>
      </c>
    </row>
    <row r="430" spans="1:8" x14ac:dyDescent="0.35">
      <c r="A430">
        <v>20260501</v>
      </c>
      <c r="B430" t="s">
        <v>1255</v>
      </c>
      <c r="C430">
        <v>6800</v>
      </c>
      <c r="D430" t="s">
        <v>493</v>
      </c>
      <c r="E430">
        <v>42376.800000000003</v>
      </c>
      <c r="F430" t="s">
        <v>1511</v>
      </c>
      <c r="G430" t="s">
        <v>1888</v>
      </c>
      <c r="H430" t="s">
        <v>1513</v>
      </c>
    </row>
    <row r="431" spans="1:8" x14ac:dyDescent="0.35">
      <c r="A431">
        <v>20260501</v>
      </c>
      <c r="B431" t="s">
        <v>1255</v>
      </c>
      <c r="C431">
        <v>3450</v>
      </c>
      <c r="D431" t="s">
        <v>493</v>
      </c>
      <c r="E431">
        <v>-110000</v>
      </c>
      <c r="F431" t="s">
        <v>1523</v>
      </c>
      <c r="G431" t="s">
        <v>1889</v>
      </c>
      <c r="H431" t="s">
        <v>1525</v>
      </c>
    </row>
    <row r="432" spans="1:8" x14ac:dyDescent="0.35">
      <c r="A432">
        <v>20260501</v>
      </c>
      <c r="B432" t="s">
        <v>1155</v>
      </c>
      <c r="C432">
        <v>5000</v>
      </c>
      <c r="D432" t="s">
        <v>1131</v>
      </c>
      <c r="E432">
        <v>430752</v>
      </c>
      <c r="F432" t="s">
        <v>1151</v>
      </c>
      <c r="G432" t="s">
        <v>1240</v>
      </c>
      <c r="H432" t="s">
        <v>1152</v>
      </c>
    </row>
    <row r="433" spans="1:8" x14ac:dyDescent="0.35">
      <c r="A433">
        <v>20260501</v>
      </c>
      <c r="B433" t="s">
        <v>1155</v>
      </c>
      <c r="C433">
        <v>5400</v>
      </c>
      <c r="D433" t="s">
        <v>1131</v>
      </c>
      <c r="E433">
        <v>60736.03</v>
      </c>
      <c r="F433" t="s">
        <v>632</v>
      </c>
      <c r="G433" t="s">
        <v>1890</v>
      </c>
      <c r="H433" t="s">
        <v>1152</v>
      </c>
    </row>
    <row r="434" spans="1:8" x14ac:dyDescent="0.35">
      <c r="A434">
        <v>20260501</v>
      </c>
      <c r="B434" t="s">
        <v>1155</v>
      </c>
      <c r="C434">
        <v>5420</v>
      </c>
      <c r="D434" t="s">
        <v>1131</v>
      </c>
      <c r="E434">
        <v>43075.199999999997</v>
      </c>
      <c r="F434" t="s">
        <v>1497</v>
      </c>
      <c r="G434" t="s">
        <v>1891</v>
      </c>
      <c r="H434" t="s">
        <v>1152</v>
      </c>
    </row>
    <row r="435" spans="1:8" x14ac:dyDescent="0.35">
      <c r="A435">
        <v>20260501</v>
      </c>
      <c r="B435" t="s">
        <v>1155</v>
      </c>
      <c r="C435">
        <v>6300</v>
      </c>
      <c r="D435" t="s">
        <v>1131</v>
      </c>
      <c r="E435">
        <v>85000</v>
      </c>
      <c r="F435" t="s">
        <v>1499</v>
      </c>
      <c r="G435" t="s">
        <v>1892</v>
      </c>
      <c r="H435" t="s">
        <v>1501</v>
      </c>
    </row>
    <row r="436" spans="1:8" x14ac:dyDescent="0.35">
      <c r="A436">
        <v>20260501</v>
      </c>
      <c r="B436" t="s">
        <v>1155</v>
      </c>
      <c r="C436">
        <v>6420</v>
      </c>
      <c r="D436" t="s">
        <v>1131</v>
      </c>
      <c r="E436">
        <v>25000</v>
      </c>
      <c r="F436" t="s">
        <v>1502</v>
      </c>
      <c r="G436" t="s">
        <v>1893</v>
      </c>
      <c r="H436" t="s">
        <v>1504</v>
      </c>
    </row>
    <row r="437" spans="1:8" x14ac:dyDescent="0.35">
      <c r="A437">
        <v>20260501</v>
      </c>
      <c r="B437" t="s">
        <v>1155</v>
      </c>
      <c r="C437">
        <v>7130</v>
      </c>
      <c r="D437" t="s">
        <v>1131</v>
      </c>
      <c r="E437">
        <v>8753</v>
      </c>
      <c r="F437" t="s">
        <v>1505</v>
      </c>
      <c r="G437" t="s">
        <v>1894</v>
      </c>
      <c r="H437" t="s">
        <v>1507</v>
      </c>
    </row>
    <row r="438" spans="1:8" x14ac:dyDescent="0.35">
      <c r="A438">
        <v>20260501</v>
      </c>
      <c r="B438" t="s">
        <v>1138</v>
      </c>
      <c r="C438">
        <v>5000</v>
      </c>
      <c r="D438" t="s">
        <v>1131</v>
      </c>
      <c r="E438">
        <v>474676</v>
      </c>
      <c r="F438" t="s">
        <v>1151</v>
      </c>
      <c r="G438" t="s">
        <v>1162</v>
      </c>
      <c r="H438" t="s">
        <v>1152</v>
      </c>
    </row>
    <row r="439" spans="1:8" x14ac:dyDescent="0.35">
      <c r="A439">
        <v>20260501</v>
      </c>
      <c r="B439" t="s">
        <v>1138</v>
      </c>
      <c r="C439">
        <v>5400</v>
      </c>
      <c r="D439" t="s">
        <v>1131</v>
      </c>
      <c r="E439">
        <v>66929.320000000007</v>
      </c>
      <c r="F439" t="s">
        <v>632</v>
      </c>
      <c r="G439" t="s">
        <v>1895</v>
      </c>
      <c r="H439" t="s">
        <v>1152</v>
      </c>
    </row>
    <row r="440" spans="1:8" x14ac:dyDescent="0.35">
      <c r="A440">
        <v>20260501</v>
      </c>
      <c r="B440" t="s">
        <v>1138</v>
      </c>
      <c r="C440">
        <v>5420</v>
      </c>
      <c r="D440" t="s">
        <v>1131</v>
      </c>
      <c r="E440">
        <v>47467.6</v>
      </c>
      <c r="F440" t="s">
        <v>1497</v>
      </c>
      <c r="G440" t="s">
        <v>1896</v>
      </c>
      <c r="H440" t="s">
        <v>1152</v>
      </c>
    </row>
    <row r="441" spans="1:8" x14ac:dyDescent="0.35">
      <c r="A441">
        <v>20260501</v>
      </c>
      <c r="B441" t="s">
        <v>1138</v>
      </c>
      <c r="C441">
        <v>6300</v>
      </c>
      <c r="D441" t="s">
        <v>1131</v>
      </c>
      <c r="E441">
        <v>85000</v>
      </c>
      <c r="F441" t="s">
        <v>1499</v>
      </c>
      <c r="G441" t="s">
        <v>1897</v>
      </c>
      <c r="H441" t="s">
        <v>1501</v>
      </c>
    </row>
    <row r="442" spans="1:8" x14ac:dyDescent="0.35">
      <c r="A442">
        <v>20260501</v>
      </c>
      <c r="B442" t="s">
        <v>1138</v>
      </c>
      <c r="C442">
        <v>6420</v>
      </c>
      <c r="D442" t="s">
        <v>1131</v>
      </c>
      <c r="E442">
        <v>25000</v>
      </c>
      <c r="F442" t="s">
        <v>1502</v>
      </c>
      <c r="G442" t="s">
        <v>1898</v>
      </c>
      <c r="H442" t="s">
        <v>1504</v>
      </c>
    </row>
    <row r="443" spans="1:8" x14ac:dyDescent="0.35">
      <c r="A443">
        <v>20260501</v>
      </c>
      <c r="B443" t="s">
        <v>1138</v>
      </c>
      <c r="C443">
        <v>7130</v>
      </c>
      <c r="D443" t="s">
        <v>1131</v>
      </c>
      <c r="E443">
        <v>22595</v>
      </c>
      <c r="F443" t="s">
        <v>1505</v>
      </c>
      <c r="G443" t="s">
        <v>1899</v>
      </c>
      <c r="H443" t="s">
        <v>1507</v>
      </c>
    </row>
    <row r="444" spans="1:8" x14ac:dyDescent="0.35">
      <c r="A444">
        <v>20260501</v>
      </c>
      <c r="B444" t="s">
        <v>1138</v>
      </c>
      <c r="C444">
        <v>6050</v>
      </c>
      <c r="D444" t="s">
        <v>1139</v>
      </c>
      <c r="E444">
        <v>33333.33</v>
      </c>
      <c r="F444" t="s">
        <v>1743</v>
      </c>
      <c r="G444" t="s">
        <v>1900</v>
      </c>
      <c r="H444" t="s">
        <v>1745</v>
      </c>
    </row>
    <row r="445" spans="1:8" x14ac:dyDescent="0.35">
      <c r="A445">
        <v>20260601</v>
      </c>
      <c r="B445" t="s">
        <v>1150</v>
      </c>
      <c r="C445">
        <v>5000</v>
      </c>
      <c r="D445" t="s">
        <v>1131</v>
      </c>
      <c r="E445">
        <v>479209</v>
      </c>
      <c r="F445" t="s">
        <v>1151</v>
      </c>
      <c r="G445" t="s">
        <v>1148</v>
      </c>
      <c r="H445" t="s">
        <v>1152</v>
      </c>
    </row>
    <row r="446" spans="1:8" x14ac:dyDescent="0.35">
      <c r="A446">
        <v>20260601</v>
      </c>
      <c r="B446" t="s">
        <v>1150</v>
      </c>
      <c r="C446">
        <v>5400</v>
      </c>
      <c r="D446" t="s">
        <v>1131</v>
      </c>
      <c r="E446">
        <v>67568.47</v>
      </c>
      <c r="F446" t="s">
        <v>632</v>
      </c>
      <c r="G446" t="s">
        <v>1901</v>
      </c>
      <c r="H446" t="s">
        <v>1152</v>
      </c>
    </row>
    <row r="447" spans="1:8" x14ac:dyDescent="0.35">
      <c r="A447">
        <v>20260601</v>
      </c>
      <c r="B447" t="s">
        <v>1150</v>
      </c>
      <c r="C447">
        <v>5420</v>
      </c>
      <c r="D447" t="s">
        <v>1131</v>
      </c>
      <c r="E447">
        <v>47920.9</v>
      </c>
      <c r="F447" t="s">
        <v>1497</v>
      </c>
      <c r="G447" t="s">
        <v>1902</v>
      </c>
      <c r="H447" t="s">
        <v>1152</v>
      </c>
    </row>
    <row r="448" spans="1:8" x14ac:dyDescent="0.35">
      <c r="A448">
        <v>20260601</v>
      </c>
      <c r="B448" t="s">
        <v>1150</v>
      </c>
      <c r="C448">
        <v>6300</v>
      </c>
      <c r="D448" t="s">
        <v>1131</v>
      </c>
      <c r="E448">
        <v>85000</v>
      </c>
      <c r="F448" t="s">
        <v>1499</v>
      </c>
      <c r="G448" t="s">
        <v>1903</v>
      </c>
      <c r="H448" t="s">
        <v>1501</v>
      </c>
    </row>
    <row r="449" spans="1:8" x14ac:dyDescent="0.35">
      <c r="A449">
        <v>20260601</v>
      </c>
      <c r="B449" t="s">
        <v>1150</v>
      </c>
      <c r="C449">
        <v>6420</v>
      </c>
      <c r="D449" t="s">
        <v>1131</v>
      </c>
      <c r="E449">
        <v>25000</v>
      </c>
      <c r="F449" t="s">
        <v>1502</v>
      </c>
      <c r="G449" t="s">
        <v>1904</v>
      </c>
      <c r="H449" t="s">
        <v>1504</v>
      </c>
    </row>
    <row r="450" spans="1:8" x14ac:dyDescent="0.35">
      <c r="A450">
        <v>20260601</v>
      </c>
      <c r="B450" t="s">
        <v>1150</v>
      </c>
      <c r="C450">
        <v>7130</v>
      </c>
      <c r="D450" t="s">
        <v>1131</v>
      </c>
      <c r="E450">
        <v>13743</v>
      </c>
      <c r="F450" t="s">
        <v>1505</v>
      </c>
      <c r="G450" t="s">
        <v>1905</v>
      </c>
      <c r="H450" t="s">
        <v>1507</v>
      </c>
    </row>
    <row r="451" spans="1:8" x14ac:dyDescent="0.35">
      <c r="A451">
        <v>20260601</v>
      </c>
      <c r="B451" t="s">
        <v>1272</v>
      </c>
      <c r="C451">
        <v>5100</v>
      </c>
      <c r="D451" t="s">
        <v>480</v>
      </c>
      <c r="E451">
        <v>89105.099999999991</v>
      </c>
      <c r="F451" t="s">
        <v>1508</v>
      </c>
      <c r="G451" t="s">
        <v>1906</v>
      </c>
      <c r="H451" t="s">
        <v>1510</v>
      </c>
    </row>
    <row r="452" spans="1:8" x14ac:dyDescent="0.35">
      <c r="A452">
        <v>20260601</v>
      </c>
      <c r="B452" t="s">
        <v>1272</v>
      </c>
      <c r="C452">
        <v>6800</v>
      </c>
      <c r="D452" t="s">
        <v>480</v>
      </c>
      <c r="E452">
        <v>38187.9</v>
      </c>
      <c r="F452" t="s">
        <v>1511</v>
      </c>
      <c r="G452" t="s">
        <v>1907</v>
      </c>
      <c r="H452" t="s">
        <v>1513</v>
      </c>
    </row>
    <row r="453" spans="1:8" x14ac:dyDescent="0.35">
      <c r="A453">
        <v>20260601</v>
      </c>
      <c r="B453" t="s">
        <v>1272</v>
      </c>
      <c r="C453">
        <v>3420</v>
      </c>
      <c r="D453" t="s">
        <v>480</v>
      </c>
      <c r="E453">
        <v>-127293</v>
      </c>
      <c r="F453" t="s">
        <v>1269</v>
      </c>
      <c r="G453" t="s">
        <v>1908</v>
      </c>
      <c r="H453" t="s">
        <v>1270</v>
      </c>
    </row>
    <row r="454" spans="1:8" x14ac:dyDescent="0.35">
      <c r="A454">
        <v>20260601</v>
      </c>
      <c r="B454" t="s">
        <v>1272</v>
      </c>
      <c r="C454">
        <v>2180</v>
      </c>
      <c r="D454" t="s">
        <v>480</v>
      </c>
      <c r="E454">
        <v>127293</v>
      </c>
      <c r="F454" t="s">
        <v>1266</v>
      </c>
      <c r="G454" t="s">
        <v>1909</v>
      </c>
      <c r="H454" t="s">
        <v>1267</v>
      </c>
    </row>
    <row r="455" spans="1:8" x14ac:dyDescent="0.35">
      <c r="A455">
        <v>20260601</v>
      </c>
      <c r="B455" t="s">
        <v>1158</v>
      </c>
      <c r="C455">
        <v>5000</v>
      </c>
      <c r="D455" t="s">
        <v>1131</v>
      </c>
      <c r="E455">
        <v>437310</v>
      </c>
      <c r="F455" t="s">
        <v>1151</v>
      </c>
      <c r="G455" t="s">
        <v>1224</v>
      </c>
      <c r="H455" t="s">
        <v>1152</v>
      </c>
    </row>
    <row r="456" spans="1:8" x14ac:dyDescent="0.35">
      <c r="A456">
        <v>20260601</v>
      </c>
      <c r="B456" t="s">
        <v>1158</v>
      </c>
      <c r="C456">
        <v>5400</v>
      </c>
      <c r="D456" t="s">
        <v>1131</v>
      </c>
      <c r="E456">
        <v>61660.71</v>
      </c>
      <c r="F456" t="s">
        <v>632</v>
      </c>
      <c r="G456" t="s">
        <v>1910</v>
      </c>
      <c r="H456" t="s">
        <v>1152</v>
      </c>
    </row>
    <row r="457" spans="1:8" x14ac:dyDescent="0.35">
      <c r="A457">
        <v>20260601</v>
      </c>
      <c r="B457" t="s">
        <v>1158</v>
      </c>
      <c r="C457">
        <v>5420</v>
      </c>
      <c r="D457" t="s">
        <v>1131</v>
      </c>
      <c r="E457">
        <v>43731</v>
      </c>
      <c r="F457" t="s">
        <v>1497</v>
      </c>
      <c r="G457" t="s">
        <v>1911</v>
      </c>
      <c r="H457" t="s">
        <v>1152</v>
      </c>
    </row>
    <row r="458" spans="1:8" x14ac:dyDescent="0.35">
      <c r="A458">
        <v>20260601</v>
      </c>
      <c r="B458" t="s">
        <v>1158</v>
      </c>
      <c r="C458">
        <v>6300</v>
      </c>
      <c r="D458" t="s">
        <v>1131</v>
      </c>
      <c r="E458">
        <v>85000</v>
      </c>
      <c r="F458" t="s">
        <v>1499</v>
      </c>
      <c r="G458" t="s">
        <v>1912</v>
      </c>
      <c r="H458" t="s">
        <v>1501</v>
      </c>
    </row>
    <row r="459" spans="1:8" x14ac:dyDescent="0.35">
      <c r="A459">
        <v>20260601</v>
      </c>
      <c r="B459" t="s">
        <v>1158</v>
      </c>
      <c r="C459">
        <v>6420</v>
      </c>
      <c r="D459" t="s">
        <v>1131</v>
      </c>
      <c r="E459">
        <v>25000</v>
      </c>
      <c r="F459" t="s">
        <v>1502</v>
      </c>
      <c r="G459" t="s">
        <v>1913</v>
      </c>
      <c r="H459" t="s">
        <v>1504</v>
      </c>
    </row>
    <row r="460" spans="1:8" x14ac:dyDescent="0.35">
      <c r="A460">
        <v>20260601</v>
      </c>
      <c r="B460" t="s">
        <v>1158</v>
      </c>
      <c r="C460">
        <v>7130</v>
      </c>
      <c r="D460" t="s">
        <v>1131</v>
      </c>
      <c r="E460">
        <v>14617</v>
      </c>
      <c r="F460" t="s">
        <v>1505</v>
      </c>
      <c r="G460" t="s">
        <v>1914</v>
      </c>
      <c r="H460" t="s">
        <v>1507</v>
      </c>
    </row>
    <row r="461" spans="1:8" x14ac:dyDescent="0.35">
      <c r="A461">
        <v>20260601</v>
      </c>
      <c r="B461" t="s">
        <v>1243</v>
      </c>
      <c r="C461">
        <v>5100</v>
      </c>
      <c r="D461" t="s">
        <v>493</v>
      </c>
      <c r="E461">
        <v>93444.4</v>
      </c>
      <c r="F461" t="s">
        <v>1508</v>
      </c>
      <c r="G461" t="s">
        <v>1915</v>
      </c>
      <c r="H461" t="s">
        <v>1510</v>
      </c>
    </row>
    <row r="462" spans="1:8" x14ac:dyDescent="0.35">
      <c r="A462">
        <v>20260601</v>
      </c>
      <c r="B462" t="s">
        <v>1243</v>
      </c>
      <c r="C462">
        <v>6800</v>
      </c>
      <c r="D462" t="s">
        <v>493</v>
      </c>
      <c r="E462">
        <v>40047.599999999999</v>
      </c>
      <c r="F462" t="s">
        <v>1511</v>
      </c>
      <c r="G462" t="s">
        <v>1916</v>
      </c>
      <c r="H462" t="s">
        <v>1513</v>
      </c>
    </row>
    <row r="463" spans="1:8" x14ac:dyDescent="0.35">
      <c r="A463">
        <v>20260601</v>
      </c>
      <c r="B463" t="s">
        <v>1243</v>
      </c>
      <c r="C463">
        <v>3450</v>
      </c>
      <c r="D463" t="s">
        <v>493</v>
      </c>
      <c r="E463">
        <v>-110000</v>
      </c>
      <c r="F463" t="s">
        <v>1523</v>
      </c>
      <c r="G463" t="s">
        <v>1917</v>
      </c>
      <c r="H463" t="s">
        <v>1525</v>
      </c>
    </row>
    <row r="464" spans="1:8" x14ac:dyDescent="0.35">
      <c r="A464">
        <v>20260601</v>
      </c>
      <c r="B464" t="s">
        <v>1243</v>
      </c>
      <c r="C464">
        <v>7790</v>
      </c>
      <c r="D464" t="s">
        <v>493</v>
      </c>
      <c r="E464">
        <v>150000</v>
      </c>
      <c r="F464" t="s">
        <v>1250</v>
      </c>
      <c r="G464" t="s">
        <v>1253</v>
      </c>
      <c r="H464" t="s">
        <v>1251</v>
      </c>
    </row>
    <row r="465" spans="1:8" x14ac:dyDescent="0.35">
      <c r="A465">
        <v>20260601</v>
      </c>
      <c r="B465" t="s">
        <v>1243</v>
      </c>
      <c r="C465">
        <v>2800</v>
      </c>
      <c r="D465" t="s">
        <v>493</v>
      </c>
      <c r="E465">
        <v>-150000</v>
      </c>
      <c r="F465" t="s">
        <v>1244</v>
      </c>
      <c r="G465" t="s">
        <v>1242</v>
      </c>
      <c r="H465" t="s">
        <v>1245</v>
      </c>
    </row>
    <row r="466" spans="1:8" x14ac:dyDescent="0.35">
      <c r="A466">
        <v>20260601</v>
      </c>
      <c r="B466" t="s">
        <v>1205</v>
      </c>
      <c r="C466">
        <v>5000</v>
      </c>
      <c r="D466" t="s">
        <v>1131</v>
      </c>
      <c r="E466">
        <v>440365</v>
      </c>
      <c r="F466" t="s">
        <v>1151</v>
      </c>
      <c r="G466" t="s">
        <v>1220</v>
      </c>
      <c r="H466" t="s">
        <v>1152</v>
      </c>
    </row>
    <row r="467" spans="1:8" x14ac:dyDescent="0.35">
      <c r="A467">
        <v>20260601</v>
      </c>
      <c r="B467" t="s">
        <v>1205</v>
      </c>
      <c r="C467">
        <v>5400</v>
      </c>
      <c r="D467" t="s">
        <v>1131</v>
      </c>
      <c r="E467">
        <v>62091.46</v>
      </c>
      <c r="F467" t="s">
        <v>632</v>
      </c>
      <c r="G467" t="s">
        <v>1918</v>
      </c>
      <c r="H467" t="s">
        <v>1152</v>
      </c>
    </row>
    <row r="468" spans="1:8" x14ac:dyDescent="0.35">
      <c r="A468">
        <v>20260601</v>
      </c>
      <c r="B468" t="s">
        <v>1205</v>
      </c>
      <c r="C468">
        <v>5420</v>
      </c>
      <c r="D468" t="s">
        <v>1131</v>
      </c>
      <c r="E468">
        <v>44036.5</v>
      </c>
      <c r="F468" t="s">
        <v>1497</v>
      </c>
      <c r="G468" t="s">
        <v>1919</v>
      </c>
      <c r="H468" t="s">
        <v>1152</v>
      </c>
    </row>
    <row r="469" spans="1:8" x14ac:dyDescent="0.35">
      <c r="A469">
        <v>20260601</v>
      </c>
      <c r="B469" t="s">
        <v>1205</v>
      </c>
      <c r="C469">
        <v>6300</v>
      </c>
      <c r="D469" t="s">
        <v>1131</v>
      </c>
      <c r="E469">
        <v>85000</v>
      </c>
      <c r="F469" t="s">
        <v>1499</v>
      </c>
      <c r="G469" t="s">
        <v>1920</v>
      </c>
      <c r="H469" t="s">
        <v>1501</v>
      </c>
    </row>
    <row r="470" spans="1:8" x14ac:dyDescent="0.35">
      <c r="A470">
        <v>20260601</v>
      </c>
      <c r="B470" t="s">
        <v>1205</v>
      </c>
      <c r="C470">
        <v>6420</v>
      </c>
      <c r="D470" t="s">
        <v>1131</v>
      </c>
      <c r="E470">
        <v>25000</v>
      </c>
      <c r="F470" t="s">
        <v>1502</v>
      </c>
      <c r="G470" t="s">
        <v>1921</v>
      </c>
      <c r="H470" t="s">
        <v>1504</v>
      </c>
    </row>
    <row r="471" spans="1:8" x14ac:dyDescent="0.35">
      <c r="A471">
        <v>20260601</v>
      </c>
      <c r="B471" t="s">
        <v>1205</v>
      </c>
      <c r="C471">
        <v>7130</v>
      </c>
      <c r="D471" t="s">
        <v>1131</v>
      </c>
      <c r="E471">
        <v>19867</v>
      </c>
      <c r="F471" t="s">
        <v>1505</v>
      </c>
      <c r="G471" t="s">
        <v>1922</v>
      </c>
      <c r="H471" t="s">
        <v>1507</v>
      </c>
    </row>
    <row r="472" spans="1:8" x14ac:dyDescent="0.35">
      <c r="A472">
        <v>20260601</v>
      </c>
      <c r="B472" t="s">
        <v>1205</v>
      </c>
      <c r="C472">
        <v>5050</v>
      </c>
      <c r="D472" t="s">
        <v>1131</v>
      </c>
      <c r="E472">
        <v>35106</v>
      </c>
      <c r="F472" t="s">
        <v>1531</v>
      </c>
      <c r="G472" t="s">
        <v>1923</v>
      </c>
      <c r="H472" t="s">
        <v>1533</v>
      </c>
    </row>
    <row r="473" spans="1:8" x14ac:dyDescent="0.35">
      <c r="A473">
        <v>20260601</v>
      </c>
      <c r="B473" t="s">
        <v>1205</v>
      </c>
      <c r="C473">
        <v>5800</v>
      </c>
      <c r="D473" t="s">
        <v>1131</v>
      </c>
      <c r="E473">
        <v>-42000</v>
      </c>
      <c r="F473" t="s">
        <v>1686</v>
      </c>
      <c r="G473" t="s">
        <v>1924</v>
      </c>
      <c r="H473" t="s">
        <v>1688</v>
      </c>
    </row>
    <row r="474" spans="1:8" x14ac:dyDescent="0.35">
      <c r="A474">
        <v>20260601</v>
      </c>
      <c r="B474" t="s">
        <v>1257</v>
      </c>
      <c r="C474">
        <v>5100</v>
      </c>
      <c r="D474" t="s">
        <v>493</v>
      </c>
      <c r="E474">
        <v>85582.7</v>
      </c>
      <c r="F474" t="s">
        <v>1508</v>
      </c>
      <c r="G474" t="s">
        <v>1925</v>
      </c>
      <c r="H474" t="s">
        <v>1510</v>
      </c>
    </row>
    <row r="475" spans="1:8" x14ac:dyDescent="0.35">
      <c r="A475">
        <v>20260601</v>
      </c>
      <c r="B475" t="s">
        <v>1257</v>
      </c>
      <c r="C475">
        <v>6800</v>
      </c>
      <c r="D475" t="s">
        <v>493</v>
      </c>
      <c r="E475">
        <v>36678.300000000003</v>
      </c>
      <c r="F475" t="s">
        <v>1511</v>
      </c>
      <c r="G475" t="s">
        <v>1926</v>
      </c>
      <c r="H475" t="s">
        <v>1513</v>
      </c>
    </row>
    <row r="476" spans="1:8" x14ac:dyDescent="0.35">
      <c r="A476">
        <v>20260601</v>
      </c>
      <c r="B476" t="s">
        <v>1257</v>
      </c>
      <c r="C476">
        <v>3450</v>
      </c>
      <c r="D476" t="s">
        <v>493</v>
      </c>
      <c r="E476">
        <v>-110000</v>
      </c>
      <c r="F476" t="s">
        <v>1523</v>
      </c>
      <c r="G476" t="s">
        <v>1927</v>
      </c>
      <c r="H476" t="s">
        <v>1525</v>
      </c>
    </row>
    <row r="477" spans="1:8" x14ac:dyDescent="0.35">
      <c r="A477">
        <v>20260601</v>
      </c>
      <c r="B477" t="s">
        <v>1257</v>
      </c>
      <c r="C477">
        <v>7790</v>
      </c>
      <c r="D477" t="s">
        <v>493</v>
      </c>
      <c r="E477">
        <v>150000</v>
      </c>
      <c r="F477" t="s">
        <v>1250</v>
      </c>
      <c r="G477" t="s">
        <v>1256</v>
      </c>
      <c r="H477" t="s">
        <v>1251</v>
      </c>
    </row>
    <row r="478" spans="1:8" x14ac:dyDescent="0.35">
      <c r="A478">
        <v>20260601</v>
      </c>
      <c r="B478" t="s">
        <v>1257</v>
      </c>
      <c r="C478">
        <v>2800</v>
      </c>
      <c r="D478" t="s">
        <v>493</v>
      </c>
      <c r="E478">
        <v>-150000</v>
      </c>
      <c r="F478" t="s">
        <v>1244</v>
      </c>
      <c r="G478" t="s">
        <v>1261</v>
      </c>
      <c r="H478" t="s">
        <v>1245</v>
      </c>
    </row>
    <row r="479" spans="1:8" x14ac:dyDescent="0.35">
      <c r="A479">
        <v>20260601</v>
      </c>
      <c r="B479" t="s">
        <v>1164</v>
      </c>
      <c r="C479">
        <v>5000</v>
      </c>
      <c r="D479" t="s">
        <v>1131</v>
      </c>
      <c r="E479">
        <v>462806</v>
      </c>
      <c r="F479" t="s">
        <v>1151</v>
      </c>
      <c r="G479" t="s">
        <v>1189</v>
      </c>
      <c r="H479" t="s">
        <v>1152</v>
      </c>
    </row>
    <row r="480" spans="1:8" x14ac:dyDescent="0.35">
      <c r="A480">
        <v>20260601</v>
      </c>
      <c r="B480" t="s">
        <v>1164</v>
      </c>
      <c r="C480">
        <v>5400</v>
      </c>
      <c r="D480" t="s">
        <v>1131</v>
      </c>
      <c r="E480">
        <v>65255.65</v>
      </c>
      <c r="F480" t="s">
        <v>632</v>
      </c>
      <c r="G480" t="s">
        <v>1928</v>
      </c>
      <c r="H480" t="s">
        <v>1152</v>
      </c>
    </row>
    <row r="481" spans="1:8" x14ac:dyDescent="0.35">
      <c r="A481">
        <v>20260601</v>
      </c>
      <c r="B481" t="s">
        <v>1164</v>
      </c>
      <c r="C481">
        <v>5420</v>
      </c>
      <c r="D481" t="s">
        <v>1131</v>
      </c>
      <c r="E481">
        <v>46280.6</v>
      </c>
      <c r="F481" t="s">
        <v>1497</v>
      </c>
      <c r="G481" t="s">
        <v>1929</v>
      </c>
      <c r="H481" t="s">
        <v>1152</v>
      </c>
    </row>
    <row r="482" spans="1:8" x14ac:dyDescent="0.35">
      <c r="A482">
        <v>20260601</v>
      </c>
      <c r="B482" t="s">
        <v>1164</v>
      </c>
      <c r="C482">
        <v>6300</v>
      </c>
      <c r="D482" t="s">
        <v>1131</v>
      </c>
      <c r="E482">
        <v>85000</v>
      </c>
      <c r="F482" t="s">
        <v>1499</v>
      </c>
      <c r="G482" t="s">
        <v>1930</v>
      </c>
      <c r="H482" t="s">
        <v>1501</v>
      </c>
    </row>
    <row r="483" spans="1:8" x14ac:dyDescent="0.35">
      <c r="A483">
        <v>20260601</v>
      </c>
      <c r="B483" t="s">
        <v>1164</v>
      </c>
      <c r="C483">
        <v>6420</v>
      </c>
      <c r="D483" t="s">
        <v>1131</v>
      </c>
      <c r="E483">
        <v>25000</v>
      </c>
      <c r="F483" t="s">
        <v>1502</v>
      </c>
      <c r="G483" t="s">
        <v>1931</v>
      </c>
      <c r="H483" t="s">
        <v>1504</v>
      </c>
    </row>
    <row r="484" spans="1:8" x14ac:dyDescent="0.35">
      <c r="A484">
        <v>20260601</v>
      </c>
      <c r="B484" t="s">
        <v>1164</v>
      </c>
      <c r="C484">
        <v>7130</v>
      </c>
      <c r="D484" t="s">
        <v>1131</v>
      </c>
      <c r="E484">
        <v>10854</v>
      </c>
      <c r="F484" t="s">
        <v>1505</v>
      </c>
      <c r="G484" t="s">
        <v>1932</v>
      </c>
      <c r="H484" t="s">
        <v>1507</v>
      </c>
    </row>
    <row r="485" spans="1:8" x14ac:dyDescent="0.35">
      <c r="A485">
        <v>20260601</v>
      </c>
      <c r="B485" t="s">
        <v>1249</v>
      </c>
      <c r="C485">
        <v>5100</v>
      </c>
      <c r="D485" t="s">
        <v>493</v>
      </c>
      <c r="E485">
        <v>96789.7</v>
      </c>
      <c r="F485" t="s">
        <v>1508</v>
      </c>
      <c r="G485" t="s">
        <v>1933</v>
      </c>
      <c r="H485" t="s">
        <v>1510</v>
      </c>
    </row>
    <row r="486" spans="1:8" x14ac:dyDescent="0.35">
      <c r="A486">
        <v>20260601</v>
      </c>
      <c r="B486" t="s">
        <v>1249</v>
      </c>
      <c r="C486">
        <v>6800</v>
      </c>
      <c r="D486" t="s">
        <v>493</v>
      </c>
      <c r="E486">
        <v>41481.300000000003</v>
      </c>
      <c r="F486" t="s">
        <v>1511</v>
      </c>
      <c r="G486" t="s">
        <v>1934</v>
      </c>
      <c r="H486" t="s">
        <v>1513</v>
      </c>
    </row>
    <row r="487" spans="1:8" x14ac:dyDescent="0.35">
      <c r="A487">
        <v>20260601</v>
      </c>
      <c r="B487" t="s">
        <v>1249</v>
      </c>
      <c r="C487">
        <v>3450</v>
      </c>
      <c r="D487" t="s">
        <v>493</v>
      </c>
      <c r="E487">
        <v>-110000</v>
      </c>
      <c r="F487" t="s">
        <v>1523</v>
      </c>
      <c r="G487" t="s">
        <v>1935</v>
      </c>
      <c r="H487" t="s">
        <v>1525</v>
      </c>
    </row>
    <row r="488" spans="1:8" x14ac:dyDescent="0.35">
      <c r="A488">
        <v>20260601</v>
      </c>
      <c r="B488" t="s">
        <v>1249</v>
      </c>
      <c r="C488">
        <v>7790</v>
      </c>
      <c r="D488" t="s">
        <v>493</v>
      </c>
      <c r="E488">
        <v>150000</v>
      </c>
      <c r="F488" t="s">
        <v>1250</v>
      </c>
      <c r="G488" t="s">
        <v>1248</v>
      </c>
      <c r="H488" t="s">
        <v>1251</v>
      </c>
    </row>
    <row r="489" spans="1:8" x14ac:dyDescent="0.35">
      <c r="A489">
        <v>20260601</v>
      </c>
      <c r="B489" t="s">
        <v>1249</v>
      </c>
      <c r="C489">
        <v>2800</v>
      </c>
      <c r="D489" t="s">
        <v>493</v>
      </c>
      <c r="E489">
        <v>-150000</v>
      </c>
      <c r="F489" t="s">
        <v>1244</v>
      </c>
      <c r="G489" t="s">
        <v>1252</v>
      </c>
      <c r="H489" t="s">
        <v>1245</v>
      </c>
    </row>
    <row r="490" spans="1:8" x14ac:dyDescent="0.35">
      <c r="A490">
        <v>20260601</v>
      </c>
      <c r="B490" t="s">
        <v>1169</v>
      </c>
      <c r="C490">
        <v>5000</v>
      </c>
      <c r="D490" t="s">
        <v>1131</v>
      </c>
      <c r="E490">
        <v>436973</v>
      </c>
      <c r="F490" t="s">
        <v>1151</v>
      </c>
      <c r="G490" t="s">
        <v>1225</v>
      </c>
      <c r="H490" t="s">
        <v>1152</v>
      </c>
    </row>
    <row r="491" spans="1:8" x14ac:dyDescent="0.35">
      <c r="A491">
        <v>20260601</v>
      </c>
      <c r="B491" t="s">
        <v>1169</v>
      </c>
      <c r="C491">
        <v>5400</v>
      </c>
      <c r="D491" t="s">
        <v>1131</v>
      </c>
      <c r="E491">
        <v>61613.19</v>
      </c>
      <c r="F491" t="s">
        <v>632</v>
      </c>
      <c r="G491" t="s">
        <v>1936</v>
      </c>
      <c r="H491" t="s">
        <v>1152</v>
      </c>
    </row>
    <row r="492" spans="1:8" x14ac:dyDescent="0.35">
      <c r="A492">
        <v>20260601</v>
      </c>
      <c r="B492" t="s">
        <v>1169</v>
      </c>
      <c r="C492">
        <v>5420</v>
      </c>
      <c r="D492" t="s">
        <v>1131</v>
      </c>
      <c r="E492">
        <v>43697.3</v>
      </c>
      <c r="F492" t="s">
        <v>1497</v>
      </c>
      <c r="G492" t="s">
        <v>1937</v>
      </c>
      <c r="H492" t="s">
        <v>1152</v>
      </c>
    </row>
    <row r="493" spans="1:8" x14ac:dyDescent="0.35">
      <c r="A493">
        <v>20260601</v>
      </c>
      <c r="B493" t="s">
        <v>1169</v>
      </c>
      <c r="C493">
        <v>6300</v>
      </c>
      <c r="D493" t="s">
        <v>1131</v>
      </c>
      <c r="E493">
        <v>85000</v>
      </c>
      <c r="F493" t="s">
        <v>1499</v>
      </c>
      <c r="G493" t="s">
        <v>1938</v>
      </c>
      <c r="H493" t="s">
        <v>1501</v>
      </c>
    </row>
    <row r="494" spans="1:8" x14ac:dyDescent="0.35">
      <c r="A494">
        <v>20260601</v>
      </c>
      <c r="B494" t="s">
        <v>1169</v>
      </c>
      <c r="C494">
        <v>6420</v>
      </c>
      <c r="D494" t="s">
        <v>1131</v>
      </c>
      <c r="E494">
        <v>25000</v>
      </c>
      <c r="F494" t="s">
        <v>1502</v>
      </c>
      <c r="G494" t="s">
        <v>1939</v>
      </c>
      <c r="H494" t="s">
        <v>1504</v>
      </c>
    </row>
    <row r="495" spans="1:8" x14ac:dyDescent="0.35">
      <c r="A495">
        <v>20260601</v>
      </c>
      <c r="B495" t="s">
        <v>1169</v>
      </c>
      <c r="C495">
        <v>7130</v>
      </c>
      <c r="D495" t="s">
        <v>1131</v>
      </c>
      <c r="E495">
        <v>14779</v>
      </c>
      <c r="F495" t="s">
        <v>1505</v>
      </c>
      <c r="G495" t="s">
        <v>1940</v>
      </c>
      <c r="H495" t="s">
        <v>1507</v>
      </c>
    </row>
    <row r="496" spans="1:8" x14ac:dyDescent="0.35">
      <c r="A496">
        <v>20260601</v>
      </c>
      <c r="B496" t="s">
        <v>1260</v>
      </c>
      <c r="C496">
        <v>5100</v>
      </c>
      <c r="D496" t="s">
        <v>493</v>
      </c>
      <c r="E496">
        <v>96789</v>
      </c>
      <c r="F496" t="s">
        <v>1508</v>
      </c>
      <c r="G496" t="s">
        <v>1941</v>
      </c>
      <c r="H496" t="s">
        <v>1510</v>
      </c>
    </row>
    <row r="497" spans="1:8" x14ac:dyDescent="0.35">
      <c r="A497">
        <v>20260601</v>
      </c>
      <c r="B497" t="s">
        <v>1260</v>
      </c>
      <c r="C497">
        <v>6800</v>
      </c>
      <c r="D497" t="s">
        <v>493</v>
      </c>
      <c r="E497">
        <v>41481</v>
      </c>
      <c r="F497" t="s">
        <v>1511</v>
      </c>
      <c r="G497" t="s">
        <v>1942</v>
      </c>
      <c r="H497" t="s">
        <v>1513</v>
      </c>
    </row>
    <row r="498" spans="1:8" x14ac:dyDescent="0.35">
      <c r="A498">
        <v>20260601</v>
      </c>
      <c r="B498" t="s">
        <v>1260</v>
      </c>
      <c r="C498">
        <v>3450</v>
      </c>
      <c r="D498" t="s">
        <v>493</v>
      </c>
      <c r="E498">
        <v>-110000</v>
      </c>
      <c r="F498" t="s">
        <v>1523</v>
      </c>
      <c r="G498" t="s">
        <v>1943</v>
      </c>
      <c r="H498" t="s">
        <v>1525</v>
      </c>
    </row>
    <row r="499" spans="1:8" x14ac:dyDescent="0.35">
      <c r="A499">
        <v>20260601</v>
      </c>
      <c r="B499" t="s">
        <v>1260</v>
      </c>
      <c r="C499">
        <v>7790</v>
      </c>
      <c r="D499" t="s">
        <v>493</v>
      </c>
      <c r="E499">
        <v>150000</v>
      </c>
      <c r="F499" t="s">
        <v>1250</v>
      </c>
      <c r="G499" t="s">
        <v>1263</v>
      </c>
      <c r="H499" t="s">
        <v>1251</v>
      </c>
    </row>
    <row r="500" spans="1:8" x14ac:dyDescent="0.35">
      <c r="A500">
        <v>20260601</v>
      </c>
      <c r="B500" t="s">
        <v>1260</v>
      </c>
      <c r="C500">
        <v>2800</v>
      </c>
      <c r="D500" t="s">
        <v>493</v>
      </c>
      <c r="E500">
        <v>-150000</v>
      </c>
      <c r="F500" t="s">
        <v>1244</v>
      </c>
      <c r="G500" t="s">
        <v>1259</v>
      </c>
      <c r="H500" t="s">
        <v>1245</v>
      </c>
    </row>
    <row r="501" spans="1:8" x14ac:dyDescent="0.35">
      <c r="A501">
        <v>20260601</v>
      </c>
      <c r="B501" t="s">
        <v>1175</v>
      </c>
      <c r="C501">
        <v>5000</v>
      </c>
      <c r="D501" t="s">
        <v>1131</v>
      </c>
      <c r="E501">
        <v>469909</v>
      </c>
      <c r="F501" t="s">
        <v>1151</v>
      </c>
      <c r="G501" t="s">
        <v>1174</v>
      </c>
      <c r="H501" t="s">
        <v>1152</v>
      </c>
    </row>
    <row r="502" spans="1:8" x14ac:dyDescent="0.35">
      <c r="A502">
        <v>20260601</v>
      </c>
      <c r="B502" t="s">
        <v>1175</v>
      </c>
      <c r="C502">
        <v>5400</v>
      </c>
      <c r="D502" t="s">
        <v>1131</v>
      </c>
      <c r="E502">
        <v>66257.17</v>
      </c>
      <c r="F502" t="s">
        <v>632</v>
      </c>
      <c r="G502" t="s">
        <v>1944</v>
      </c>
      <c r="H502" t="s">
        <v>1152</v>
      </c>
    </row>
    <row r="503" spans="1:8" x14ac:dyDescent="0.35">
      <c r="A503">
        <v>20260601</v>
      </c>
      <c r="B503" t="s">
        <v>1175</v>
      </c>
      <c r="C503">
        <v>5420</v>
      </c>
      <c r="D503" t="s">
        <v>1131</v>
      </c>
      <c r="E503">
        <v>46990.9</v>
      </c>
      <c r="F503" t="s">
        <v>1497</v>
      </c>
      <c r="G503" t="s">
        <v>1945</v>
      </c>
      <c r="H503" t="s">
        <v>1152</v>
      </c>
    </row>
    <row r="504" spans="1:8" x14ac:dyDescent="0.35">
      <c r="A504">
        <v>20260601</v>
      </c>
      <c r="B504" t="s">
        <v>1175</v>
      </c>
      <c r="C504">
        <v>6300</v>
      </c>
      <c r="D504" t="s">
        <v>1131</v>
      </c>
      <c r="E504">
        <v>85000</v>
      </c>
      <c r="F504" t="s">
        <v>1499</v>
      </c>
      <c r="G504" t="s">
        <v>1946</v>
      </c>
      <c r="H504" t="s">
        <v>1501</v>
      </c>
    </row>
    <row r="505" spans="1:8" x14ac:dyDescent="0.35">
      <c r="A505">
        <v>20260601</v>
      </c>
      <c r="B505" t="s">
        <v>1175</v>
      </c>
      <c r="C505">
        <v>6420</v>
      </c>
      <c r="D505" t="s">
        <v>1131</v>
      </c>
      <c r="E505">
        <v>25000</v>
      </c>
      <c r="F505" t="s">
        <v>1502</v>
      </c>
      <c r="G505" t="s">
        <v>1947</v>
      </c>
      <c r="H505" t="s">
        <v>1504</v>
      </c>
    </row>
    <row r="506" spans="1:8" x14ac:dyDescent="0.35">
      <c r="A506">
        <v>20260601</v>
      </c>
      <c r="B506" t="s">
        <v>1175</v>
      </c>
      <c r="C506">
        <v>7130</v>
      </c>
      <c r="D506" t="s">
        <v>1131</v>
      </c>
      <c r="E506">
        <v>11517</v>
      </c>
      <c r="F506" t="s">
        <v>1505</v>
      </c>
      <c r="G506" t="s">
        <v>1948</v>
      </c>
      <c r="H506" t="s">
        <v>1507</v>
      </c>
    </row>
    <row r="507" spans="1:8" x14ac:dyDescent="0.35">
      <c r="A507">
        <v>20260601</v>
      </c>
      <c r="B507" t="s">
        <v>1247</v>
      </c>
      <c r="C507">
        <v>5100</v>
      </c>
      <c r="D507" t="s">
        <v>493</v>
      </c>
      <c r="E507">
        <v>80511.199999999997</v>
      </c>
      <c r="F507" t="s">
        <v>1508</v>
      </c>
      <c r="G507" t="s">
        <v>1949</v>
      </c>
      <c r="H507" t="s">
        <v>1510</v>
      </c>
    </row>
    <row r="508" spans="1:8" x14ac:dyDescent="0.35">
      <c r="A508">
        <v>20260601</v>
      </c>
      <c r="B508" t="s">
        <v>1247</v>
      </c>
      <c r="C508">
        <v>6800</v>
      </c>
      <c r="D508" t="s">
        <v>493</v>
      </c>
      <c r="E508">
        <v>34504.800000000003</v>
      </c>
      <c r="F508" t="s">
        <v>1511</v>
      </c>
      <c r="G508" t="s">
        <v>1950</v>
      </c>
      <c r="H508" t="s">
        <v>1513</v>
      </c>
    </row>
    <row r="509" spans="1:8" x14ac:dyDescent="0.35">
      <c r="A509">
        <v>20260601</v>
      </c>
      <c r="B509" t="s">
        <v>1247</v>
      </c>
      <c r="C509">
        <v>3450</v>
      </c>
      <c r="D509" t="s">
        <v>493</v>
      </c>
      <c r="E509">
        <v>-110000</v>
      </c>
      <c r="F509" t="s">
        <v>1523</v>
      </c>
      <c r="G509" t="s">
        <v>1951</v>
      </c>
      <c r="H509" t="s">
        <v>1525</v>
      </c>
    </row>
    <row r="510" spans="1:8" x14ac:dyDescent="0.35">
      <c r="A510">
        <v>20260601</v>
      </c>
      <c r="B510" t="s">
        <v>1247</v>
      </c>
      <c r="C510">
        <v>7790</v>
      </c>
      <c r="D510" t="s">
        <v>493</v>
      </c>
      <c r="E510">
        <v>150000</v>
      </c>
      <c r="F510" t="s">
        <v>1250</v>
      </c>
      <c r="G510" t="s">
        <v>1258</v>
      </c>
      <c r="H510" t="s">
        <v>1251</v>
      </c>
    </row>
    <row r="511" spans="1:8" x14ac:dyDescent="0.35">
      <c r="A511">
        <v>20260601</v>
      </c>
      <c r="B511" t="s">
        <v>1247</v>
      </c>
      <c r="C511">
        <v>2800</v>
      </c>
      <c r="D511" t="s">
        <v>493</v>
      </c>
      <c r="E511">
        <v>-150000</v>
      </c>
      <c r="F511" t="s">
        <v>1244</v>
      </c>
      <c r="G511" t="s">
        <v>1246</v>
      </c>
      <c r="H511" t="s">
        <v>1245</v>
      </c>
    </row>
    <row r="512" spans="1:8" x14ac:dyDescent="0.35">
      <c r="A512">
        <v>20260601</v>
      </c>
      <c r="B512" t="s">
        <v>1130</v>
      </c>
      <c r="C512">
        <v>5000</v>
      </c>
      <c r="D512" t="s">
        <v>1131</v>
      </c>
      <c r="E512">
        <v>454504</v>
      </c>
      <c r="F512" t="s">
        <v>1151</v>
      </c>
      <c r="G512" t="s">
        <v>1200</v>
      </c>
      <c r="H512" t="s">
        <v>1152</v>
      </c>
    </row>
    <row r="513" spans="1:8" x14ac:dyDescent="0.35">
      <c r="A513">
        <v>20260601</v>
      </c>
      <c r="B513" t="s">
        <v>1130</v>
      </c>
      <c r="C513">
        <v>5400</v>
      </c>
      <c r="D513" t="s">
        <v>1131</v>
      </c>
      <c r="E513">
        <v>64085.06</v>
      </c>
      <c r="F513" t="s">
        <v>632</v>
      </c>
      <c r="G513" t="s">
        <v>1952</v>
      </c>
      <c r="H513" t="s">
        <v>1152</v>
      </c>
    </row>
    <row r="514" spans="1:8" x14ac:dyDescent="0.35">
      <c r="A514">
        <v>20260601</v>
      </c>
      <c r="B514" t="s">
        <v>1130</v>
      </c>
      <c r="C514">
        <v>5420</v>
      </c>
      <c r="D514" t="s">
        <v>1131</v>
      </c>
      <c r="E514">
        <v>45450.400000000001</v>
      </c>
      <c r="F514" t="s">
        <v>1497</v>
      </c>
      <c r="G514" t="s">
        <v>1953</v>
      </c>
      <c r="H514" t="s">
        <v>1152</v>
      </c>
    </row>
    <row r="515" spans="1:8" x14ac:dyDescent="0.35">
      <c r="A515">
        <v>20260601</v>
      </c>
      <c r="B515" t="s">
        <v>1130</v>
      </c>
      <c r="C515">
        <v>6300</v>
      </c>
      <c r="D515" t="s">
        <v>1131</v>
      </c>
      <c r="E515">
        <v>85000</v>
      </c>
      <c r="F515" t="s">
        <v>1499</v>
      </c>
      <c r="G515" t="s">
        <v>1954</v>
      </c>
      <c r="H515" t="s">
        <v>1501</v>
      </c>
    </row>
    <row r="516" spans="1:8" x14ac:dyDescent="0.35">
      <c r="A516">
        <v>20260601</v>
      </c>
      <c r="B516" t="s">
        <v>1130</v>
      </c>
      <c r="C516">
        <v>6420</v>
      </c>
      <c r="D516" t="s">
        <v>1131</v>
      </c>
      <c r="E516">
        <v>25000</v>
      </c>
      <c r="F516" t="s">
        <v>1502</v>
      </c>
      <c r="G516" t="s">
        <v>1955</v>
      </c>
      <c r="H516" t="s">
        <v>1504</v>
      </c>
    </row>
    <row r="517" spans="1:8" x14ac:dyDescent="0.35">
      <c r="A517">
        <v>20260601</v>
      </c>
      <c r="B517" t="s">
        <v>1130</v>
      </c>
      <c r="C517">
        <v>7130</v>
      </c>
      <c r="D517" t="s">
        <v>1131</v>
      </c>
      <c r="E517">
        <v>10293</v>
      </c>
      <c r="F517" t="s">
        <v>1505</v>
      </c>
      <c r="G517" t="s">
        <v>1956</v>
      </c>
      <c r="H517" t="s">
        <v>1507</v>
      </c>
    </row>
    <row r="518" spans="1:8" x14ac:dyDescent="0.35">
      <c r="A518">
        <v>20260601</v>
      </c>
      <c r="B518" t="s">
        <v>1265</v>
      </c>
      <c r="C518">
        <v>5100</v>
      </c>
      <c r="D518" t="s">
        <v>485</v>
      </c>
      <c r="E518">
        <v>98243.599999999991</v>
      </c>
      <c r="F518" t="s">
        <v>1508</v>
      </c>
      <c r="G518" t="s">
        <v>1957</v>
      </c>
      <c r="H518" t="s">
        <v>1510</v>
      </c>
    </row>
    <row r="519" spans="1:8" x14ac:dyDescent="0.35">
      <c r="A519">
        <v>20260601</v>
      </c>
      <c r="B519" t="s">
        <v>1265</v>
      </c>
      <c r="C519">
        <v>6800</v>
      </c>
      <c r="D519" t="s">
        <v>485</v>
      </c>
      <c r="E519">
        <v>42104.4</v>
      </c>
      <c r="F519" t="s">
        <v>1511</v>
      </c>
      <c r="G519" t="s">
        <v>1958</v>
      </c>
      <c r="H519" t="s">
        <v>1513</v>
      </c>
    </row>
    <row r="520" spans="1:8" x14ac:dyDescent="0.35">
      <c r="A520">
        <v>20260601</v>
      </c>
      <c r="B520" t="s">
        <v>1265</v>
      </c>
      <c r="C520">
        <v>3400</v>
      </c>
      <c r="D520" t="s">
        <v>485</v>
      </c>
      <c r="E520">
        <v>-140348</v>
      </c>
      <c r="F520" t="s">
        <v>1269</v>
      </c>
      <c r="G520" t="s">
        <v>1959</v>
      </c>
      <c r="H520" t="s">
        <v>1270</v>
      </c>
    </row>
    <row r="521" spans="1:8" x14ac:dyDescent="0.35">
      <c r="A521">
        <v>20260601</v>
      </c>
      <c r="B521" t="s">
        <v>1265</v>
      </c>
      <c r="C521">
        <v>2180</v>
      </c>
      <c r="D521" t="s">
        <v>485</v>
      </c>
      <c r="E521">
        <v>140348</v>
      </c>
      <c r="F521" t="s">
        <v>1266</v>
      </c>
      <c r="G521" t="s">
        <v>1960</v>
      </c>
      <c r="H521" t="s">
        <v>1267</v>
      </c>
    </row>
    <row r="522" spans="1:8" x14ac:dyDescent="0.35">
      <c r="A522">
        <v>20260601</v>
      </c>
      <c r="B522" t="s">
        <v>1173</v>
      </c>
      <c r="C522">
        <v>5000</v>
      </c>
      <c r="D522" t="s">
        <v>1131</v>
      </c>
      <c r="E522">
        <v>464757</v>
      </c>
      <c r="F522" t="s">
        <v>1151</v>
      </c>
      <c r="G522" t="s">
        <v>1187</v>
      </c>
      <c r="H522" t="s">
        <v>1152</v>
      </c>
    </row>
    <row r="523" spans="1:8" x14ac:dyDescent="0.35">
      <c r="A523">
        <v>20260601</v>
      </c>
      <c r="B523" t="s">
        <v>1173</v>
      </c>
      <c r="C523">
        <v>5400</v>
      </c>
      <c r="D523" t="s">
        <v>1131</v>
      </c>
      <c r="E523">
        <v>65530.74</v>
      </c>
      <c r="F523" t="s">
        <v>632</v>
      </c>
      <c r="G523" t="s">
        <v>1961</v>
      </c>
      <c r="H523" t="s">
        <v>1152</v>
      </c>
    </row>
    <row r="524" spans="1:8" x14ac:dyDescent="0.35">
      <c r="A524">
        <v>20260601</v>
      </c>
      <c r="B524" t="s">
        <v>1173</v>
      </c>
      <c r="C524">
        <v>5420</v>
      </c>
      <c r="D524" t="s">
        <v>1131</v>
      </c>
      <c r="E524">
        <v>46475.7</v>
      </c>
      <c r="F524" t="s">
        <v>1497</v>
      </c>
      <c r="G524" t="s">
        <v>1962</v>
      </c>
      <c r="H524" t="s">
        <v>1152</v>
      </c>
    </row>
    <row r="525" spans="1:8" x14ac:dyDescent="0.35">
      <c r="A525">
        <v>20260601</v>
      </c>
      <c r="B525" t="s">
        <v>1173</v>
      </c>
      <c r="C525">
        <v>6300</v>
      </c>
      <c r="D525" t="s">
        <v>1131</v>
      </c>
      <c r="E525">
        <v>85000</v>
      </c>
      <c r="F525" t="s">
        <v>1499</v>
      </c>
      <c r="G525" t="s">
        <v>1963</v>
      </c>
      <c r="H525" t="s">
        <v>1501</v>
      </c>
    </row>
    <row r="526" spans="1:8" x14ac:dyDescent="0.35">
      <c r="A526">
        <v>20260601</v>
      </c>
      <c r="B526" t="s">
        <v>1173</v>
      </c>
      <c r="C526">
        <v>6420</v>
      </c>
      <c r="D526" t="s">
        <v>1131</v>
      </c>
      <c r="E526">
        <v>25000</v>
      </c>
      <c r="F526" t="s">
        <v>1502</v>
      </c>
      <c r="G526" t="s">
        <v>1964</v>
      </c>
      <c r="H526" t="s">
        <v>1504</v>
      </c>
    </row>
    <row r="527" spans="1:8" x14ac:dyDescent="0.35">
      <c r="A527">
        <v>20260601</v>
      </c>
      <c r="B527" t="s">
        <v>1173</v>
      </c>
      <c r="C527">
        <v>7130</v>
      </c>
      <c r="D527" t="s">
        <v>1131</v>
      </c>
      <c r="E527">
        <v>5018</v>
      </c>
      <c r="F527" t="s">
        <v>1505</v>
      </c>
      <c r="G527" t="s">
        <v>1965</v>
      </c>
      <c r="H527" t="s">
        <v>1507</v>
      </c>
    </row>
    <row r="528" spans="1:8" x14ac:dyDescent="0.35">
      <c r="A528">
        <v>20260601</v>
      </c>
      <c r="B528" t="s">
        <v>1255</v>
      </c>
      <c r="C528">
        <v>5100</v>
      </c>
      <c r="D528" t="s">
        <v>493</v>
      </c>
      <c r="E528">
        <v>100976.4</v>
      </c>
      <c r="F528" t="s">
        <v>1508</v>
      </c>
      <c r="G528" t="s">
        <v>1966</v>
      </c>
      <c r="H528" t="s">
        <v>1510</v>
      </c>
    </row>
    <row r="529" spans="1:8" x14ac:dyDescent="0.35">
      <c r="A529">
        <v>20260601</v>
      </c>
      <c r="B529" t="s">
        <v>1255</v>
      </c>
      <c r="C529">
        <v>6800</v>
      </c>
      <c r="D529" t="s">
        <v>493</v>
      </c>
      <c r="E529">
        <v>43275.6</v>
      </c>
      <c r="F529" t="s">
        <v>1511</v>
      </c>
      <c r="G529" t="s">
        <v>1967</v>
      </c>
      <c r="H529" t="s">
        <v>1513</v>
      </c>
    </row>
    <row r="530" spans="1:8" x14ac:dyDescent="0.35">
      <c r="A530">
        <v>20260601</v>
      </c>
      <c r="B530" t="s">
        <v>1255</v>
      </c>
      <c r="C530">
        <v>3450</v>
      </c>
      <c r="D530" t="s">
        <v>493</v>
      </c>
      <c r="E530">
        <v>-110000</v>
      </c>
      <c r="F530" t="s">
        <v>1523</v>
      </c>
      <c r="G530" t="s">
        <v>1968</v>
      </c>
      <c r="H530" t="s">
        <v>1525</v>
      </c>
    </row>
    <row r="531" spans="1:8" x14ac:dyDescent="0.35">
      <c r="A531">
        <v>20260601</v>
      </c>
      <c r="B531" t="s">
        <v>1255</v>
      </c>
      <c r="C531">
        <v>7790</v>
      </c>
      <c r="D531" t="s">
        <v>493</v>
      </c>
      <c r="E531">
        <v>150000</v>
      </c>
      <c r="F531" t="s">
        <v>1250</v>
      </c>
      <c r="G531" t="s">
        <v>1254</v>
      </c>
      <c r="H531" t="s">
        <v>1251</v>
      </c>
    </row>
    <row r="532" spans="1:8" x14ac:dyDescent="0.35">
      <c r="A532">
        <v>20260601</v>
      </c>
      <c r="B532" t="s">
        <v>1255</v>
      </c>
      <c r="C532">
        <v>2800</v>
      </c>
      <c r="D532" t="s">
        <v>493</v>
      </c>
      <c r="E532">
        <v>-150000</v>
      </c>
      <c r="F532" t="s">
        <v>1244</v>
      </c>
      <c r="G532" t="s">
        <v>1262</v>
      </c>
      <c r="H532" t="s">
        <v>1245</v>
      </c>
    </row>
    <row r="533" spans="1:8" x14ac:dyDescent="0.35">
      <c r="A533">
        <v>20260601</v>
      </c>
      <c r="B533" t="s">
        <v>1155</v>
      </c>
      <c r="C533">
        <v>5000</v>
      </c>
      <c r="D533" t="s">
        <v>1131</v>
      </c>
      <c r="E533">
        <v>451243</v>
      </c>
      <c r="F533" t="s">
        <v>1151</v>
      </c>
      <c r="G533" t="s">
        <v>1207</v>
      </c>
      <c r="H533" t="s">
        <v>1152</v>
      </c>
    </row>
    <row r="534" spans="1:8" x14ac:dyDescent="0.35">
      <c r="A534">
        <v>20260601</v>
      </c>
      <c r="B534" t="s">
        <v>1155</v>
      </c>
      <c r="C534">
        <v>5400</v>
      </c>
      <c r="D534" t="s">
        <v>1131</v>
      </c>
      <c r="E534">
        <v>63625.26</v>
      </c>
      <c r="F534" t="s">
        <v>632</v>
      </c>
      <c r="G534" t="s">
        <v>1969</v>
      </c>
      <c r="H534" t="s">
        <v>1152</v>
      </c>
    </row>
    <row r="535" spans="1:8" x14ac:dyDescent="0.35">
      <c r="A535">
        <v>20260601</v>
      </c>
      <c r="B535" t="s">
        <v>1155</v>
      </c>
      <c r="C535">
        <v>5420</v>
      </c>
      <c r="D535" t="s">
        <v>1131</v>
      </c>
      <c r="E535">
        <v>45124.3</v>
      </c>
      <c r="F535" t="s">
        <v>1497</v>
      </c>
      <c r="G535" t="s">
        <v>1970</v>
      </c>
      <c r="H535" t="s">
        <v>1152</v>
      </c>
    </row>
    <row r="536" spans="1:8" x14ac:dyDescent="0.35">
      <c r="A536">
        <v>20260601</v>
      </c>
      <c r="B536" t="s">
        <v>1155</v>
      </c>
      <c r="C536">
        <v>6300</v>
      </c>
      <c r="D536" t="s">
        <v>1131</v>
      </c>
      <c r="E536">
        <v>85000</v>
      </c>
      <c r="F536" t="s">
        <v>1499</v>
      </c>
      <c r="G536" t="s">
        <v>1971</v>
      </c>
      <c r="H536" t="s">
        <v>1501</v>
      </c>
    </row>
    <row r="537" spans="1:8" x14ac:dyDescent="0.35">
      <c r="A537">
        <v>20260601</v>
      </c>
      <c r="B537" t="s">
        <v>1155</v>
      </c>
      <c r="C537">
        <v>6420</v>
      </c>
      <c r="D537" t="s">
        <v>1131</v>
      </c>
      <c r="E537">
        <v>25000</v>
      </c>
      <c r="F537" t="s">
        <v>1502</v>
      </c>
      <c r="G537" t="s">
        <v>1972</v>
      </c>
      <c r="H537" t="s">
        <v>1504</v>
      </c>
    </row>
    <row r="538" spans="1:8" x14ac:dyDescent="0.35">
      <c r="A538">
        <v>20260601</v>
      </c>
      <c r="B538" t="s">
        <v>1155</v>
      </c>
      <c r="C538">
        <v>7130</v>
      </c>
      <c r="D538" t="s">
        <v>1131</v>
      </c>
      <c r="E538">
        <v>21010</v>
      </c>
      <c r="F538" t="s">
        <v>1505</v>
      </c>
      <c r="G538" t="s">
        <v>1973</v>
      </c>
      <c r="H538" t="s">
        <v>1507</v>
      </c>
    </row>
    <row r="539" spans="1:8" x14ac:dyDescent="0.35">
      <c r="A539">
        <v>20260601</v>
      </c>
      <c r="B539" t="s">
        <v>1138</v>
      </c>
      <c r="C539">
        <v>5000</v>
      </c>
      <c r="D539" t="s">
        <v>1131</v>
      </c>
      <c r="E539">
        <v>431276</v>
      </c>
      <c r="F539" t="s">
        <v>1151</v>
      </c>
      <c r="G539" t="s">
        <v>1239</v>
      </c>
      <c r="H539" t="s">
        <v>1152</v>
      </c>
    </row>
    <row r="540" spans="1:8" x14ac:dyDescent="0.35">
      <c r="A540">
        <v>20260601</v>
      </c>
      <c r="B540" t="s">
        <v>1138</v>
      </c>
      <c r="C540">
        <v>5400</v>
      </c>
      <c r="D540" t="s">
        <v>1131</v>
      </c>
      <c r="E540">
        <v>60809.919999999998</v>
      </c>
      <c r="F540" t="s">
        <v>632</v>
      </c>
      <c r="G540" t="s">
        <v>1974</v>
      </c>
      <c r="H540" t="s">
        <v>1152</v>
      </c>
    </row>
    <row r="541" spans="1:8" x14ac:dyDescent="0.35">
      <c r="A541">
        <v>20260601</v>
      </c>
      <c r="B541" t="s">
        <v>1138</v>
      </c>
      <c r="C541">
        <v>5420</v>
      </c>
      <c r="D541" t="s">
        <v>1131</v>
      </c>
      <c r="E541">
        <v>43127.6</v>
      </c>
      <c r="F541" t="s">
        <v>1497</v>
      </c>
      <c r="G541" t="s">
        <v>1975</v>
      </c>
      <c r="H541" t="s">
        <v>1152</v>
      </c>
    </row>
    <row r="542" spans="1:8" x14ac:dyDescent="0.35">
      <c r="A542">
        <v>20260601</v>
      </c>
      <c r="B542" t="s">
        <v>1138</v>
      </c>
      <c r="C542">
        <v>6300</v>
      </c>
      <c r="D542" t="s">
        <v>1131</v>
      </c>
      <c r="E542">
        <v>85000</v>
      </c>
      <c r="F542" t="s">
        <v>1499</v>
      </c>
      <c r="G542" t="s">
        <v>1976</v>
      </c>
      <c r="H542" t="s">
        <v>1501</v>
      </c>
    </row>
    <row r="543" spans="1:8" x14ac:dyDescent="0.35">
      <c r="A543">
        <v>20260601</v>
      </c>
      <c r="B543" t="s">
        <v>1138</v>
      </c>
      <c r="C543">
        <v>6420</v>
      </c>
      <c r="D543" t="s">
        <v>1131</v>
      </c>
      <c r="E543">
        <v>25000</v>
      </c>
      <c r="F543" t="s">
        <v>1502</v>
      </c>
      <c r="G543" t="s">
        <v>1977</v>
      </c>
      <c r="H543" t="s">
        <v>1504</v>
      </c>
    </row>
    <row r="544" spans="1:8" x14ac:dyDescent="0.35">
      <c r="A544">
        <v>20260601</v>
      </c>
      <c r="B544" t="s">
        <v>1138</v>
      </c>
      <c r="C544">
        <v>7130</v>
      </c>
      <c r="D544" t="s">
        <v>1131</v>
      </c>
      <c r="E544">
        <v>8665</v>
      </c>
      <c r="F544" t="s">
        <v>1505</v>
      </c>
      <c r="G544" t="s">
        <v>1978</v>
      </c>
      <c r="H544" t="s">
        <v>1507</v>
      </c>
    </row>
    <row r="545" spans="1:8" x14ac:dyDescent="0.35">
      <c r="A545">
        <v>20260601</v>
      </c>
      <c r="B545" t="s">
        <v>1138</v>
      </c>
      <c r="C545">
        <v>6050</v>
      </c>
      <c r="D545" t="s">
        <v>1139</v>
      </c>
      <c r="E545">
        <v>33333.33</v>
      </c>
      <c r="F545" t="s">
        <v>1743</v>
      </c>
      <c r="G545" t="s">
        <v>1979</v>
      </c>
      <c r="H545" t="s">
        <v>1745</v>
      </c>
    </row>
    <row r="546" spans="1:8" x14ac:dyDescent="0.35">
      <c r="A546">
        <v>20260701</v>
      </c>
      <c r="B546" t="s">
        <v>1150</v>
      </c>
      <c r="C546">
        <v>5000</v>
      </c>
      <c r="D546" t="s">
        <v>1131</v>
      </c>
      <c r="E546">
        <v>453788</v>
      </c>
      <c r="F546" t="s">
        <v>1151</v>
      </c>
      <c r="G546" t="s">
        <v>1202</v>
      </c>
      <c r="H546" t="s">
        <v>1152</v>
      </c>
    </row>
    <row r="547" spans="1:8" x14ac:dyDescent="0.35">
      <c r="A547">
        <v>20260701</v>
      </c>
      <c r="B547" t="s">
        <v>1150</v>
      </c>
      <c r="C547">
        <v>5400</v>
      </c>
      <c r="D547" t="s">
        <v>1131</v>
      </c>
      <c r="E547">
        <v>63984.11</v>
      </c>
      <c r="F547" t="s">
        <v>632</v>
      </c>
      <c r="G547" t="s">
        <v>1980</v>
      </c>
      <c r="H547" t="s">
        <v>1152</v>
      </c>
    </row>
    <row r="548" spans="1:8" x14ac:dyDescent="0.35">
      <c r="A548">
        <v>20260701</v>
      </c>
      <c r="B548" t="s">
        <v>1150</v>
      </c>
      <c r="C548">
        <v>5420</v>
      </c>
      <c r="D548" t="s">
        <v>1131</v>
      </c>
      <c r="E548">
        <v>45378.8</v>
      </c>
      <c r="F548" t="s">
        <v>1497</v>
      </c>
      <c r="G548" t="s">
        <v>1981</v>
      </c>
      <c r="H548" t="s">
        <v>1152</v>
      </c>
    </row>
    <row r="549" spans="1:8" x14ac:dyDescent="0.35">
      <c r="A549">
        <v>20260701</v>
      </c>
      <c r="B549" t="s">
        <v>1150</v>
      </c>
      <c r="C549">
        <v>6300</v>
      </c>
      <c r="D549" t="s">
        <v>1131</v>
      </c>
      <c r="E549">
        <v>85000</v>
      </c>
      <c r="F549" t="s">
        <v>1499</v>
      </c>
      <c r="G549" t="s">
        <v>1982</v>
      </c>
      <c r="H549" t="s">
        <v>1501</v>
      </c>
    </row>
    <row r="550" spans="1:8" x14ac:dyDescent="0.35">
      <c r="A550">
        <v>20260701</v>
      </c>
      <c r="B550" t="s">
        <v>1150</v>
      </c>
      <c r="C550">
        <v>6420</v>
      </c>
      <c r="D550" t="s">
        <v>1131</v>
      </c>
      <c r="E550">
        <v>25000</v>
      </c>
      <c r="F550" t="s">
        <v>1502</v>
      </c>
      <c r="G550" t="s">
        <v>1983</v>
      </c>
      <c r="H550" t="s">
        <v>1504</v>
      </c>
    </row>
    <row r="551" spans="1:8" x14ac:dyDescent="0.35">
      <c r="A551">
        <v>20260701</v>
      </c>
      <c r="B551" t="s">
        <v>1150</v>
      </c>
      <c r="C551">
        <v>7130</v>
      </c>
      <c r="D551" t="s">
        <v>1131</v>
      </c>
      <c r="E551">
        <v>15076</v>
      </c>
      <c r="F551" t="s">
        <v>1505</v>
      </c>
      <c r="G551" t="s">
        <v>1984</v>
      </c>
      <c r="H551" t="s">
        <v>1507</v>
      </c>
    </row>
    <row r="552" spans="1:8" x14ac:dyDescent="0.35">
      <c r="A552">
        <v>20260701</v>
      </c>
      <c r="B552" t="s">
        <v>1272</v>
      </c>
      <c r="C552">
        <v>5100</v>
      </c>
      <c r="D552" t="s">
        <v>480</v>
      </c>
      <c r="E552">
        <v>84484.4</v>
      </c>
      <c r="F552" t="s">
        <v>1508</v>
      </c>
      <c r="G552" t="s">
        <v>1985</v>
      </c>
      <c r="H552" t="s">
        <v>1510</v>
      </c>
    </row>
    <row r="553" spans="1:8" x14ac:dyDescent="0.35">
      <c r="A553">
        <v>20260701</v>
      </c>
      <c r="B553" t="s">
        <v>1272</v>
      </c>
      <c r="C553">
        <v>6800</v>
      </c>
      <c r="D553" t="s">
        <v>480</v>
      </c>
      <c r="E553">
        <v>36207.599999999999</v>
      </c>
      <c r="F553" t="s">
        <v>1511</v>
      </c>
      <c r="G553" t="s">
        <v>1986</v>
      </c>
      <c r="H553" t="s">
        <v>1513</v>
      </c>
    </row>
    <row r="554" spans="1:8" x14ac:dyDescent="0.35">
      <c r="A554">
        <v>20260701</v>
      </c>
      <c r="B554" t="s">
        <v>1272</v>
      </c>
      <c r="C554">
        <v>3420</v>
      </c>
      <c r="D554" t="s">
        <v>480</v>
      </c>
      <c r="E554">
        <v>-120692</v>
      </c>
      <c r="F554" t="s">
        <v>1269</v>
      </c>
      <c r="G554" t="s">
        <v>1987</v>
      </c>
      <c r="H554" t="s">
        <v>1270</v>
      </c>
    </row>
    <row r="555" spans="1:8" x14ac:dyDescent="0.35">
      <c r="A555">
        <v>20260701</v>
      </c>
      <c r="B555" t="s">
        <v>1272</v>
      </c>
      <c r="C555">
        <v>2180</v>
      </c>
      <c r="D555" t="s">
        <v>480</v>
      </c>
      <c r="E555">
        <v>120692</v>
      </c>
      <c r="F555" t="s">
        <v>1266</v>
      </c>
      <c r="G555" t="s">
        <v>1988</v>
      </c>
      <c r="H555" t="s">
        <v>1267</v>
      </c>
    </row>
    <row r="556" spans="1:8" x14ac:dyDescent="0.35">
      <c r="A556">
        <v>20260701</v>
      </c>
      <c r="B556" t="s">
        <v>1158</v>
      </c>
      <c r="C556">
        <v>5000</v>
      </c>
      <c r="D556" t="s">
        <v>1131</v>
      </c>
      <c r="E556">
        <v>433796</v>
      </c>
      <c r="F556" t="s">
        <v>1151</v>
      </c>
      <c r="G556" t="s">
        <v>1233</v>
      </c>
      <c r="H556" t="s">
        <v>1152</v>
      </c>
    </row>
    <row r="557" spans="1:8" x14ac:dyDescent="0.35">
      <c r="A557">
        <v>20260701</v>
      </c>
      <c r="B557" t="s">
        <v>1158</v>
      </c>
      <c r="C557">
        <v>5400</v>
      </c>
      <c r="D557" t="s">
        <v>1131</v>
      </c>
      <c r="E557">
        <v>61165.24</v>
      </c>
      <c r="F557" t="s">
        <v>632</v>
      </c>
      <c r="G557" t="s">
        <v>1989</v>
      </c>
      <c r="H557" t="s">
        <v>1152</v>
      </c>
    </row>
    <row r="558" spans="1:8" x14ac:dyDescent="0.35">
      <c r="A558">
        <v>20260701</v>
      </c>
      <c r="B558" t="s">
        <v>1158</v>
      </c>
      <c r="C558">
        <v>5420</v>
      </c>
      <c r="D558" t="s">
        <v>1131</v>
      </c>
      <c r="E558">
        <v>43379.6</v>
      </c>
      <c r="F558" t="s">
        <v>1497</v>
      </c>
      <c r="G558" t="s">
        <v>1990</v>
      </c>
      <c r="H558" t="s">
        <v>1152</v>
      </c>
    </row>
    <row r="559" spans="1:8" x14ac:dyDescent="0.35">
      <c r="A559">
        <v>20260701</v>
      </c>
      <c r="B559" t="s">
        <v>1158</v>
      </c>
      <c r="C559">
        <v>6300</v>
      </c>
      <c r="D559" t="s">
        <v>1131</v>
      </c>
      <c r="E559">
        <v>85000</v>
      </c>
      <c r="F559" t="s">
        <v>1499</v>
      </c>
      <c r="G559" t="s">
        <v>1991</v>
      </c>
      <c r="H559" t="s">
        <v>1501</v>
      </c>
    </row>
    <row r="560" spans="1:8" x14ac:dyDescent="0.35">
      <c r="A560">
        <v>20260701</v>
      </c>
      <c r="B560" t="s">
        <v>1158</v>
      </c>
      <c r="C560">
        <v>6420</v>
      </c>
      <c r="D560" t="s">
        <v>1131</v>
      </c>
      <c r="E560">
        <v>25000</v>
      </c>
      <c r="F560" t="s">
        <v>1502</v>
      </c>
      <c r="G560" t="s">
        <v>1992</v>
      </c>
      <c r="H560" t="s">
        <v>1504</v>
      </c>
    </row>
    <row r="561" spans="1:8" x14ac:dyDescent="0.35">
      <c r="A561">
        <v>20260701</v>
      </c>
      <c r="B561" t="s">
        <v>1158</v>
      </c>
      <c r="C561">
        <v>7130</v>
      </c>
      <c r="D561" t="s">
        <v>1131</v>
      </c>
      <c r="E561">
        <v>12892</v>
      </c>
      <c r="F561" t="s">
        <v>1505</v>
      </c>
      <c r="G561" t="s">
        <v>1993</v>
      </c>
      <c r="H561" t="s">
        <v>1507</v>
      </c>
    </row>
    <row r="562" spans="1:8" x14ac:dyDescent="0.35">
      <c r="A562">
        <v>20260701</v>
      </c>
      <c r="B562" t="s">
        <v>1243</v>
      </c>
      <c r="C562">
        <v>5100</v>
      </c>
      <c r="D562" t="s">
        <v>493</v>
      </c>
      <c r="E562">
        <v>99527.4</v>
      </c>
      <c r="F562" t="s">
        <v>1508</v>
      </c>
      <c r="G562" t="s">
        <v>1994</v>
      </c>
      <c r="H562" t="s">
        <v>1510</v>
      </c>
    </row>
    <row r="563" spans="1:8" x14ac:dyDescent="0.35">
      <c r="A563">
        <v>20260701</v>
      </c>
      <c r="B563" t="s">
        <v>1243</v>
      </c>
      <c r="C563">
        <v>6800</v>
      </c>
      <c r="D563" t="s">
        <v>493</v>
      </c>
      <c r="E563">
        <v>42654.6</v>
      </c>
      <c r="F563" t="s">
        <v>1511</v>
      </c>
      <c r="G563" t="s">
        <v>1995</v>
      </c>
      <c r="H563" t="s">
        <v>1513</v>
      </c>
    </row>
    <row r="564" spans="1:8" x14ac:dyDescent="0.35">
      <c r="A564">
        <v>20260701</v>
      </c>
      <c r="B564" t="s">
        <v>1243</v>
      </c>
      <c r="C564">
        <v>3450</v>
      </c>
      <c r="D564" t="s">
        <v>493</v>
      </c>
      <c r="E564">
        <v>-110000</v>
      </c>
      <c r="F564" t="s">
        <v>1523</v>
      </c>
      <c r="G564" t="s">
        <v>1996</v>
      </c>
      <c r="H564" t="s">
        <v>1525</v>
      </c>
    </row>
    <row r="565" spans="1:8" x14ac:dyDescent="0.35">
      <c r="A565">
        <v>20260701</v>
      </c>
      <c r="B565" t="s">
        <v>1205</v>
      </c>
      <c r="C565">
        <v>5000</v>
      </c>
      <c r="D565" t="s">
        <v>1131</v>
      </c>
      <c r="E565">
        <v>435161</v>
      </c>
      <c r="F565" t="s">
        <v>1151</v>
      </c>
      <c r="G565" t="s">
        <v>1228</v>
      </c>
      <c r="H565" t="s">
        <v>1152</v>
      </c>
    </row>
    <row r="566" spans="1:8" x14ac:dyDescent="0.35">
      <c r="A566">
        <v>20260701</v>
      </c>
      <c r="B566" t="s">
        <v>1205</v>
      </c>
      <c r="C566">
        <v>5400</v>
      </c>
      <c r="D566" t="s">
        <v>1131</v>
      </c>
      <c r="E566">
        <v>61357.7</v>
      </c>
      <c r="F566" t="s">
        <v>632</v>
      </c>
      <c r="G566" t="s">
        <v>1997</v>
      </c>
      <c r="H566" t="s">
        <v>1152</v>
      </c>
    </row>
    <row r="567" spans="1:8" x14ac:dyDescent="0.35">
      <c r="A567">
        <v>20260701</v>
      </c>
      <c r="B567" t="s">
        <v>1205</v>
      </c>
      <c r="C567">
        <v>5420</v>
      </c>
      <c r="D567" t="s">
        <v>1131</v>
      </c>
      <c r="E567">
        <v>43516.1</v>
      </c>
      <c r="F567" t="s">
        <v>1497</v>
      </c>
      <c r="G567" t="s">
        <v>1998</v>
      </c>
      <c r="H567" t="s">
        <v>1152</v>
      </c>
    </row>
    <row r="568" spans="1:8" x14ac:dyDescent="0.35">
      <c r="A568">
        <v>20260701</v>
      </c>
      <c r="B568" t="s">
        <v>1205</v>
      </c>
      <c r="C568">
        <v>6300</v>
      </c>
      <c r="D568" t="s">
        <v>1131</v>
      </c>
      <c r="E568">
        <v>85000</v>
      </c>
      <c r="F568" t="s">
        <v>1499</v>
      </c>
      <c r="G568" t="s">
        <v>1999</v>
      </c>
      <c r="H568" t="s">
        <v>1501</v>
      </c>
    </row>
    <row r="569" spans="1:8" x14ac:dyDescent="0.35">
      <c r="A569">
        <v>20260701</v>
      </c>
      <c r="B569" t="s">
        <v>1205</v>
      </c>
      <c r="C569">
        <v>6420</v>
      </c>
      <c r="D569" t="s">
        <v>1131</v>
      </c>
      <c r="E569">
        <v>25000</v>
      </c>
      <c r="F569" t="s">
        <v>1502</v>
      </c>
      <c r="G569" t="s">
        <v>2000</v>
      </c>
      <c r="H569" t="s">
        <v>1504</v>
      </c>
    </row>
    <row r="570" spans="1:8" x14ac:dyDescent="0.35">
      <c r="A570">
        <v>20260701</v>
      </c>
      <c r="B570" t="s">
        <v>1205</v>
      </c>
      <c r="C570">
        <v>7130</v>
      </c>
      <c r="D570" t="s">
        <v>1131</v>
      </c>
      <c r="E570">
        <v>7806</v>
      </c>
      <c r="F570" t="s">
        <v>1505</v>
      </c>
      <c r="G570" t="s">
        <v>2001</v>
      </c>
      <c r="H570" t="s">
        <v>1507</v>
      </c>
    </row>
    <row r="571" spans="1:8" x14ac:dyDescent="0.35">
      <c r="A571">
        <v>20260701</v>
      </c>
      <c r="B571" t="s">
        <v>1205</v>
      </c>
      <c r="C571">
        <v>5050</v>
      </c>
      <c r="D571" t="s">
        <v>1131</v>
      </c>
      <c r="E571">
        <v>58983</v>
      </c>
      <c r="F571" t="s">
        <v>1531</v>
      </c>
      <c r="G571" t="s">
        <v>2002</v>
      </c>
      <c r="H571" t="s">
        <v>1533</v>
      </c>
    </row>
    <row r="572" spans="1:8" x14ac:dyDescent="0.35">
      <c r="A572">
        <v>20260701</v>
      </c>
      <c r="B572" t="s">
        <v>1257</v>
      </c>
      <c r="C572">
        <v>5100</v>
      </c>
      <c r="D572" t="s">
        <v>493</v>
      </c>
      <c r="E572">
        <v>95794.299999999988</v>
      </c>
      <c r="F572" t="s">
        <v>1508</v>
      </c>
      <c r="G572" t="s">
        <v>2003</v>
      </c>
      <c r="H572" t="s">
        <v>1510</v>
      </c>
    </row>
    <row r="573" spans="1:8" x14ac:dyDescent="0.35">
      <c r="A573">
        <v>20260701</v>
      </c>
      <c r="B573" t="s">
        <v>1257</v>
      </c>
      <c r="C573">
        <v>6800</v>
      </c>
      <c r="D573" t="s">
        <v>493</v>
      </c>
      <c r="E573">
        <v>41054.699999999997</v>
      </c>
      <c r="F573" t="s">
        <v>1511</v>
      </c>
      <c r="G573" t="s">
        <v>2004</v>
      </c>
      <c r="H573" t="s">
        <v>1513</v>
      </c>
    </row>
    <row r="574" spans="1:8" x14ac:dyDescent="0.35">
      <c r="A574">
        <v>20260701</v>
      </c>
      <c r="B574" t="s">
        <v>1257</v>
      </c>
      <c r="C574">
        <v>3450</v>
      </c>
      <c r="D574" t="s">
        <v>493</v>
      </c>
      <c r="E574">
        <v>-110000</v>
      </c>
      <c r="F574" t="s">
        <v>1523</v>
      </c>
      <c r="G574" t="s">
        <v>2005</v>
      </c>
      <c r="H574" t="s">
        <v>1525</v>
      </c>
    </row>
    <row r="575" spans="1:8" x14ac:dyDescent="0.35">
      <c r="A575">
        <v>20260701</v>
      </c>
      <c r="B575" t="s">
        <v>1164</v>
      </c>
      <c r="C575">
        <v>5000</v>
      </c>
      <c r="D575" t="s">
        <v>1131</v>
      </c>
      <c r="E575">
        <v>434535</v>
      </c>
      <c r="F575" t="s">
        <v>1151</v>
      </c>
      <c r="G575" t="s">
        <v>1231</v>
      </c>
      <c r="H575" t="s">
        <v>1152</v>
      </c>
    </row>
    <row r="576" spans="1:8" x14ac:dyDescent="0.35">
      <c r="A576">
        <v>20260701</v>
      </c>
      <c r="B576" t="s">
        <v>1164</v>
      </c>
      <c r="C576">
        <v>5400</v>
      </c>
      <c r="D576" t="s">
        <v>1131</v>
      </c>
      <c r="E576">
        <v>61269.43</v>
      </c>
      <c r="F576" t="s">
        <v>632</v>
      </c>
      <c r="G576" t="s">
        <v>2006</v>
      </c>
      <c r="H576" t="s">
        <v>1152</v>
      </c>
    </row>
    <row r="577" spans="1:8" x14ac:dyDescent="0.35">
      <c r="A577">
        <v>20260701</v>
      </c>
      <c r="B577" t="s">
        <v>1164</v>
      </c>
      <c r="C577">
        <v>5420</v>
      </c>
      <c r="D577" t="s">
        <v>1131</v>
      </c>
      <c r="E577">
        <v>43453.5</v>
      </c>
      <c r="F577" t="s">
        <v>1497</v>
      </c>
      <c r="G577" t="s">
        <v>2007</v>
      </c>
      <c r="H577" t="s">
        <v>1152</v>
      </c>
    </row>
    <row r="578" spans="1:8" x14ac:dyDescent="0.35">
      <c r="A578">
        <v>20260701</v>
      </c>
      <c r="B578" t="s">
        <v>1164</v>
      </c>
      <c r="C578">
        <v>6300</v>
      </c>
      <c r="D578" t="s">
        <v>1131</v>
      </c>
      <c r="E578">
        <v>85000</v>
      </c>
      <c r="F578" t="s">
        <v>1499</v>
      </c>
      <c r="G578" t="s">
        <v>2008</v>
      </c>
      <c r="H578" t="s">
        <v>1501</v>
      </c>
    </row>
    <row r="579" spans="1:8" x14ac:dyDescent="0.35">
      <c r="A579">
        <v>20260701</v>
      </c>
      <c r="B579" t="s">
        <v>1164</v>
      </c>
      <c r="C579">
        <v>6420</v>
      </c>
      <c r="D579" t="s">
        <v>1131</v>
      </c>
      <c r="E579">
        <v>25000</v>
      </c>
      <c r="F579" t="s">
        <v>1502</v>
      </c>
      <c r="G579" t="s">
        <v>2009</v>
      </c>
      <c r="H579" t="s">
        <v>1504</v>
      </c>
    </row>
    <row r="580" spans="1:8" x14ac:dyDescent="0.35">
      <c r="A580">
        <v>20260701</v>
      </c>
      <c r="B580" t="s">
        <v>1164</v>
      </c>
      <c r="C580">
        <v>7130</v>
      </c>
      <c r="D580" t="s">
        <v>1131</v>
      </c>
      <c r="E580">
        <v>22455</v>
      </c>
      <c r="F580" t="s">
        <v>1505</v>
      </c>
      <c r="G580" t="s">
        <v>2010</v>
      </c>
      <c r="H580" t="s">
        <v>1507</v>
      </c>
    </row>
    <row r="581" spans="1:8" x14ac:dyDescent="0.35">
      <c r="A581">
        <v>20260701</v>
      </c>
      <c r="B581" t="s">
        <v>1249</v>
      </c>
      <c r="C581">
        <v>5100</v>
      </c>
      <c r="D581" t="s">
        <v>493</v>
      </c>
      <c r="E581">
        <v>79268.7</v>
      </c>
      <c r="F581" t="s">
        <v>1508</v>
      </c>
      <c r="G581" t="s">
        <v>2011</v>
      </c>
      <c r="H581" t="s">
        <v>1510</v>
      </c>
    </row>
    <row r="582" spans="1:8" x14ac:dyDescent="0.35">
      <c r="A582">
        <v>20260701</v>
      </c>
      <c r="B582" t="s">
        <v>1249</v>
      </c>
      <c r="C582">
        <v>6800</v>
      </c>
      <c r="D582" t="s">
        <v>493</v>
      </c>
      <c r="E582">
        <v>33972.300000000003</v>
      </c>
      <c r="F582" t="s">
        <v>1511</v>
      </c>
      <c r="G582" t="s">
        <v>2012</v>
      </c>
      <c r="H582" t="s">
        <v>1513</v>
      </c>
    </row>
    <row r="583" spans="1:8" x14ac:dyDescent="0.35">
      <c r="A583">
        <v>20260701</v>
      </c>
      <c r="B583" t="s">
        <v>1249</v>
      </c>
      <c r="C583">
        <v>3450</v>
      </c>
      <c r="D583" t="s">
        <v>493</v>
      </c>
      <c r="E583">
        <v>-110000</v>
      </c>
      <c r="F583" t="s">
        <v>1523</v>
      </c>
      <c r="G583" t="s">
        <v>2013</v>
      </c>
      <c r="H583" t="s">
        <v>1525</v>
      </c>
    </row>
    <row r="584" spans="1:8" x14ac:dyDescent="0.35">
      <c r="A584">
        <v>20260701</v>
      </c>
      <c r="B584" t="s">
        <v>1169</v>
      </c>
      <c r="C584">
        <v>5000</v>
      </c>
      <c r="D584" t="s">
        <v>1131</v>
      </c>
      <c r="E584">
        <v>438414</v>
      </c>
      <c r="F584" t="s">
        <v>1151</v>
      </c>
      <c r="G584" t="s">
        <v>1222</v>
      </c>
      <c r="H584" t="s">
        <v>1152</v>
      </c>
    </row>
    <row r="585" spans="1:8" x14ac:dyDescent="0.35">
      <c r="A585">
        <v>20260701</v>
      </c>
      <c r="B585" t="s">
        <v>1169</v>
      </c>
      <c r="C585">
        <v>5400</v>
      </c>
      <c r="D585" t="s">
        <v>1131</v>
      </c>
      <c r="E585">
        <v>61816.37</v>
      </c>
      <c r="F585" t="s">
        <v>632</v>
      </c>
      <c r="G585" t="s">
        <v>2014</v>
      </c>
      <c r="H585" t="s">
        <v>1152</v>
      </c>
    </row>
    <row r="586" spans="1:8" x14ac:dyDescent="0.35">
      <c r="A586">
        <v>20260701</v>
      </c>
      <c r="B586" t="s">
        <v>1169</v>
      </c>
      <c r="C586">
        <v>5420</v>
      </c>
      <c r="D586" t="s">
        <v>1131</v>
      </c>
      <c r="E586">
        <v>43841.4</v>
      </c>
      <c r="F586" t="s">
        <v>1497</v>
      </c>
      <c r="G586" t="s">
        <v>2015</v>
      </c>
      <c r="H586" t="s">
        <v>1152</v>
      </c>
    </row>
    <row r="587" spans="1:8" x14ac:dyDescent="0.35">
      <c r="A587">
        <v>20260701</v>
      </c>
      <c r="B587" t="s">
        <v>1169</v>
      </c>
      <c r="C587">
        <v>6300</v>
      </c>
      <c r="D587" t="s">
        <v>1131</v>
      </c>
      <c r="E587">
        <v>85000</v>
      </c>
      <c r="F587" t="s">
        <v>1499</v>
      </c>
      <c r="G587" t="s">
        <v>2016</v>
      </c>
      <c r="H587" t="s">
        <v>1501</v>
      </c>
    </row>
    <row r="588" spans="1:8" x14ac:dyDescent="0.35">
      <c r="A588">
        <v>20260701</v>
      </c>
      <c r="B588" t="s">
        <v>1169</v>
      </c>
      <c r="C588">
        <v>6420</v>
      </c>
      <c r="D588" t="s">
        <v>1131</v>
      </c>
      <c r="E588">
        <v>25000</v>
      </c>
      <c r="F588" t="s">
        <v>1502</v>
      </c>
      <c r="G588" t="s">
        <v>2017</v>
      </c>
      <c r="H588" t="s">
        <v>1504</v>
      </c>
    </row>
    <row r="589" spans="1:8" x14ac:dyDescent="0.35">
      <c r="A589">
        <v>20260701</v>
      </c>
      <c r="B589" t="s">
        <v>1169</v>
      </c>
      <c r="C589">
        <v>7130</v>
      </c>
      <c r="D589" t="s">
        <v>1131</v>
      </c>
      <c r="E589">
        <v>20574</v>
      </c>
      <c r="F589" t="s">
        <v>1505</v>
      </c>
      <c r="G589" t="s">
        <v>2018</v>
      </c>
      <c r="H589" t="s">
        <v>1507</v>
      </c>
    </row>
    <row r="590" spans="1:8" x14ac:dyDescent="0.35">
      <c r="A590">
        <v>20260701</v>
      </c>
      <c r="B590" t="s">
        <v>1260</v>
      </c>
      <c r="C590">
        <v>5100</v>
      </c>
      <c r="D590" t="s">
        <v>493</v>
      </c>
      <c r="E590">
        <v>98721.7</v>
      </c>
      <c r="F590" t="s">
        <v>1508</v>
      </c>
      <c r="G590" t="s">
        <v>2019</v>
      </c>
      <c r="H590" t="s">
        <v>1510</v>
      </c>
    </row>
    <row r="591" spans="1:8" x14ac:dyDescent="0.35">
      <c r="A591">
        <v>20260701</v>
      </c>
      <c r="B591" t="s">
        <v>1260</v>
      </c>
      <c r="C591">
        <v>6800</v>
      </c>
      <c r="D591" t="s">
        <v>493</v>
      </c>
      <c r="E591">
        <v>42309.3</v>
      </c>
      <c r="F591" t="s">
        <v>1511</v>
      </c>
      <c r="G591" t="s">
        <v>2020</v>
      </c>
      <c r="H591" t="s">
        <v>1513</v>
      </c>
    </row>
    <row r="592" spans="1:8" x14ac:dyDescent="0.35">
      <c r="A592">
        <v>20260701</v>
      </c>
      <c r="B592" t="s">
        <v>1260</v>
      </c>
      <c r="C592">
        <v>3450</v>
      </c>
      <c r="D592" t="s">
        <v>493</v>
      </c>
      <c r="E592">
        <v>-110000</v>
      </c>
      <c r="F592" t="s">
        <v>1523</v>
      </c>
      <c r="G592" t="s">
        <v>2021</v>
      </c>
      <c r="H592" t="s">
        <v>1525</v>
      </c>
    </row>
    <row r="593" spans="1:8" x14ac:dyDescent="0.35">
      <c r="A593">
        <v>20260701</v>
      </c>
      <c r="B593" t="s">
        <v>1175</v>
      </c>
      <c r="C593">
        <v>5000</v>
      </c>
      <c r="D593" t="s">
        <v>1131</v>
      </c>
      <c r="E593">
        <v>440821</v>
      </c>
      <c r="F593" t="s">
        <v>1151</v>
      </c>
      <c r="G593" t="s">
        <v>1218</v>
      </c>
      <c r="H593" t="s">
        <v>1152</v>
      </c>
    </row>
    <row r="594" spans="1:8" x14ac:dyDescent="0.35">
      <c r="A594">
        <v>20260701</v>
      </c>
      <c r="B594" t="s">
        <v>1175</v>
      </c>
      <c r="C594">
        <v>5400</v>
      </c>
      <c r="D594" t="s">
        <v>1131</v>
      </c>
      <c r="E594">
        <v>62155.76</v>
      </c>
      <c r="F594" t="s">
        <v>632</v>
      </c>
      <c r="G594" t="s">
        <v>2022</v>
      </c>
      <c r="H594" t="s">
        <v>1152</v>
      </c>
    </row>
    <row r="595" spans="1:8" x14ac:dyDescent="0.35">
      <c r="A595">
        <v>20260701</v>
      </c>
      <c r="B595" t="s">
        <v>1175</v>
      </c>
      <c r="C595">
        <v>5420</v>
      </c>
      <c r="D595" t="s">
        <v>1131</v>
      </c>
      <c r="E595">
        <v>44082.1</v>
      </c>
      <c r="F595" t="s">
        <v>1497</v>
      </c>
      <c r="G595" t="s">
        <v>2023</v>
      </c>
      <c r="H595" t="s">
        <v>1152</v>
      </c>
    </row>
    <row r="596" spans="1:8" x14ac:dyDescent="0.35">
      <c r="A596">
        <v>20260701</v>
      </c>
      <c r="B596" t="s">
        <v>1175</v>
      </c>
      <c r="C596">
        <v>6300</v>
      </c>
      <c r="D596" t="s">
        <v>1131</v>
      </c>
      <c r="E596">
        <v>85000</v>
      </c>
      <c r="F596" t="s">
        <v>1499</v>
      </c>
      <c r="G596" t="s">
        <v>2024</v>
      </c>
      <c r="H596" t="s">
        <v>1501</v>
      </c>
    </row>
    <row r="597" spans="1:8" x14ac:dyDescent="0.35">
      <c r="A597">
        <v>20260701</v>
      </c>
      <c r="B597" t="s">
        <v>1175</v>
      </c>
      <c r="C597">
        <v>6420</v>
      </c>
      <c r="D597" t="s">
        <v>1131</v>
      </c>
      <c r="E597">
        <v>25000</v>
      </c>
      <c r="F597" t="s">
        <v>1502</v>
      </c>
      <c r="G597" t="s">
        <v>2025</v>
      </c>
      <c r="H597" t="s">
        <v>1504</v>
      </c>
    </row>
    <row r="598" spans="1:8" x14ac:dyDescent="0.35">
      <c r="A598">
        <v>20260701</v>
      </c>
      <c r="B598" t="s">
        <v>1175</v>
      </c>
      <c r="C598">
        <v>7130</v>
      </c>
      <c r="D598" t="s">
        <v>1131</v>
      </c>
      <c r="E598">
        <v>13685</v>
      </c>
      <c r="F598" t="s">
        <v>1505</v>
      </c>
      <c r="G598" t="s">
        <v>2026</v>
      </c>
      <c r="H598" t="s">
        <v>1507</v>
      </c>
    </row>
    <row r="599" spans="1:8" x14ac:dyDescent="0.35">
      <c r="A599">
        <v>20260701</v>
      </c>
      <c r="B599" t="s">
        <v>1247</v>
      </c>
      <c r="C599">
        <v>5100</v>
      </c>
      <c r="D599" t="s">
        <v>493</v>
      </c>
      <c r="E599">
        <v>97706.7</v>
      </c>
      <c r="F599" t="s">
        <v>1508</v>
      </c>
      <c r="G599" t="s">
        <v>2027</v>
      </c>
      <c r="H599" t="s">
        <v>1510</v>
      </c>
    </row>
    <row r="600" spans="1:8" x14ac:dyDescent="0.35">
      <c r="A600">
        <v>20260701</v>
      </c>
      <c r="B600" t="s">
        <v>1247</v>
      </c>
      <c r="C600">
        <v>6800</v>
      </c>
      <c r="D600" t="s">
        <v>493</v>
      </c>
      <c r="E600">
        <v>41874.300000000003</v>
      </c>
      <c r="F600" t="s">
        <v>1511</v>
      </c>
      <c r="G600" t="s">
        <v>2028</v>
      </c>
      <c r="H600" t="s">
        <v>1513</v>
      </c>
    </row>
    <row r="601" spans="1:8" x14ac:dyDescent="0.35">
      <c r="A601">
        <v>20260701</v>
      </c>
      <c r="B601" t="s">
        <v>1247</v>
      </c>
      <c r="C601">
        <v>3450</v>
      </c>
      <c r="D601" t="s">
        <v>493</v>
      </c>
      <c r="E601">
        <v>-110000</v>
      </c>
      <c r="F601" t="s">
        <v>1523</v>
      </c>
      <c r="G601" t="s">
        <v>2029</v>
      </c>
      <c r="H601" t="s">
        <v>1525</v>
      </c>
    </row>
    <row r="602" spans="1:8" x14ac:dyDescent="0.35">
      <c r="A602">
        <v>20260701</v>
      </c>
      <c r="B602" t="s">
        <v>1130</v>
      </c>
      <c r="C602">
        <v>5000</v>
      </c>
      <c r="D602" t="s">
        <v>1131</v>
      </c>
      <c r="E602">
        <v>469753</v>
      </c>
      <c r="F602" t="s">
        <v>1151</v>
      </c>
      <c r="G602" t="s">
        <v>1176</v>
      </c>
      <c r="H602" t="s">
        <v>1152</v>
      </c>
    </row>
    <row r="603" spans="1:8" x14ac:dyDescent="0.35">
      <c r="A603">
        <v>20260701</v>
      </c>
      <c r="B603" t="s">
        <v>1130</v>
      </c>
      <c r="C603">
        <v>5400</v>
      </c>
      <c r="D603" t="s">
        <v>1131</v>
      </c>
      <c r="E603">
        <v>66235.17</v>
      </c>
      <c r="F603" t="s">
        <v>632</v>
      </c>
      <c r="G603" t="s">
        <v>2030</v>
      </c>
      <c r="H603" t="s">
        <v>1152</v>
      </c>
    </row>
    <row r="604" spans="1:8" x14ac:dyDescent="0.35">
      <c r="A604">
        <v>20260701</v>
      </c>
      <c r="B604" t="s">
        <v>1130</v>
      </c>
      <c r="C604">
        <v>5420</v>
      </c>
      <c r="D604" t="s">
        <v>1131</v>
      </c>
      <c r="E604">
        <v>46975.3</v>
      </c>
      <c r="F604" t="s">
        <v>1497</v>
      </c>
      <c r="G604" t="s">
        <v>2031</v>
      </c>
      <c r="H604" t="s">
        <v>1152</v>
      </c>
    </row>
    <row r="605" spans="1:8" x14ac:dyDescent="0.35">
      <c r="A605">
        <v>20260701</v>
      </c>
      <c r="B605" t="s">
        <v>1130</v>
      </c>
      <c r="C605">
        <v>6300</v>
      </c>
      <c r="D605" t="s">
        <v>1131</v>
      </c>
      <c r="E605">
        <v>85000</v>
      </c>
      <c r="F605" t="s">
        <v>1499</v>
      </c>
      <c r="G605" t="s">
        <v>2032</v>
      </c>
      <c r="H605" t="s">
        <v>1501</v>
      </c>
    </row>
    <row r="606" spans="1:8" x14ac:dyDescent="0.35">
      <c r="A606">
        <v>20260701</v>
      </c>
      <c r="B606" t="s">
        <v>1130</v>
      </c>
      <c r="C606">
        <v>6420</v>
      </c>
      <c r="D606" t="s">
        <v>1131</v>
      </c>
      <c r="E606">
        <v>25000</v>
      </c>
      <c r="F606" t="s">
        <v>1502</v>
      </c>
      <c r="G606" t="s">
        <v>2033</v>
      </c>
      <c r="H606" t="s">
        <v>1504</v>
      </c>
    </row>
    <row r="607" spans="1:8" x14ac:dyDescent="0.35">
      <c r="A607">
        <v>20260701</v>
      </c>
      <c r="B607" t="s">
        <v>1130</v>
      </c>
      <c r="C607">
        <v>7130</v>
      </c>
      <c r="D607" t="s">
        <v>1131</v>
      </c>
      <c r="E607">
        <v>18865</v>
      </c>
      <c r="F607" t="s">
        <v>1505</v>
      </c>
      <c r="G607" t="s">
        <v>2034</v>
      </c>
      <c r="H607" t="s">
        <v>1507</v>
      </c>
    </row>
    <row r="608" spans="1:8" x14ac:dyDescent="0.35">
      <c r="A608">
        <v>20260701</v>
      </c>
      <c r="B608" t="s">
        <v>1265</v>
      </c>
      <c r="C608">
        <v>5100</v>
      </c>
      <c r="D608" t="s">
        <v>485</v>
      </c>
      <c r="E608">
        <v>83216</v>
      </c>
      <c r="F608" t="s">
        <v>1508</v>
      </c>
      <c r="G608" t="s">
        <v>2035</v>
      </c>
      <c r="H608" t="s">
        <v>1510</v>
      </c>
    </row>
    <row r="609" spans="1:8" x14ac:dyDescent="0.35">
      <c r="A609">
        <v>20260701</v>
      </c>
      <c r="B609" t="s">
        <v>1265</v>
      </c>
      <c r="C609">
        <v>6800</v>
      </c>
      <c r="D609" t="s">
        <v>485</v>
      </c>
      <c r="E609">
        <v>35664</v>
      </c>
      <c r="F609" t="s">
        <v>1511</v>
      </c>
      <c r="G609" t="s">
        <v>2036</v>
      </c>
      <c r="H609" t="s">
        <v>1513</v>
      </c>
    </row>
    <row r="610" spans="1:8" x14ac:dyDescent="0.35">
      <c r="A610">
        <v>20260701</v>
      </c>
      <c r="B610" t="s">
        <v>1265</v>
      </c>
      <c r="C610">
        <v>3400</v>
      </c>
      <c r="D610" t="s">
        <v>485</v>
      </c>
      <c r="E610">
        <v>-118880</v>
      </c>
      <c r="F610" t="s">
        <v>1269</v>
      </c>
      <c r="G610" t="s">
        <v>2037</v>
      </c>
      <c r="H610" t="s">
        <v>1270</v>
      </c>
    </row>
    <row r="611" spans="1:8" x14ac:dyDescent="0.35">
      <c r="A611">
        <v>20260701</v>
      </c>
      <c r="B611" t="s">
        <v>1265</v>
      </c>
      <c r="C611">
        <v>2180</v>
      </c>
      <c r="D611" t="s">
        <v>485</v>
      </c>
      <c r="E611">
        <v>118880</v>
      </c>
      <c r="F611" t="s">
        <v>1266</v>
      </c>
      <c r="G611" t="s">
        <v>2038</v>
      </c>
      <c r="H611" t="s">
        <v>1267</v>
      </c>
    </row>
    <row r="612" spans="1:8" x14ac:dyDescent="0.35">
      <c r="A612">
        <v>20260701</v>
      </c>
      <c r="B612" t="s">
        <v>1173</v>
      </c>
      <c r="C612">
        <v>5000</v>
      </c>
      <c r="D612" t="s">
        <v>1131</v>
      </c>
      <c r="E612">
        <v>465343</v>
      </c>
      <c r="F612" t="s">
        <v>1151</v>
      </c>
      <c r="G612" t="s">
        <v>1184</v>
      </c>
      <c r="H612" t="s">
        <v>1152</v>
      </c>
    </row>
    <row r="613" spans="1:8" x14ac:dyDescent="0.35">
      <c r="A613">
        <v>20260701</v>
      </c>
      <c r="B613" t="s">
        <v>1173</v>
      </c>
      <c r="C613">
        <v>5400</v>
      </c>
      <c r="D613" t="s">
        <v>1131</v>
      </c>
      <c r="E613">
        <v>65613.36</v>
      </c>
      <c r="F613" t="s">
        <v>632</v>
      </c>
      <c r="G613" t="s">
        <v>2039</v>
      </c>
      <c r="H613" t="s">
        <v>1152</v>
      </c>
    </row>
    <row r="614" spans="1:8" x14ac:dyDescent="0.35">
      <c r="A614">
        <v>20260701</v>
      </c>
      <c r="B614" t="s">
        <v>1173</v>
      </c>
      <c r="C614">
        <v>5420</v>
      </c>
      <c r="D614" t="s">
        <v>1131</v>
      </c>
      <c r="E614">
        <v>46534.3</v>
      </c>
      <c r="F614" t="s">
        <v>1497</v>
      </c>
      <c r="G614" t="s">
        <v>2040</v>
      </c>
      <c r="H614" t="s">
        <v>1152</v>
      </c>
    </row>
    <row r="615" spans="1:8" x14ac:dyDescent="0.35">
      <c r="A615">
        <v>20260701</v>
      </c>
      <c r="B615" t="s">
        <v>1173</v>
      </c>
      <c r="C615">
        <v>6300</v>
      </c>
      <c r="D615" t="s">
        <v>1131</v>
      </c>
      <c r="E615">
        <v>85000</v>
      </c>
      <c r="F615" t="s">
        <v>1499</v>
      </c>
      <c r="G615" t="s">
        <v>2041</v>
      </c>
      <c r="H615" t="s">
        <v>1501</v>
      </c>
    </row>
    <row r="616" spans="1:8" x14ac:dyDescent="0.35">
      <c r="A616">
        <v>20260701</v>
      </c>
      <c r="B616" t="s">
        <v>1173</v>
      </c>
      <c r="C616">
        <v>6420</v>
      </c>
      <c r="D616" t="s">
        <v>1131</v>
      </c>
      <c r="E616">
        <v>25000</v>
      </c>
      <c r="F616" t="s">
        <v>1502</v>
      </c>
      <c r="G616" t="s">
        <v>2042</v>
      </c>
      <c r="H616" t="s">
        <v>1504</v>
      </c>
    </row>
    <row r="617" spans="1:8" x14ac:dyDescent="0.35">
      <c r="A617">
        <v>20260701</v>
      </c>
      <c r="B617" t="s">
        <v>1173</v>
      </c>
      <c r="C617">
        <v>7130</v>
      </c>
      <c r="D617" t="s">
        <v>1131</v>
      </c>
      <c r="E617">
        <v>11591</v>
      </c>
      <c r="F617" t="s">
        <v>1505</v>
      </c>
      <c r="G617" t="s">
        <v>2043</v>
      </c>
      <c r="H617" t="s">
        <v>1507</v>
      </c>
    </row>
    <row r="618" spans="1:8" x14ac:dyDescent="0.35">
      <c r="A618">
        <v>20260701</v>
      </c>
      <c r="B618" t="s">
        <v>1255</v>
      </c>
      <c r="C618">
        <v>5100</v>
      </c>
      <c r="D618" t="s">
        <v>493</v>
      </c>
      <c r="E618">
        <v>87799.599999999991</v>
      </c>
      <c r="F618" t="s">
        <v>1508</v>
      </c>
      <c r="G618" t="s">
        <v>2044</v>
      </c>
      <c r="H618" t="s">
        <v>1510</v>
      </c>
    </row>
    <row r="619" spans="1:8" x14ac:dyDescent="0.35">
      <c r="A619">
        <v>20260701</v>
      </c>
      <c r="B619" t="s">
        <v>1255</v>
      </c>
      <c r="C619">
        <v>6800</v>
      </c>
      <c r="D619" t="s">
        <v>493</v>
      </c>
      <c r="E619">
        <v>37628.400000000001</v>
      </c>
      <c r="F619" t="s">
        <v>1511</v>
      </c>
      <c r="G619" t="s">
        <v>2045</v>
      </c>
      <c r="H619" t="s">
        <v>1513</v>
      </c>
    </row>
    <row r="620" spans="1:8" x14ac:dyDescent="0.35">
      <c r="A620">
        <v>20260701</v>
      </c>
      <c r="B620" t="s">
        <v>1255</v>
      </c>
      <c r="C620">
        <v>3450</v>
      </c>
      <c r="D620" t="s">
        <v>493</v>
      </c>
      <c r="E620">
        <v>-110000</v>
      </c>
      <c r="F620" t="s">
        <v>1523</v>
      </c>
      <c r="G620" t="s">
        <v>2046</v>
      </c>
      <c r="H620" t="s">
        <v>1525</v>
      </c>
    </row>
    <row r="621" spans="1:8" x14ac:dyDescent="0.35">
      <c r="A621">
        <v>20260701</v>
      </c>
      <c r="B621" t="s">
        <v>1155</v>
      </c>
      <c r="C621">
        <v>5000</v>
      </c>
      <c r="D621" t="s">
        <v>1131</v>
      </c>
      <c r="E621">
        <v>456148</v>
      </c>
      <c r="F621" t="s">
        <v>1151</v>
      </c>
      <c r="G621" t="s">
        <v>1195</v>
      </c>
      <c r="H621" t="s">
        <v>1152</v>
      </c>
    </row>
    <row r="622" spans="1:8" x14ac:dyDescent="0.35">
      <c r="A622">
        <v>20260701</v>
      </c>
      <c r="B622" t="s">
        <v>1155</v>
      </c>
      <c r="C622">
        <v>5400</v>
      </c>
      <c r="D622" t="s">
        <v>1131</v>
      </c>
      <c r="E622">
        <v>64316.87</v>
      </c>
      <c r="F622" t="s">
        <v>632</v>
      </c>
      <c r="G622" t="s">
        <v>2047</v>
      </c>
      <c r="H622" t="s">
        <v>1152</v>
      </c>
    </row>
    <row r="623" spans="1:8" x14ac:dyDescent="0.35">
      <c r="A623">
        <v>20260701</v>
      </c>
      <c r="B623" t="s">
        <v>1155</v>
      </c>
      <c r="C623">
        <v>5420</v>
      </c>
      <c r="D623" t="s">
        <v>1131</v>
      </c>
      <c r="E623">
        <v>45614.8</v>
      </c>
      <c r="F623" t="s">
        <v>1497</v>
      </c>
      <c r="G623" t="s">
        <v>2048</v>
      </c>
      <c r="H623" t="s">
        <v>1152</v>
      </c>
    </row>
    <row r="624" spans="1:8" x14ac:dyDescent="0.35">
      <c r="A624">
        <v>20260701</v>
      </c>
      <c r="B624" t="s">
        <v>1155</v>
      </c>
      <c r="C624">
        <v>6300</v>
      </c>
      <c r="D624" t="s">
        <v>1131</v>
      </c>
      <c r="E624">
        <v>85000</v>
      </c>
      <c r="F624" t="s">
        <v>1499</v>
      </c>
      <c r="G624" t="s">
        <v>2049</v>
      </c>
      <c r="H624" t="s">
        <v>1501</v>
      </c>
    </row>
    <row r="625" spans="1:8" x14ac:dyDescent="0.35">
      <c r="A625">
        <v>20260701</v>
      </c>
      <c r="B625" t="s">
        <v>1155</v>
      </c>
      <c r="C625">
        <v>6420</v>
      </c>
      <c r="D625" t="s">
        <v>1131</v>
      </c>
      <c r="E625">
        <v>25000</v>
      </c>
      <c r="F625" t="s">
        <v>1502</v>
      </c>
      <c r="G625" t="s">
        <v>2050</v>
      </c>
      <c r="H625" t="s">
        <v>1504</v>
      </c>
    </row>
    <row r="626" spans="1:8" x14ac:dyDescent="0.35">
      <c r="A626">
        <v>20260701</v>
      </c>
      <c r="B626" t="s">
        <v>1155</v>
      </c>
      <c r="C626">
        <v>7130</v>
      </c>
      <c r="D626" t="s">
        <v>1131</v>
      </c>
      <c r="E626">
        <v>17236</v>
      </c>
      <c r="F626" t="s">
        <v>1505</v>
      </c>
      <c r="G626" t="s">
        <v>2051</v>
      </c>
      <c r="H626" t="s">
        <v>1507</v>
      </c>
    </row>
    <row r="627" spans="1:8" x14ac:dyDescent="0.35">
      <c r="A627">
        <v>20260701</v>
      </c>
      <c r="B627" t="s">
        <v>1138</v>
      </c>
      <c r="C627">
        <v>5000</v>
      </c>
      <c r="D627" t="s">
        <v>1131</v>
      </c>
      <c r="E627">
        <v>458711</v>
      </c>
      <c r="F627" t="s">
        <v>1151</v>
      </c>
      <c r="G627" t="s">
        <v>1192</v>
      </c>
      <c r="H627" t="s">
        <v>1152</v>
      </c>
    </row>
    <row r="628" spans="1:8" x14ac:dyDescent="0.35">
      <c r="A628">
        <v>20260701</v>
      </c>
      <c r="B628" t="s">
        <v>1138</v>
      </c>
      <c r="C628">
        <v>5400</v>
      </c>
      <c r="D628" t="s">
        <v>1131</v>
      </c>
      <c r="E628">
        <v>64678.25</v>
      </c>
      <c r="F628" t="s">
        <v>632</v>
      </c>
      <c r="G628" t="s">
        <v>2052</v>
      </c>
      <c r="H628" t="s">
        <v>1152</v>
      </c>
    </row>
    <row r="629" spans="1:8" x14ac:dyDescent="0.35">
      <c r="A629">
        <v>20260701</v>
      </c>
      <c r="B629" t="s">
        <v>1138</v>
      </c>
      <c r="C629">
        <v>5420</v>
      </c>
      <c r="D629" t="s">
        <v>1131</v>
      </c>
      <c r="E629">
        <v>45871.1</v>
      </c>
      <c r="F629" t="s">
        <v>1497</v>
      </c>
      <c r="G629" t="s">
        <v>2053</v>
      </c>
      <c r="H629" t="s">
        <v>1152</v>
      </c>
    </row>
    <row r="630" spans="1:8" x14ac:dyDescent="0.35">
      <c r="A630">
        <v>20260701</v>
      </c>
      <c r="B630" t="s">
        <v>1138</v>
      </c>
      <c r="C630">
        <v>6300</v>
      </c>
      <c r="D630" t="s">
        <v>1131</v>
      </c>
      <c r="E630">
        <v>85000</v>
      </c>
      <c r="F630" t="s">
        <v>1499</v>
      </c>
      <c r="G630" t="s">
        <v>2054</v>
      </c>
      <c r="H630" t="s">
        <v>1501</v>
      </c>
    </row>
    <row r="631" spans="1:8" x14ac:dyDescent="0.35">
      <c r="A631">
        <v>20260701</v>
      </c>
      <c r="B631" t="s">
        <v>1138</v>
      </c>
      <c r="C631">
        <v>6420</v>
      </c>
      <c r="D631" t="s">
        <v>1131</v>
      </c>
      <c r="E631">
        <v>25000</v>
      </c>
      <c r="F631" t="s">
        <v>1502</v>
      </c>
      <c r="G631" t="s">
        <v>2055</v>
      </c>
      <c r="H631" t="s">
        <v>1504</v>
      </c>
    </row>
    <row r="632" spans="1:8" x14ac:dyDescent="0.35">
      <c r="A632">
        <v>20260701</v>
      </c>
      <c r="B632" t="s">
        <v>1138</v>
      </c>
      <c r="C632">
        <v>7130</v>
      </c>
      <c r="D632" t="s">
        <v>1131</v>
      </c>
      <c r="E632">
        <v>21959</v>
      </c>
      <c r="F632" t="s">
        <v>1505</v>
      </c>
      <c r="G632" t="s">
        <v>2056</v>
      </c>
      <c r="H632" t="s">
        <v>1507</v>
      </c>
    </row>
    <row r="633" spans="1:8" x14ac:dyDescent="0.35">
      <c r="A633">
        <v>20260701</v>
      </c>
      <c r="B633" t="s">
        <v>1138</v>
      </c>
      <c r="C633">
        <v>6050</v>
      </c>
      <c r="D633" t="s">
        <v>1139</v>
      </c>
      <c r="E633">
        <v>33333.33</v>
      </c>
      <c r="F633" t="s">
        <v>1743</v>
      </c>
      <c r="G633" t="s">
        <v>2057</v>
      </c>
      <c r="H633" t="s">
        <v>1745</v>
      </c>
    </row>
    <row r="634" spans="1:8" x14ac:dyDescent="0.35">
      <c r="A634">
        <v>20260801</v>
      </c>
      <c r="B634" t="s">
        <v>1150</v>
      </c>
      <c r="C634">
        <v>5000</v>
      </c>
      <c r="D634" t="s">
        <v>1131</v>
      </c>
      <c r="E634">
        <v>459588</v>
      </c>
      <c r="F634" t="s">
        <v>1151</v>
      </c>
      <c r="G634" t="s">
        <v>1190</v>
      </c>
      <c r="H634" t="s">
        <v>1152</v>
      </c>
    </row>
    <row r="635" spans="1:8" x14ac:dyDescent="0.35">
      <c r="A635">
        <v>20260801</v>
      </c>
      <c r="B635" t="s">
        <v>1150</v>
      </c>
      <c r="C635">
        <v>5400</v>
      </c>
      <c r="D635" t="s">
        <v>1131</v>
      </c>
      <c r="E635">
        <v>64801.91</v>
      </c>
      <c r="F635" t="s">
        <v>632</v>
      </c>
      <c r="G635" t="s">
        <v>2058</v>
      </c>
      <c r="H635" t="s">
        <v>1152</v>
      </c>
    </row>
    <row r="636" spans="1:8" x14ac:dyDescent="0.35">
      <c r="A636">
        <v>20260801</v>
      </c>
      <c r="B636" t="s">
        <v>1150</v>
      </c>
      <c r="C636">
        <v>5420</v>
      </c>
      <c r="D636" t="s">
        <v>1131</v>
      </c>
      <c r="E636">
        <v>45958.8</v>
      </c>
      <c r="F636" t="s">
        <v>1497</v>
      </c>
      <c r="G636" t="s">
        <v>2059</v>
      </c>
      <c r="H636" t="s">
        <v>1152</v>
      </c>
    </row>
    <row r="637" spans="1:8" x14ac:dyDescent="0.35">
      <c r="A637">
        <v>20260801</v>
      </c>
      <c r="B637" t="s">
        <v>1150</v>
      </c>
      <c r="C637">
        <v>6300</v>
      </c>
      <c r="D637" t="s">
        <v>1131</v>
      </c>
      <c r="E637">
        <v>85000</v>
      </c>
      <c r="F637" t="s">
        <v>1499</v>
      </c>
      <c r="G637" t="s">
        <v>2060</v>
      </c>
      <c r="H637" t="s">
        <v>1501</v>
      </c>
    </row>
    <row r="638" spans="1:8" x14ac:dyDescent="0.35">
      <c r="A638">
        <v>20260801</v>
      </c>
      <c r="B638" t="s">
        <v>1150</v>
      </c>
      <c r="C638">
        <v>6420</v>
      </c>
      <c r="D638" t="s">
        <v>1131</v>
      </c>
      <c r="E638">
        <v>25000</v>
      </c>
      <c r="F638" t="s">
        <v>1502</v>
      </c>
      <c r="G638" t="s">
        <v>2061</v>
      </c>
      <c r="H638" t="s">
        <v>1504</v>
      </c>
    </row>
    <row r="639" spans="1:8" x14ac:dyDescent="0.35">
      <c r="A639">
        <v>20260801</v>
      </c>
      <c r="B639" t="s">
        <v>1150</v>
      </c>
      <c r="C639">
        <v>7130</v>
      </c>
      <c r="D639" t="s">
        <v>1131</v>
      </c>
      <c r="E639">
        <v>8965</v>
      </c>
      <c r="F639" t="s">
        <v>1505</v>
      </c>
      <c r="G639" t="s">
        <v>2062</v>
      </c>
      <c r="H639" t="s">
        <v>1507</v>
      </c>
    </row>
    <row r="640" spans="1:8" x14ac:dyDescent="0.35">
      <c r="A640">
        <v>20260801</v>
      </c>
      <c r="B640" t="s">
        <v>1272</v>
      </c>
      <c r="C640">
        <v>5100</v>
      </c>
      <c r="D640" t="s">
        <v>480</v>
      </c>
      <c r="E640">
        <v>84872.2</v>
      </c>
      <c r="F640" t="s">
        <v>1508</v>
      </c>
      <c r="G640" t="s">
        <v>2063</v>
      </c>
      <c r="H640" t="s">
        <v>1510</v>
      </c>
    </row>
    <row r="641" spans="1:8" x14ac:dyDescent="0.35">
      <c r="A641">
        <v>20260801</v>
      </c>
      <c r="B641" t="s">
        <v>1272</v>
      </c>
      <c r="C641">
        <v>6800</v>
      </c>
      <c r="D641" t="s">
        <v>480</v>
      </c>
      <c r="E641">
        <v>36373.800000000003</v>
      </c>
      <c r="F641" t="s">
        <v>1511</v>
      </c>
      <c r="G641" t="s">
        <v>2064</v>
      </c>
      <c r="H641" t="s">
        <v>1513</v>
      </c>
    </row>
    <row r="642" spans="1:8" x14ac:dyDescent="0.35">
      <c r="A642">
        <v>20260801</v>
      </c>
      <c r="B642" t="s">
        <v>1272</v>
      </c>
      <c r="C642">
        <v>3420</v>
      </c>
      <c r="D642" t="s">
        <v>480</v>
      </c>
      <c r="E642">
        <v>-121246</v>
      </c>
      <c r="F642" t="s">
        <v>1269</v>
      </c>
      <c r="G642" t="s">
        <v>2065</v>
      </c>
      <c r="H642" t="s">
        <v>1270</v>
      </c>
    </row>
    <row r="643" spans="1:8" x14ac:dyDescent="0.35">
      <c r="A643">
        <v>20260801</v>
      </c>
      <c r="B643" t="s">
        <v>1272</v>
      </c>
      <c r="C643">
        <v>2180</v>
      </c>
      <c r="D643" t="s">
        <v>480</v>
      </c>
      <c r="E643">
        <v>121246</v>
      </c>
      <c r="F643" t="s">
        <v>1266</v>
      </c>
      <c r="G643" t="s">
        <v>2066</v>
      </c>
      <c r="H643" t="s">
        <v>1267</v>
      </c>
    </row>
    <row r="644" spans="1:8" x14ac:dyDescent="0.35">
      <c r="A644">
        <v>20260801</v>
      </c>
      <c r="B644" t="s">
        <v>1158</v>
      </c>
      <c r="C644">
        <v>5000</v>
      </c>
      <c r="D644" t="s">
        <v>1131</v>
      </c>
      <c r="E644">
        <v>444725</v>
      </c>
      <c r="F644" t="s">
        <v>1151</v>
      </c>
      <c r="G644" t="s">
        <v>1212</v>
      </c>
      <c r="H644" t="s">
        <v>1152</v>
      </c>
    </row>
    <row r="645" spans="1:8" x14ac:dyDescent="0.35">
      <c r="A645">
        <v>20260801</v>
      </c>
      <c r="B645" t="s">
        <v>1158</v>
      </c>
      <c r="C645">
        <v>5400</v>
      </c>
      <c r="D645" t="s">
        <v>1131</v>
      </c>
      <c r="E645">
        <v>62706.22</v>
      </c>
      <c r="F645" t="s">
        <v>632</v>
      </c>
      <c r="G645" t="s">
        <v>2067</v>
      </c>
      <c r="H645" t="s">
        <v>1152</v>
      </c>
    </row>
    <row r="646" spans="1:8" x14ac:dyDescent="0.35">
      <c r="A646">
        <v>20260801</v>
      </c>
      <c r="B646" t="s">
        <v>1158</v>
      </c>
      <c r="C646">
        <v>5420</v>
      </c>
      <c r="D646" t="s">
        <v>1131</v>
      </c>
      <c r="E646">
        <v>44472.5</v>
      </c>
      <c r="F646" t="s">
        <v>1497</v>
      </c>
      <c r="G646" t="s">
        <v>2068</v>
      </c>
      <c r="H646" t="s">
        <v>1152</v>
      </c>
    </row>
    <row r="647" spans="1:8" x14ac:dyDescent="0.35">
      <c r="A647">
        <v>20260801</v>
      </c>
      <c r="B647" t="s">
        <v>1158</v>
      </c>
      <c r="C647">
        <v>6300</v>
      </c>
      <c r="D647" t="s">
        <v>1131</v>
      </c>
      <c r="E647">
        <v>85000</v>
      </c>
      <c r="F647" t="s">
        <v>1499</v>
      </c>
      <c r="G647" t="s">
        <v>2069</v>
      </c>
      <c r="H647" t="s">
        <v>1501</v>
      </c>
    </row>
    <row r="648" spans="1:8" x14ac:dyDescent="0.35">
      <c r="A648">
        <v>20260801</v>
      </c>
      <c r="B648" t="s">
        <v>1158</v>
      </c>
      <c r="C648">
        <v>6420</v>
      </c>
      <c r="D648" t="s">
        <v>1131</v>
      </c>
      <c r="E648">
        <v>25000</v>
      </c>
      <c r="F648" t="s">
        <v>1502</v>
      </c>
      <c r="G648" t="s">
        <v>2070</v>
      </c>
      <c r="H648" t="s">
        <v>1504</v>
      </c>
    </row>
    <row r="649" spans="1:8" x14ac:dyDescent="0.35">
      <c r="A649">
        <v>20260801</v>
      </c>
      <c r="B649" t="s">
        <v>1158</v>
      </c>
      <c r="C649">
        <v>7130</v>
      </c>
      <c r="D649" t="s">
        <v>1131</v>
      </c>
      <c r="E649">
        <v>7098</v>
      </c>
      <c r="F649" t="s">
        <v>1505</v>
      </c>
      <c r="G649" t="s">
        <v>2071</v>
      </c>
      <c r="H649" t="s">
        <v>1507</v>
      </c>
    </row>
    <row r="650" spans="1:8" x14ac:dyDescent="0.35">
      <c r="A650">
        <v>20260801</v>
      </c>
      <c r="B650" t="s">
        <v>1243</v>
      </c>
      <c r="C650">
        <v>5100</v>
      </c>
      <c r="D650" t="s">
        <v>493</v>
      </c>
      <c r="E650">
        <v>89009.2</v>
      </c>
      <c r="F650" t="s">
        <v>1508</v>
      </c>
      <c r="G650" t="s">
        <v>2072</v>
      </c>
      <c r="H650" t="s">
        <v>1510</v>
      </c>
    </row>
    <row r="651" spans="1:8" x14ac:dyDescent="0.35">
      <c r="A651">
        <v>20260801</v>
      </c>
      <c r="B651" t="s">
        <v>1243</v>
      </c>
      <c r="C651">
        <v>6800</v>
      </c>
      <c r="D651" t="s">
        <v>493</v>
      </c>
      <c r="E651">
        <v>38146.800000000003</v>
      </c>
      <c r="F651" t="s">
        <v>1511</v>
      </c>
      <c r="G651" t="s">
        <v>2073</v>
      </c>
      <c r="H651" t="s">
        <v>1513</v>
      </c>
    </row>
    <row r="652" spans="1:8" x14ac:dyDescent="0.35">
      <c r="A652">
        <v>20260801</v>
      </c>
      <c r="B652" t="s">
        <v>1243</v>
      </c>
      <c r="C652">
        <v>3450</v>
      </c>
      <c r="D652" t="s">
        <v>493</v>
      </c>
      <c r="E652">
        <v>-110000</v>
      </c>
      <c r="F652" t="s">
        <v>1523</v>
      </c>
      <c r="G652" t="s">
        <v>2074</v>
      </c>
      <c r="H652" t="s">
        <v>1525</v>
      </c>
    </row>
    <row r="653" spans="1:8" x14ac:dyDescent="0.35">
      <c r="A653">
        <v>20260801</v>
      </c>
      <c r="B653" t="s">
        <v>1205</v>
      </c>
      <c r="C653">
        <v>5000</v>
      </c>
      <c r="D653" t="s">
        <v>1131</v>
      </c>
      <c r="E653">
        <v>431378</v>
      </c>
      <c r="F653" t="s">
        <v>1151</v>
      </c>
      <c r="G653" t="s">
        <v>1238</v>
      </c>
      <c r="H653" t="s">
        <v>1152</v>
      </c>
    </row>
    <row r="654" spans="1:8" x14ac:dyDescent="0.35">
      <c r="A654">
        <v>20260801</v>
      </c>
      <c r="B654" t="s">
        <v>1205</v>
      </c>
      <c r="C654">
        <v>5400</v>
      </c>
      <c r="D654" t="s">
        <v>1131</v>
      </c>
      <c r="E654">
        <v>60824.3</v>
      </c>
      <c r="F654" t="s">
        <v>632</v>
      </c>
      <c r="G654" t="s">
        <v>2075</v>
      </c>
      <c r="H654" t="s">
        <v>1152</v>
      </c>
    </row>
    <row r="655" spans="1:8" x14ac:dyDescent="0.35">
      <c r="A655">
        <v>20260801</v>
      </c>
      <c r="B655" t="s">
        <v>1205</v>
      </c>
      <c r="C655">
        <v>5420</v>
      </c>
      <c r="D655" t="s">
        <v>1131</v>
      </c>
      <c r="E655">
        <v>43137.8</v>
      </c>
      <c r="F655" t="s">
        <v>1497</v>
      </c>
      <c r="G655" t="s">
        <v>2076</v>
      </c>
      <c r="H655" t="s">
        <v>1152</v>
      </c>
    </row>
    <row r="656" spans="1:8" x14ac:dyDescent="0.35">
      <c r="A656">
        <v>20260801</v>
      </c>
      <c r="B656" t="s">
        <v>1205</v>
      </c>
      <c r="C656">
        <v>6300</v>
      </c>
      <c r="D656" t="s">
        <v>1131</v>
      </c>
      <c r="E656">
        <v>85000</v>
      </c>
      <c r="F656" t="s">
        <v>1499</v>
      </c>
      <c r="G656" t="s">
        <v>2077</v>
      </c>
      <c r="H656" t="s">
        <v>1501</v>
      </c>
    </row>
    <row r="657" spans="1:8" x14ac:dyDescent="0.35">
      <c r="A657">
        <v>20260801</v>
      </c>
      <c r="B657" t="s">
        <v>1205</v>
      </c>
      <c r="C657">
        <v>6420</v>
      </c>
      <c r="D657" t="s">
        <v>1131</v>
      </c>
      <c r="E657">
        <v>25000</v>
      </c>
      <c r="F657" t="s">
        <v>1502</v>
      </c>
      <c r="G657" t="s">
        <v>2078</v>
      </c>
      <c r="H657" t="s">
        <v>1504</v>
      </c>
    </row>
    <row r="658" spans="1:8" x14ac:dyDescent="0.35">
      <c r="A658">
        <v>20260801</v>
      </c>
      <c r="B658" t="s">
        <v>1205</v>
      </c>
      <c r="C658">
        <v>7130</v>
      </c>
      <c r="D658" t="s">
        <v>1131</v>
      </c>
      <c r="E658">
        <v>24277</v>
      </c>
      <c r="F658" t="s">
        <v>1505</v>
      </c>
      <c r="G658" t="s">
        <v>2079</v>
      </c>
      <c r="H658" t="s">
        <v>1507</v>
      </c>
    </row>
    <row r="659" spans="1:8" x14ac:dyDescent="0.35">
      <c r="A659">
        <v>20260801</v>
      </c>
      <c r="B659" t="s">
        <v>1205</v>
      </c>
      <c r="C659">
        <v>5050</v>
      </c>
      <c r="D659" t="s">
        <v>1131</v>
      </c>
      <c r="E659">
        <v>53150</v>
      </c>
      <c r="F659" t="s">
        <v>1531</v>
      </c>
      <c r="G659" t="s">
        <v>2080</v>
      </c>
      <c r="H659" t="s">
        <v>1533</v>
      </c>
    </row>
    <row r="660" spans="1:8" x14ac:dyDescent="0.35">
      <c r="A660">
        <v>20260801</v>
      </c>
      <c r="B660" t="s">
        <v>1257</v>
      </c>
      <c r="C660">
        <v>5100</v>
      </c>
      <c r="D660" t="s">
        <v>493</v>
      </c>
      <c r="E660">
        <v>84056</v>
      </c>
      <c r="F660" t="s">
        <v>1508</v>
      </c>
      <c r="G660" t="s">
        <v>2081</v>
      </c>
      <c r="H660" t="s">
        <v>1510</v>
      </c>
    </row>
    <row r="661" spans="1:8" x14ac:dyDescent="0.35">
      <c r="A661">
        <v>20260801</v>
      </c>
      <c r="B661" t="s">
        <v>1257</v>
      </c>
      <c r="C661">
        <v>6800</v>
      </c>
      <c r="D661" t="s">
        <v>493</v>
      </c>
      <c r="E661">
        <v>36024</v>
      </c>
      <c r="F661" t="s">
        <v>1511</v>
      </c>
      <c r="G661" t="s">
        <v>2082</v>
      </c>
      <c r="H661" t="s">
        <v>1513</v>
      </c>
    </row>
    <row r="662" spans="1:8" x14ac:dyDescent="0.35">
      <c r="A662">
        <v>20260801</v>
      </c>
      <c r="B662" t="s">
        <v>1257</v>
      </c>
      <c r="C662">
        <v>3450</v>
      </c>
      <c r="D662" t="s">
        <v>493</v>
      </c>
      <c r="E662">
        <v>-110000</v>
      </c>
      <c r="F662" t="s">
        <v>1523</v>
      </c>
      <c r="G662" t="s">
        <v>2083</v>
      </c>
      <c r="H662" t="s">
        <v>1525</v>
      </c>
    </row>
    <row r="663" spans="1:8" x14ac:dyDescent="0.35">
      <c r="A663">
        <v>20260801</v>
      </c>
      <c r="B663" t="s">
        <v>1164</v>
      </c>
      <c r="C663">
        <v>5000</v>
      </c>
      <c r="D663" t="s">
        <v>1131</v>
      </c>
      <c r="E663">
        <v>468564</v>
      </c>
      <c r="F663" t="s">
        <v>1151</v>
      </c>
      <c r="G663" t="s">
        <v>1180</v>
      </c>
      <c r="H663" t="s">
        <v>1152</v>
      </c>
    </row>
    <row r="664" spans="1:8" x14ac:dyDescent="0.35">
      <c r="A664">
        <v>20260801</v>
      </c>
      <c r="B664" t="s">
        <v>1164</v>
      </c>
      <c r="C664">
        <v>5400</v>
      </c>
      <c r="D664" t="s">
        <v>1131</v>
      </c>
      <c r="E664">
        <v>66067.520000000004</v>
      </c>
      <c r="F664" t="s">
        <v>632</v>
      </c>
      <c r="G664" t="s">
        <v>2084</v>
      </c>
      <c r="H664" t="s">
        <v>1152</v>
      </c>
    </row>
    <row r="665" spans="1:8" x14ac:dyDescent="0.35">
      <c r="A665">
        <v>20260801</v>
      </c>
      <c r="B665" t="s">
        <v>1164</v>
      </c>
      <c r="C665">
        <v>5420</v>
      </c>
      <c r="D665" t="s">
        <v>1131</v>
      </c>
      <c r="E665">
        <v>46856.4</v>
      </c>
      <c r="F665" t="s">
        <v>1497</v>
      </c>
      <c r="G665" t="s">
        <v>2085</v>
      </c>
      <c r="H665" t="s">
        <v>1152</v>
      </c>
    </row>
    <row r="666" spans="1:8" x14ac:dyDescent="0.35">
      <c r="A666">
        <v>20260801</v>
      </c>
      <c r="B666" t="s">
        <v>1164</v>
      </c>
      <c r="C666">
        <v>6300</v>
      </c>
      <c r="D666" t="s">
        <v>1131</v>
      </c>
      <c r="E666">
        <v>85000</v>
      </c>
      <c r="F666" t="s">
        <v>1499</v>
      </c>
      <c r="G666" t="s">
        <v>2086</v>
      </c>
      <c r="H666" t="s">
        <v>1501</v>
      </c>
    </row>
    <row r="667" spans="1:8" x14ac:dyDescent="0.35">
      <c r="A667">
        <v>20260801</v>
      </c>
      <c r="B667" t="s">
        <v>1164</v>
      </c>
      <c r="C667">
        <v>6420</v>
      </c>
      <c r="D667" t="s">
        <v>1131</v>
      </c>
      <c r="E667">
        <v>25000</v>
      </c>
      <c r="F667" t="s">
        <v>1502</v>
      </c>
      <c r="G667" t="s">
        <v>2087</v>
      </c>
      <c r="H667" t="s">
        <v>1504</v>
      </c>
    </row>
    <row r="668" spans="1:8" x14ac:dyDescent="0.35">
      <c r="A668">
        <v>20260801</v>
      </c>
      <c r="B668" t="s">
        <v>1164</v>
      </c>
      <c r="C668">
        <v>7130</v>
      </c>
      <c r="D668" t="s">
        <v>1131</v>
      </c>
      <c r="E668">
        <v>12216</v>
      </c>
      <c r="F668" t="s">
        <v>1505</v>
      </c>
      <c r="G668" t="s">
        <v>2088</v>
      </c>
      <c r="H668" t="s">
        <v>1507</v>
      </c>
    </row>
    <row r="669" spans="1:8" x14ac:dyDescent="0.35">
      <c r="A669">
        <v>20260801</v>
      </c>
      <c r="B669" t="s">
        <v>1249</v>
      </c>
      <c r="C669">
        <v>5100</v>
      </c>
      <c r="D669" t="s">
        <v>493</v>
      </c>
      <c r="E669">
        <v>73829.7</v>
      </c>
      <c r="F669" t="s">
        <v>1508</v>
      </c>
      <c r="G669" t="s">
        <v>2089</v>
      </c>
      <c r="H669" t="s">
        <v>1510</v>
      </c>
    </row>
    <row r="670" spans="1:8" x14ac:dyDescent="0.35">
      <c r="A670">
        <v>20260801</v>
      </c>
      <c r="B670" t="s">
        <v>1249</v>
      </c>
      <c r="C670">
        <v>6800</v>
      </c>
      <c r="D670" t="s">
        <v>493</v>
      </c>
      <c r="E670">
        <v>31641.3</v>
      </c>
      <c r="F670" t="s">
        <v>1511</v>
      </c>
      <c r="G670" t="s">
        <v>2090</v>
      </c>
      <c r="H670" t="s">
        <v>1513</v>
      </c>
    </row>
    <row r="671" spans="1:8" x14ac:dyDescent="0.35">
      <c r="A671">
        <v>20260801</v>
      </c>
      <c r="B671" t="s">
        <v>1249</v>
      </c>
      <c r="C671">
        <v>3450</v>
      </c>
      <c r="D671" t="s">
        <v>493</v>
      </c>
      <c r="E671">
        <v>-110000</v>
      </c>
      <c r="F671" t="s">
        <v>1523</v>
      </c>
      <c r="G671" t="s">
        <v>2091</v>
      </c>
      <c r="H671" t="s">
        <v>1525</v>
      </c>
    </row>
    <row r="672" spans="1:8" x14ac:dyDescent="0.35">
      <c r="A672">
        <v>20260801</v>
      </c>
      <c r="B672" t="s">
        <v>1169</v>
      </c>
      <c r="C672">
        <v>5000</v>
      </c>
      <c r="D672" t="s">
        <v>1131</v>
      </c>
      <c r="E672">
        <v>434652</v>
      </c>
      <c r="F672" t="s">
        <v>1151</v>
      </c>
      <c r="G672" t="s">
        <v>1229</v>
      </c>
      <c r="H672" t="s">
        <v>1152</v>
      </c>
    </row>
    <row r="673" spans="1:8" x14ac:dyDescent="0.35">
      <c r="A673">
        <v>20260801</v>
      </c>
      <c r="B673" t="s">
        <v>1169</v>
      </c>
      <c r="C673">
        <v>5400</v>
      </c>
      <c r="D673" t="s">
        <v>1131</v>
      </c>
      <c r="E673">
        <v>61285.93</v>
      </c>
      <c r="F673" t="s">
        <v>632</v>
      </c>
      <c r="G673" t="s">
        <v>2092</v>
      </c>
      <c r="H673" t="s">
        <v>1152</v>
      </c>
    </row>
    <row r="674" spans="1:8" x14ac:dyDescent="0.35">
      <c r="A674">
        <v>20260801</v>
      </c>
      <c r="B674" t="s">
        <v>1169</v>
      </c>
      <c r="C674">
        <v>5420</v>
      </c>
      <c r="D674" t="s">
        <v>1131</v>
      </c>
      <c r="E674">
        <v>43465.2</v>
      </c>
      <c r="F674" t="s">
        <v>1497</v>
      </c>
      <c r="G674" t="s">
        <v>2093</v>
      </c>
      <c r="H674" t="s">
        <v>1152</v>
      </c>
    </row>
    <row r="675" spans="1:8" x14ac:dyDescent="0.35">
      <c r="A675">
        <v>20260801</v>
      </c>
      <c r="B675" t="s">
        <v>1169</v>
      </c>
      <c r="C675">
        <v>6300</v>
      </c>
      <c r="D675" t="s">
        <v>1131</v>
      </c>
      <c r="E675">
        <v>85000</v>
      </c>
      <c r="F675" t="s">
        <v>1499</v>
      </c>
      <c r="G675" t="s">
        <v>2094</v>
      </c>
      <c r="H675" t="s">
        <v>1501</v>
      </c>
    </row>
    <row r="676" spans="1:8" x14ac:dyDescent="0.35">
      <c r="A676">
        <v>20260801</v>
      </c>
      <c r="B676" t="s">
        <v>1169</v>
      </c>
      <c r="C676">
        <v>6420</v>
      </c>
      <c r="D676" t="s">
        <v>1131</v>
      </c>
      <c r="E676">
        <v>25000</v>
      </c>
      <c r="F676" t="s">
        <v>1502</v>
      </c>
      <c r="G676" t="s">
        <v>2095</v>
      </c>
      <c r="H676" t="s">
        <v>1504</v>
      </c>
    </row>
    <row r="677" spans="1:8" x14ac:dyDescent="0.35">
      <c r="A677">
        <v>20260801</v>
      </c>
      <c r="B677" t="s">
        <v>1169</v>
      </c>
      <c r="C677">
        <v>7130</v>
      </c>
      <c r="D677" t="s">
        <v>1131</v>
      </c>
      <c r="E677">
        <v>6929</v>
      </c>
      <c r="F677" t="s">
        <v>1505</v>
      </c>
      <c r="G677" t="s">
        <v>2096</v>
      </c>
      <c r="H677" t="s">
        <v>1507</v>
      </c>
    </row>
    <row r="678" spans="1:8" x14ac:dyDescent="0.35">
      <c r="A678">
        <v>20260801</v>
      </c>
      <c r="B678" t="s">
        <v>1260</v>
      </c>
      <c r="C678">
        <v>5100</v>
      </c>
      <c r="D678" t="s">
        <v>493</v>
      </c>
      <c r="E678">
        <v>84002.099999999991</v>
      </c>
      <c r="F678" t="s">
        <v>1508</v>
      </c>
      <c r="G678" t="s">
        <v>2097</v>
      </c>
      <c r="H678" t="s">
        <v>1510</v>
      </c>
    </row>
    <row r="679" spans="1:8" x14ac:dyDescent="0.35">
      <c r="A679">
        <v>20260801</v>
      </c>
      <c r="B679" t="s">
        <v>1260</v>
      </c>
      <c r="C679">
        <v>6800</v>
      </c>
      <c r="D679" t="s">
        <v>493</v>
      </c>
      <c r="E679">
        <v>36000.9</v>
      </c>
      <c r="F679" t="s">
        <v>1511</v>
      </c>
      <c r="G679" t="s">
        <v>2098</v>
      </c>
      <c r="H679" t="s">
        <v>1513</v>
      </c>
    </row>
    <row r="680" spans="1:8" x14ac:dyDescent="0.35">
      <c r="A680">
        <v>20260801</v>
      </c>
      <c r="B680" t="s">
        <v>1260</v>
      </c>
      <c r="C680">
        <v>3450</v>
      </c>
      <c r="D680" t="s">
        <v>493</v>
      </c>
      <c r="E680">
        <v>-110000</v>
      </c>
      <c r="F680" t="s">
        <v>1523</v>
      </c>
      <c r="G680" t="s">
        <v>2099</v>
      </c>
      <c r="H680" t="s">
        <v>1525</v>
      </c>
    </row>
    <row r="681" spans="1:8" x14ac:dyDescent="0.35">
      <c r="A681">
        <v>20260801</v>
      </c>
      <c r="B681" t="s">
        <v>1175</v>
      </c>
      <c r="C681">
        <v>5000</v>
      </c>
      <c r="D681" t="s">
        <v>1131</v>
      </c>
      <c r="E681">
        <v>434417</v>
      </c>
      <c r="F681" t="s">
        <v>1151</v>
      </c>
      <c r="G681" t="s">
        <v>1232</v>
      </c>
      <c r="H681" t="s">
        <v>1152</v>
      </c>
    </row>
    <row r="682" spans="1:8" x14ac:dyDescent="0.35">
      <c r="A682">
        <v>20260801</v>
      </c>
      <c r="B682" t="s">
        <v>1175</v>
      </c>
      <c r="C682">
        <v>5400</v>
      </c>
      <c r="D682" t="s">
        <v>1131</v>
      </c>
      <c r="E682">
        <v>61252.800000000003</v>
      </c>
      <c r="F682" t="s">
        <v>632</v>
      </c>
      <c r="G682" t="s">
        <v>2100</v>
      </c>
      <c r="H682" t="s">
        <v>1152</v>
      </c>
    </row>
    <row r="683" spans="1:8" x14ac:dyDescent="0.35">
      <c r="A683">
        <v>20260801</v>
      </c>
      <c r="B683" t="s">
        <v>1175</v>
      </c>
      <c r="C683">
        <v>5420</v>
      </c>
      <c r="D683" t="s">
        <v>1131</v>
      </c>
      <c r="E683">
        <v>43441.7</v>
      </c>
      <c r="F683" t="s">
        <v>1497</v>
      </c>
      <c r="G683" t="s">
        <v>2101</v>
      </c>
      <c r="H683" t="s">
        <v>1152</v>
      </c>
    </row>
    <row r="684" spans="1:8" x14ac:dyDescent="0.35">
      <c r="A684">
        <v>20260801</v>
      </c>
      <c r="B684" t="s">
        <v>1175</v>
      </c>
      <c r="C684">
        <v>6300</v>
      </c>
      <c r="D684" t="s">
        <v>1131</v>
      </c>
      <c r="E684">
        <v>85000</v>
      </c>
      <c r="F684" t="s">
        <v>1499</v>
      </c>
      <c r="G684" t="s">
        <v>2102</v>
      </c>
      <c r="H684" t="s">
        <v>1501</v>
      </c>
    </row>
    <row r="685" spans="1:8" x14ac:dyDescent="0.35">
      <c r="A685">
        <v>20260801</v>
      </c>
      <c r="B685" t="s">
        <v>1175</v>
      </c>
      <c r="C685">
        <v>6420</v>
      </c>
      <c r="D685" t="s">
        <v>1131</v>
      </c>
      <c r="E685">
        <v>25000</v>
      </c>
      <c r="F685" t="s">
        <v>1502</v>
      </c>
      <c r="G685" t="s">
        <v>2103</v>
      </c>
      <c r="H685" t="s">
        <v>1504</v>
      </c>
    </row>
    <row r="686" spans="1:8" x14ac:dyDescent="0.35">
      <c r="A686">
        <v>20260801</v>
      </c>
      <c r="B686" t="s">
        <v>1175</v>
      </c>
      <c r="C686">
        <v>7130</v>
      </c>
      <c r="D686" t="s">
        <v>1131</v>
      </c>
      <c r="E686">
        <v>6029</v>
      </c>
      <c r="F686" t="s">
        <v>1505</v>
      </c>
      <c r="G686" t="s">
        <v>2104</v>
      </c>
      <c r="H686" t="s">
        <v>1507</v>
      </c>
    </row>
    <row r="687" spans="1:8" x14ac:dyDescent="0.35">
      <c r="A687">
        <v>20260801</v>
      </c>
      <c r="B687" t="s">
        <v>1247</v>
      </c>
      <c r="C687">
        <v>5100</v>
      </c>
      <c r="D687" t="s">
        <v>493</v>
      </c>
      <c r="E687">
        <v>88657.799999999988</v>
      </c>
      <c r="F687" t="s">
        <v>1508</v>
      </c>
      <c r="G687" t="s">
        <v>2105</v>
      </c>
      <c r="H687" t="s">
        <v>1510</v>
      </c>
    </row>
    <row r="688" spans="1:8" x14ac:dyDescent="0.35">
      <c r="A688">
        <v>20260801</v>
      </c>
      <c r="B688" t="s">
        <v>1247</v>
      </c>
      <c r="C688">
        <v>6800</v>
      </c>
      <c r="D688" t="s">
        <v>493</v>
      </c>
      <c r="E688">
        <v>37996.199999999997</v>
      </c>
      <c r="F688" t="s">
        <v>1511</v>
      </c>
      <c r="G688" t="s">
        <v>2106</v>
      </c>
      <c r="H688" t="s">
        <v>1513</v>
      </c>
    </row>
    <row r="689" spans="1:8" x14ac:dyDescent="0.35">
      <c r="A689">
        <v>20260801</v>
      </c>
      <c r="B689" t="s">
        <v>1247</v>
      </c>
      <c r="C689">
        <v>3450</v>
      </c>
      <c r="D689" t="s">
        <v>493</v>
      </c>
      <c r="E689">
        <v>-110000</v>
      </c>
      <c r="F689" t="s">
        <v>1523</v>
      </c>
      <c r="G689" t="s">
        <v>2107</v>
      </c>
      <c r="H689" t="s">
        <v>1525</v>
      </c>
    </row>
    <row r="690" spans="1:8" x14ac:dyDescent="0.35">
      <c r="A690">
        <v>20260801</v>
      </c>
      <c r="B690" t="s">
        <v>1130</v>
      </c>
      <c r="C690">
        <v>5000</v>
      </c>
      <c r="D690" t="s">
        <v>1131</v>
      </c>
      <c r="E690">
        <v>434643</v>
      </c>
      <c r="F690" t="s">
        <v>1151</v>
      </c>
      <c r="G690" t="s">
        <v>1230</v>
      </c>
      <c r="H690" t="s">
        <v>1152</v>
      </c>
    </row>
    <row r="691" spans="1:8" x14ac:dyDescent="0.35">
      <c r="A691">
        <v>20260801</v>
      </c>
      <c r="B691" t="s">
        <v>1130</v>
      </c>
      <c r="C691">
        <v>5400</v>
      </c>
      <c r="D691" t="s">
        <v>1131</v>
      </c>
      <c r="E691">
        <v>61284.66</v>
      </c>
      <c r="F691" t="s">
        <v>632</v>
      </c>
      <c r="G691" t="s">
        <v>2108</v>
      </c>
      <c r="H691" t="s">
        <v>1152</v>
      </c>
    </row>
    <row r="692" spans="1:8" x14ac:dyDescent="0.35">
      <c r="A692">
        <v>20260801</v>
      </c>
      <c r="B692" t="s">
        <v>1130</v>
      </c>
      <c r="C692">
        <v>5420</v>
      </c>
      <c r="D692" t="s">
        <v>1131</v>
      </c>
      <c r="E692">
        <v>43464.3</v>
      </c>
      <c r="F692" t="s">
        <v>1497</v>
      </c>
      <c r="G692" t="s">
        <v>2109</v>
      </c>
      <c r="H692" t="s">
        <v>1152</v>
      </c>
    </row>
    <row r="693" spans="1:8" x14ac:dyDescent="0.35">
      <c r="A693">
        <v>20260801</v>
      </c>
      <c r="B693" t="s">
        <v>1130</v>
      </c>
      <c r="C693">
        <v>6300</v>
      </c>
      <c r="D693" t="s">
        <v>1131</v>
      </c>
      <c r="E693">
        <v>85000</v>
      </c>
      <c r="F693" t="s">
        <v>1499</v>
      </c>
      <c r="G693" t="s">
        <v>2110</v>
      </c>
      <c r="H693" t="s">
        <v>1501</v>
      </c>
    </row>
    <row r="694" spans="1:8" x14ac:dyDescent="0.35">
      <c r="A694">
        <v>20260801</v>
      </c>
      <c r="B694" t="s">
        <v>1130</v>
      </c>
      <c r="C694">
        <v>6420</v>
      </c>
      <c r="D694" t="s">
        <v>1131</v>
      </c>
      <c r="E694">
        <v>25000</v>
      </c>
      <c r="F694" t="s">
        <v>1502</v>
      </c>
      <c r="G694" t="s">
        <v>2111</v>
      </c>
      <c r="H694" t="s">
        <v>1504</v>
      </c>
    </row>
    <row r="695" spans="1:8" x14ac:dyDescent="0.35">
      <c r="A695">
        <v>20260801</v>
      </c>
      <c r="B695" t="s">
        <v>1130</v>
      </c>
      <c r="C695">
        <v>7130</v>
      </c>
      <c r="D695" t="s">
        <v>1131</v>
      </c>
      <c r="E695">
        <v>21847</v>
      </c>
      <c r="F695" t="s">
        <v>1505</v>
      </c>
      <c r="G695" t="s">
        <v>2112</v>
      </c>
      <c r="H695" t="s">
        <v>1507</v>
      </c>
    </row>
    <row r="696" spans="1:8" x14ac:dyDescent="0.35">
      <c r="A696">
        <v>20260801</v>
      </c>
      <c r="B696" t="s">
        <v>1130</v>
      </c>
      <c r="C696">
        <v>2080</v>
      </c>
      <c r="D696" t="s">
        <v>1131</v>
      </c>
      <c r="E696">
        <v>-2400000</v>
      </c>
      <c r="F696" t="s">
        <v>1132</v>
      </c>
      <c r="G696" t="s">
        <v>1128</v>
      </c>
      <c r="H696" t="s">
        <v>1133</v>
      </c>
    </row>
    <row r="697" spans="1:8" x14ac:dyDescent="0.35">
      <c r="A697">
        <v>20260801</v>
      </c>
      <c r="B697" t="s">
        <v>1265</v>
      </c>
      <c r="C697">
        <v>5100</v>
      </c>
      <c r="D697" t="s">
        <v>485</v>
      </c>
      <c r="E697">
        <v>84417.9</v>
      </c>
      <c r="F697" t="s">
        <v>1508</v>
      </c>
      <c r="G697" t="s">
        <v>2113</v>
      </c>
      <c r="H697" t="s">
        <v>1510</v>
      </c>
    </row>
    <row r="698" spans="1:8" x14ac:dyDescent="0.35">
      <c r="A698">
        <v>20260801</v>
      </c>
      <c r="B698" t="s">
        <v>1265</v>
      </c>
      <c r="C698">
        <v>6800</v>
      </c>
      <c r="D698" t="s">
        <v>485</v>
      </c>
      <c r="E698">
        <v>36179.1</v>
      </c>
      <c r="F698" t="s">
        <v>1511</v>
      </c>
      <c r="G698" t="s">
        <v>2114</v>
      </c>
      <c r="H698" t="s">
        <v>1513</v>
      </c>
    </row>
    <row r="699" spans="1:8" x14ac:dyDescent="0.35">
      <c r="A699">
        <v>20260801</v>
      </c>
      <c r="B699" t="s">
        <v>1265</v>
      </c>
      <c r="C699">
        <v>3400</v>
      </c>
      <c r="D699" t="s">
        <v>485</v>
      </c>
      <c r="E699">
        <v>-120597</v>
      </c>
      <c r="F699" t="s">
        <v>1269</v>
      </c>
      <c r="G699" t="s">
        <v>2115</v>
      </c>
      <c r="H699" t="s">
        <v>1270</v>
      </c>
    </row>
    <row r="700" spans="1:8" x14ac:dyDescent="0.35">
      <c r="A700">
        <v>20260801</v>
      </c>
      <c r="B700" t="s">
        <v>1265</v>
      </c>
      <c r="C700">
        <v>2180</v>
      </c>
      <c r="D700" t="s">
        <v>485</v>
      </c>
      <c r="E700">
        <v>120597</v>
      </c>
      <c r="F700" t="s">
        <v>1266</v>
      </c>
      <c r="G700" t="s">
        <v>2116</v>
      </c>
      <c r="H700" t="s">
        <v>1267</v>
      </c>
    </row>
    <row r="701" spans="1:8" x14ac:dyDescent="0.35">
      <c r="A701">
        <v>20260801</v>
      </c>
      <c r="B701" t="s">
        <v>1173</v>
      </c>
      <c r="C701">
        <v>5000</v>
      </c>
      <c r="D701" t="s">
        <v>1131</v>
      </c>
      <c r="E701">
        <v>448250</v>
      </c>
      <c r="F701" t="s">
        <v>1151</v>
      </c>
      <c r="G701" t="s">
        <v>1208</v>
      </c>
      <c r="H701" t="s">
        <v>1152</v>
      </c>
    </row>
    <row r="702" spans="1:8" x14ac:dyDescent="0.35">
      <c r="A702">
        <v>20260801</v>
      </c>
      <c r="B702" t="s">
        <v>1173</v>
      </c>
      <c r="C702">
        <v>5400</v>
      </c>
      <c r="D702" t="s">
        <v>1131</v>
      </c>
      <c r="E702">
        <v>63203.25</v>
      </c>
      <c r="F702" t="s">
        <v>632</v>
      </c>
      <c r="G702" t="s">
        <v>2117</v>
      </c>
      <c r="H702" t="s">
        <v>1152</v>
      </c>
    </row>
    <row r="703" spans="1:8" x14ac:dyDescent="0.35">
      <c r="A703">
        <v>20260801</v>
      </c>
      <c r="B703" t="s">
        <v>1173</v>
      </c>
      <c r="C703">
        <v>5420</v>
      </c>
      <c r="D703" t="s">
        <v>1131</v>
      </c>
      <c r="E703">
        <v>44825</v>
      </c>
      <c r="F703" t="s">
        <v>1497</v>
      </c>
      <c r="G703" t="s">
        <v>2118</v>
      </c>
      <c r="H703" t="s">
        <v>1152</v>
      </c>
    </row>
    <row r="704" spans="1:8" x14ac:dyDescent="0.35">
      <c r="A704">
        <v>20260801</v>
      </c>
      <c r="B704" t="s">
        <v>1173</v>
      </c>
      <c r="C704">
        <v>6300</v>
      </c>
      <c r="D704" t="s">
        <v>1131</v>
      </c>
      <c r="E704">
        <v>85000</v>
      </c>
      <c r="F704" t="s">
        <v>1499</v>
      </c>
      <c r="G704" t="s">
        <v>2119</v>
      </c>
      <c r="H704" t="s">
        <v>1501</v>
      </c>
    </row>
    <row r="705" spans="1:8" x14ac:dyDescent="0.35">
      <c r="A705">
        <v>20260801</v>
      </c>
      <c r="B705" t="s">
        <v>1173</v>
      </c>
      <c r="C705">
        <v>6420</v>
      </c>
      <c r="D705" t="s">
        <v>1131</v>
      </c>
      <c r="E705">
        <v>25000</v>
      </c>
      <c r="F705" t="s">
        <v>1502</v>
      </c>
      <c r="G705" t="s">
        <v>2120</v>
      </c>
      <c r="H705" t="s">
        <v>1504</v>
      </c>
    </row>
    <row r="706" spans="1:8" x14ac:dyDescent="0.35">
      <c r="A706">
        <v>20260801</v>
      </c>
      <c r="B706" t="s">
        <v>1173</v>
      </c>
      <c r="C706">
        <v>7130</v>
      </c>
      <c r="D706" t="s">
        <v>1131</v>
      </c>
      <c r="E706">
        <v>20906</v>
      </c>
      <c r="F706" t="s">
        <v>1505</v>
      </c>
      <c r="G706" t="s">
        <v>2121</v>
      </c>
      <c r="H706" t="s">
        <v>1507</v>
      </c>
    </row>
    <row r="707" spans="1:8" x14ac:dyDescent="0.35">
      <c r="A707">
        <v>20260801</v>
      </c>
      <c r="B707" t="s">
        <v>1255</v>
      </c>
      <c r="C707">
        <v>5100</v>
      </c>
      <c r="D707" t="s">
        <v>493</v>
      </c>
      <c r="E707">
        <v>83328</v>
      </c>
      <c r="F707" t="s">
        <v>1508</v>
      </c>
      <c r="G707" t="s">
        <v>2122</v>
      </c>
      <c r="H707" t="s">
        <v>1510</v>
      </c>
    </row>
    <row r="708" spans="1:8" x14ac:dyDescent="0.35">
      <c r="A708">
        <v>20260801</v>
      </c>
      <c r="B708" t="s">
        <v>1255</v>
      </c>
      <c r="C708">
        <v>6800</v>
      </c>
      <c r="D708" t="s">
        <v>493</v>
      </c>
      <c r="E708">
        <v>35712</v>
      </c>
      <c r="F708" t="s">
        <v>1511</v>
      </c>
      <c r="G708" t="s">
        <v>2123</v>
      </c>
      <c r="H708" t="s">
        <v>1513</v>
      </c>
    </row>
    <row r="709" spans="1:8" x14ac:dyDescent="0.35">
      <c r="A709">
        <v>20260801</v>
      </c>
      <c r="B709" t="s">
        <v>1255</v>
      </c>
      <c r="C709">
        <v>3450</v>
      </c>
      <c r="D709" t="s">
        <v>493</v>
      </c>
      <c r="E709">
        <v>-110000</v>
      </c>
      <c r="F709" t="s">
        <v>1523</v>
      </c>
      <c r="G709" t="s">
        <v>2124</v>
      </c>
      <c r="H709" t="s">
        <v>1525</v>
      </c>
    </row>
    <row r="710" spans="1:8" x14ac:dyDescent="0.35">
      <c r="A710">
        <v>20260801</v>
      </c>
      <c r="B710" t="s">
        <v>1155</v>
      </c>
      <c r="C710">
        <v>5000</v>
      </c>
      <c r="D710" t="s">
        <v>1131</v>
      </c>
      <c r="E710">
        <v>465339</v>
      </c>
      <c r="F710" t="s">
        <v>1151</v>
      </c>
      <c r="G710" t="s">
        <v>1185</v>
      </c>
      <c r="H710" t="s">
        <v>1152</v>
      </c>
    </row>
    <row r="711" spans="1:8" x14ac:dyDescent="0.35">
      <c r="A711">
        <v>20260801</v>
      </c>
      <c r="B711" t="s">
        <v>1155</v>
      </c>
      <c r="C711">
        <v>5400</v>
      </c>
      <c r="D711" t="s">
        <v>1131</v>
      </c>
      <c r="E711">
        <v>65612.800000000003</v>
      </c>
      <c r="F711" t="s">
        <v>632</v>
      </c>
      <c r="G711" t="s">
        <v>2125</v>
      </c>
      <c r="H711" t="s">
        <v>1152</v>
      </c>
    </row>
    <row r="712" spans="1:8" x14ac:dyDescent="0.35">
      <c r="A712">
        <v>20260801</v>
      </c>
      <c r="B712" t="s">
        <v>1155</v>
      </c>
      <c r="C712">
        <v>5420</v>
      </c>
      <c r="D712" t="s">
        <v>1131</v>
      </c>
      <c r="E712">
        <v>46533.9</v>
      </c>
      <c r="F712" t="s">
        <v>1497</v>
      </c>
      <c r="G712" t="s">
        <v>2126</v>
      </c>
      <c r="H712" t="s">
        <v>1152</v>
      </c>
    </row>
    <row r="713" spans="1:8" x14ac:dyDescent="0.35">
      <c r="A713">
        <v>20260801</v>
      </c>
      <c r="B713" t="s">
        <v>1155</v>
      </c>
      <c r="C713">
        <v>6300</v>
      </c>
      <c r="D713" t="s">
        <v>1131</v>
      </c>
      <c r="E713">
        <v>85000</v>
      </c>
      <c r="F713" t="s">
        <v>1499</v>
      </c>
      <c r="G713" t="s">
        <v>2127</v>
      </c>
      <c r="H713" t="s">
        <v>1501</v>
      </c>
    </row>
    <row r="714" spans="1:8" x14ac:dyDescent="0.35">
      <c r="A714">
        <v>20260801</v>
      </c>
      <c r="B714" t="s">
        <v>1155</v>
      </c>
      <c r="C714">
        <v>6420</v>
      </c>
      <c r="D714" t="s">
        <v>1131</v>
      </c>
      <c r="E714">
        <v>25000</v>
      </c>
      <c r="F714" t="s">
        <v>1502</v>
      </c>
      <c r="G714" t="s">
        <v>2128</v>
      </c>
      <c r="H714" t="s">
        <v>1504</v>
      </c>
    </row>
    <row r="715" spans="1:8" x14ac:dyDescent="0.35">
      <c r="A715">
        <v>20260801</v>
      </c>
      <c r="B715" t="s">
        <v>1155</v>
      </c>
      <c r="C715">
        <v>7130</v>
      </c>
      <c r="D715" t="s">
        <v>1131</v>
      </c>
      <c r="E715">
        <v>9335</v>
      </c>
      <c r="F715" t="s">
        <v>1505</v>
      </c>
      <c r="G715" t="s">
        <v>2129</v>
      </c>
      <c r="H715" t="s">
        <v>1507</v>
      </c>
    </row>
    <row r="716" spans="1:8" x14ac:dyDescent="0.35">
      <c r="A716">
        <v>20260801</v>
      </c>
      <c r="B716" t="s">
        <v>1138</v>
      </c>
      <c r="C716">
        <v>5000</v>
      </c>
      <c r="D716" t="s">
        <v>1131</v>
      </c>
      <c r="E716">
        <v>477405</v>
      </c>
      <c r="F716" t="s">
        <v>1151</v>
      </c>
      <c r="G716" t="s">
        <v>1160</v>
      </c>
      <c r="H716" t="s">
        <v>1152</v>
      </c>
    </row>
    <row r="717" spans="1:8" x14ac:dyDescent="0.35">
      <c r="A717">
        <v>20260801</v>
      </c>
      <c r="B717" t="s">
        <v>1138</v>
      </c>
      <c r="C717">
        <v>5400</v>
      </c>
      <c r="D717" t="s">
        <v>1131</v>
      </c>
      <c r="E717">
        <v>67314.100000000006</v>
      </c>
      <c r="F717" t="s">
        <v>632</v>
      </c>
      <c r="G717" t="s">
        <v>2130</v>
      </c>
      <c r="H717" t="s">
        <v>1152</v>
      </c>
    </row>
    <row r="718" spans="1:8" x14ac:dyDescent="0.35">
      <c r="A718">
        <v>20260801</v>
      </c>
      <c r="B718" t="s">
        <v>1138</v>
      </c>
      <c r="C718">
        <v>5420</v>
      </c>
      <c r="D718" t="s">
        <v>1131</v>
      </c>
      <c r="E718">
        <v>47740.5</v>
      </c>
      <c r="F718" t="s">
        <v>1497</v>
      </c>
      <c r="G718" t="s">
        <v>2131</v>
      </c>
      <c r="H718" t="s">
        <v>1152</v>
      </c>
    </row>
    <row r="719" spans="1:8" x14ac:dyDescent="0.35">
      <c r="A719">
        <v>20260801</v>
      </c>
      <c r="B719" t="s">
        <v>1138</v>
      </c>
      <c r="C719">
        <v>6300</v>
      </c>
      <c r="D719" t="s">
        <v>1131</v>
      </c>
      <c r="E719">
        <v>85000</v>
      </c>
      <c r="F719" t="s">
        <v>1499</v>
      </c>
      <c r="G719" t="s">
        <v>2132</v>
      </c>
      <c r="H719" t="s">
        <v>1501</v>
      </c>
    </row>
    <row r="720" spans="1:8" x14ac:dyDescent="0.35">
      <c r="A720">
        <v>20260801</v>
      </c>
      <c r="B720" t="s">
        <v>1138</v>
      </c>
      <c r="C720">
        <v>6420</v>
      </c>
      <c r="D720" t="s">
        <v>1131</v>
      </c>
      <c r="E720">
        <v>25000</v>
      </c>
      <c r="F720" t="s">
        <v>1502</v>
      </c>
      <c r="G720" t="s">
        <v>2133</v>
      </c>
      <c r="H720" t="s">
        <v>1504</v>
      </c>
    </row>
    <row r="721" spans="1:8" x14ac:dyDescent="0.35">
      <c r="A721">
        <v>20260801</v>
      </c>
      <c r="B721" t="s">
        <v>1138</v>
      </c>
      <c r="C721">
        <v>7130</v>
      </c>
      <c r="D721" t="s">
        <v>1131</v>
      </c>
      <c r="E721">
        <v>23711</v>
      </c>
      <c r="F721" t="s">
        <v>1505</v>
      </c>
      <c r="G721" t="s">
        <v>2134</v>
      </c>
      <c r="H721" t="s">
        <v>1507</v>
      </c>
    </row>
    <row r="722" spans="1:8" x14ac:dyDescent="0.35">
      <c r="A722">
        <v>20260801</v>
      </c>
      <c r="B722" t="s">
        <v>1138</v>
      </c>
      <c r="C722">
        <v>6050</v>
      </c>
      <c r="D722" t="s">
        <v>1139</v>
      </c>
      <c r="E722">
        <v>33333.33</v>
      </c>
      <c r="F722" t="s">
        <v>1743</v>
      </c>
      <c r="G722" t="s">
        <v>2135</v>
      </c>
      <c r="H722" t="s">
        <v>1745</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64748B"/>
  </sheetPr>
  <dimension ref="A1:W13"/>
  <sheetViews>
    <sheetView zoomScale="85" workbookViewId="0"/>
  </sheetViews>
  <sheetFormatPr defaultRowHeight="14.5" x14ac:dyDescent="0.35"/>
  <cols>
    <col min="1" max="1" width="11" customWidth="1"/>
    <col min="2" max="2" width="12" customWidth="1"/>
    <col min="3" max="3" width="20" customWidth="1"/>
    <col min="4" max="4" width="22" customWidth="1"/>
    <col min="5" max="6" width="17" customWidth="1"/>
    <col min="7" max="7" width="18" customWidth="1"/>
    <col min="8" max="8" width="21" customWidth="1"/>
    <col min="9" max="10" width="19" customWidth="1"/>
    <col min="11" max="11" width="20" customWidth="1"/>
    <col min="12" max="13" width="15" customWidth="1"/>
    <col min="14" max="14" width="16" customWidth="1"/>
    <col min="15" max="16" width="20" customWidth="1"/>
    <col min="17" max="19" width="15" customWidth="1"/>
    <col min="20" max="21" width="16" customWidth="1"/>
    <col min="22" max="23" width="15" customWidth="1"/>
  </cols>
  <sheetData>
    <row r="1" spans="1:23" ht="20" customHeight="1" x14ac:dyDescent="0.35">
      <c r="A1" s="2" t="s">
        <v>2136</v>
      </c>
      <c r="B1" s="2" t="s">
        <v>2137</v>
      </c>
      <c r="C1" s="2" t="s">
        <v>2138</v>
      </c>
      <c r="D1" s="2" t="s">
        <v>2139</v>
      </c>
      <c r="E1" s="2" t="s">
        <v>2140</v>
      </c>
      <c r="F1" s="2" t="s">
        <v>2141</v>
      </c>
      <c r="G1" s="2" t="s">
        <v>2142</v>
      </c>
      <c r="H1" s="2" t="s">
        <v>2143</v>
      </c>
      <c r="I1" s="2" t="s">
        <v>2144</v>
      </c>
      <c r="J1" s="2" t="s">
        <v>2145</v>
      </c>
      <c r="K1" s="2" t="s">
        <v>2146</v>
      </c>
      <c r="L1" s="2" t="s">
        <v>2147</v>
      </c>
      <c r="M1" s="2" t="s">
        <v>2148</v>
      </c>
      <c r="N1" s="2" t="s">
        <v>2149</v>
      </c>
      <c r="O1" s="2" t="s">
        <v>2150</v>
      </c>
      <c r="P1" s="2" t="s">
        <v>2151</v>
      </c>
      <c r="Q1" s="2" t="s">
        <v>2152</v>
      </c>
      <c r="R1" s="2" t="s">
        <v>2153</v>
      </c>
      <c r="S1" s="2" t="s">
        <v>2154</v>
      </c>
      <c r="T1" s="2" t="s">
        <v>2155</v>
      </c>
      <c r="U1" s="2" t="s">
        <v>2156</v>
      </c>
      <c r="V1" s="2" t="s">
        <v>2157</v>
      </c>
      <c r="W1" s="2" t="s">
        <v>2158</v>
      </c>
    </row>
    <row r="2" spans="1:23" x14ac:dyDescent="0.35">
      <c r="A2">
        <v>1</v>
      </c>
      <c r="B2" t="s">
        <v>208</v>
      </c>
      <c r="C2" t="s">
        <v>2159</v>
      </c>
      <c r="D2" t="s">
        <v>2160</v>
      </c>
      <c r="E2" t="s">
        <v>2161</v>
      </c>
      <c r="F2" t="s">
        <v>2162</v>
      </c>
      <c r="G2" t="s">
        <v>2163</v>
      </c>
      <c r="H2" t="s">
        <v>2164</v>
      </c>
      <c r="I2" t="s">
        <v>2165</v>
      </c>
      <c r="J2" t="s">
        <v>2166</v>
      </c>
      <c r="K2" t="s">
        <v>2167</v>
      </c>
      <c r="L2" t="s">
        <v>2168</v>
      </c>
      <c r="M2" t="s">
        <v>2167</v>
      </c>
      <c r="N2" t="s">
        <v>2169</v>
      </c>
      <c r="O2" t="s">
        <v>2168</v>
      </c>
      <c r="P2" t="s">
        <v>2167</v>
      </c>
      <c r="Q2" t="s">
        <v>2165</v>
      </c>
      <c r="R2" t="s">
        <v>2166</v>
      </c>
      <c r="S2" t="s">
        <v>2167</v>
      </c>
      <c r="T2" t="s">
        <v>2170</v>
      </c>
      <c r="U2" t="s">
        <v>2171</v>
      </c>
      <c r="V2" t="s">
        <v>2172</v>
      </c>
      <c r="W2" t="s">
        <v>2173</v>
      </c>
    </row>
    <row r="3" spans="1:23" x14ac:dyDescent="0.35">
      <c r="A3">
        <v>2</v>
      </c>
      <c r="B3" t="s">
        <v>209</v>
      </c>
      <c r="C3" t="s">
        <v>2159</v>
      </c>
      <c r="D3" t="s">
        <v>2174</v>
      </c>
      <c r="E3" t="s">
        <v>2175</v>
      </c>
      <c r="F3" t="s">
        <v>2176</v>
      </c>
      <c r="G3" t="s">
        <v>2177</v>
      </c>
      <c r="H3" t="s">
        <v>2178</v>
      </c>
      <c r="I3" t="s">
        <v>2179</v>
      </c>
      <c r="J3" t="s">
        <v>2180</v>
      </c>
      <c r="K3" t="s">
        <v>2167</v>
      </c>
      <c r="L3" t="s">
        <v>2181</v>
      </c>
      <c r="M3" t="s">
        <v>2167</v>
      </c>
      <c r="N3" t="s">
        <v>2182</v>
      </c>
      <c r="O3" t="s">
        <v>2183</v>
      </c>
      <c r="P3" t="s">
        <v>2184</v>
      </c>
      <c r="Q3" t="s">
        <v>2185</v>
      </c>
      <c r="R3" t="s">
        <v>2186</v>
      </c>
      <c r="S3" t="s">
        <v>2184</v>
      </c>
      <c r="T3" t="s">
        <v>2187</v>
      </c>
      <c r="U3" t="s">
        <v>2188</v>
      </c>
      <c r="V3" t="s">
        <v>2189</v>
      </c>
      <c r="W3" t="s">
        <v>2190</v>
      </c>
    </row>
    <row r="4" spans="1:23" x14ac:dyDescent="0.35">
      <c r="A4">
        <v>3</v>
      </c>
      <c r="B4" t="s">
        <v>210</v>
      </c>
      <c r="C4" t="s">
        <v>2159</v>
      </c>
      <c r="D4" t="s">
        <v>2191</v>
      </c>
      <c r="E4" t="s">
        <v>2192</v>
      </c>
      <c r="F4" t="s">
        <v>2193</v>
      </c>
      <c r="G4" t="s">
        <v>2194</v>
      </c>
      <c r="H4" t="s">
        <v>2195</v>
      </c>
      <c r="I4" t="s">
        <v>2196</v>
      </c>
      <c r="J4" t="s">
        <v>2197</v>
      </c>
      <c r="K4" t="s">
        <v>2165</v>
      </c>
      <c r="L4" t="s">
        <v>2198</v>
      </c>
      <c r="M4" t="s">
        <v>2165</v>
      </c>
      <c r="N4" t="s">
        <v>2199</v>
      </c>
      <c r="O4" t="s">
        <v>2200</v>
      </c>
      <c r="P4" t="s">
        <v>2201</v>
      </c>
      <c r="Q4" t="s">
        <v>2202</v>
      </c>
      <c r="R4" t="s">
        <v>2203</v>
      </c>
      <c r="S4" t="s">
        <v>2201</v>
      </c>
      <c r="T4" t="s">
        <v>2187</v>
      </c>
      <c r="U4" t="s">
        <v>2204</v>
      </c>
      <c r="V4" t="s">
        <v>2205</v>
      </c>
      <c r="W4" t="s">
        <v>2206</v>
      </c>
    </row>
    <row r="5" spans="1:23" x14ac:dyDescent="0.35">
      <c r="A5">
        <v>4</v>
      </c>
      <c r="B5" t="s">
        <v>211</v>
      </c>
      <c r="C5" t="s">
        <v>2159</v>
      </c>
      <c r="D5" t="s">
        <v>2164</v>
      </c>
      <c r="E5" t="s">
        <v>2207</v>
      </c>
      <c r="F5" t="s">
        <v>2208</v>
      </c>
      <c r="G5" t="s">
        <v>2209</v>
      </c>
      <c r="H5" t="s">
        <v>2210</v>
      </c>
      <c r="I5" t="s">
        <v>2211</v>
      </c>
      <c r="J5" t="s">
        <v>2212</v>
      </c>
      <c r="K5" t="s">
        <v>2181</v>
      </c>
      <c r="L5" t="s">
        <v>2213</v>
      </c>
      <c r="M5" t="s">
        <v>2181</v>
      </c>
      <c r="N5" t="s">
        <v>2214</v>
      </c>
      <c r="O5" t="s">
        <v>2215</v>
      </c>
      <c r="P5" t="s">
        <v>2216</v>
      </c>
      <c r="Q5" t="s">
        <v>2217</v>
      </c>
      <c r="R5" t="s">
        <v>2218</v>
      </c>
      <c r="S5" t="s">
        <v>2216</v>
      </c>
      <c r="T5" t="s">
        <v>2219</v>
      </c>
      <c r="U5" t="s">
        <v>166</v>
      </c>
      <c r="V5" t="s">
        <v>2220</v>
      </c>
      <c r="W5" t="s">
        <v>2221</v>
      </c>
    </row>
    <row r="6" spans="1:23" x14ac:dyDescent="0.35">
      <c r="A6">
        <v>5</v>
      </c>
      <c r="B6" t="s">
        <v>212</v>
      </c>
      <c r="C6" t="s">
        <v>2222</v>
      </c>
      <c r="D6" t="s">
        <v>2223</v>
      </c>
      <c r="E6" t="s">
        <v>2224</v>
      </c>
      <c r="F6" t="s">
        <v>2225</v>
      </c>
      <c r="G6" t="s">
        <v>2226</v>
      </c>
      <c r="H6" t="s">
        <v>2227</v>
      </c>
      <c r="I6" t="s">
        <v>2228</v>
      </c>
      <c r="J6" t="s">
        <v>2229</v>
      </c>
      <c r="K6" t="s">
        <v>2230</v>
      </c>
      <c r="L6" t="s">
        <v>2231</v>
      </c>
      <c r="M6" t="s">
        <v>2230</v>
      </c>
      <c r="N6" t="s">
        <v>2232</v>
      </c>
      <c r="O6" t="s">
        <v>2233</v>
      </c>
      <c r="P6" t="s">
        <v>2234</v>
      </c>
      <c r="Q6" t="s">
        <v>2235</v>
      </c>
      <c r="R6" t="s">
        <v>2236</v>
      </c>
      <c r="S6" t="s">
        <v>2234</v>
      </c>
      <c r="T6" t="s">
        <v>2187</v>
      </c>
      <c r="U6" t="s">
        <v>2204</v>
      </c>
      <c r="V6" t="s">
        <v>2237</v>
      </c>
      <c r="W6" t="s">
        <v>2238</v>
      </c>
    </row>
    <row r="7" spans="1:23" x14ac:dyDescent="0.35">
      <c r="A7">
        <v>6</v>
      </c>
      <c r="B7" t="s">
        <v>213</v>
      </c>
      <c r="C7" t="s">
        <v>2222</v>
      </c>
      <c r="D7" t="s">
        <v>2239</v>
      </c>
      <c r="E7" t="s">
        <v>2240</v>
      </c>
      <c r="F7" t="s">
        <v>2241</v>
      </c>
      <c r="G7" t="s">
        <v>2242</v>
      </c>
      <c r="H7" t="s">
        <v>2243</v>
      </c>
      <c r="I7" t="s">
        <v>2244</v>
      </c>
      <c r="J7" t="s">
        <v>2245</v>
      </c>
      <c r="K7" t="s">
        <v>2246</v>
      </c>
      <c r="L7" t="s">
        <v>2247</v>
      </c>
      <c r="M7" t="s">
        <v>2246</v>
      </c>
      <c r="N7" t="s">
        <v>2248</v>
      </c>
      <c r="O7" t="s">
        <v>2249</v>
      </c>
      <c r="P7" t="s">
        <v>2250</v>
      </c>
      <c r="Q7" t="s">
        <v>2251</v>
      </c>
      <c r="R7" t="s">
        <v>2252</v>
      </c>
      <c r="S7" t="s">
        <v>2250</v>
      </c>
      <c r="T7" t="s">
        <v>2253</v>
      </c>
      <c r="U7" t="s">
        <v>2204</v>
      </c>
      <c r="V7" t="s">
        <v>2254</v>
      </c>
      <c r="W7" t="s">
        <v>2255</v>
      </c>
    </row>
    <row r="8" spans="1:23" x14ac:dyDescent="0.35">
      <c r="A8">
        <v>7</v>
      </c>
      <c r="B8" t="s">
        <v>214</v>
      </c>
      <c r="C8" t="s">
        <v>2159</v>
      </c>
      <c r="D8" t="s">
        <v>2192</v>
      </c>
      <c r="E8" t="s">
        <v>2256</v>
      </c>
      <c r="F8" t="s">
        <v>2257</v>
      </c>
      <c r="G8" t="s">
        <v>2258</v>
      </c>
      <c r="H8" t="s">
        <v>2259</v>
      </c>
      <c r="I8" t="s">
        <v>2260</v>
      </c>
      <c r="J8" t="s">
        <v>2261</v>
      </c>
      <c r="K8" t="s">
        <v>2262</v>
      </c>
      <c r="L8" t="s">
        <v>2263</v>
      </c>
      <c r="M8" t="s">
        <v>2262</v>
      </c>
      <c r="N8" t="s">
        <v>2264</v>
      </c>
      <c r="O8" t="s">
        <v>2265</v>
      </c>
      <c r="P8" t="s">
        <v>2266</v>
      </c>
      <c r="Q8" t="s">
        <v>2267</v>
      </c>
      <c r="R8" t="s">
        <v>2268</v>
      </c>
      <c r="S8" t="s">
        <v>2266</v>
      </c>
      <c r="T8" t="s">
        <v>2269</v>
      </c>
      <c r="U8" t="s">
        <v>2204</v>
      </c>
      <c r="V8" t="s">
        <v>2270</v>
      </c>
      <c r="W8" t="s">
        <v>2271</v>
      </c>
    </row>
    <row r="9" spans="1:23" x14ac:dyDescent="0.35">
      <c r="A9">
        <v>8</v>
      </c>
      <c r="B9" t="s">
        <v>215</v>
      </c>
      <c r="C9" t="s">
        <v>2159</v>
      </c>
      <c r="D9" t="s">
        <v>2272</v>
      </c>
      <c r="E9" t="s">
        <v>2273</v>
      </c>
      <c r="F9" t="s">
        <v>2176</v>
      </c>
      <c r="G9" t="s">
        <v>2274</v>
      </c>
      <c r="H9" t="s">
        <v>2227</v>
      </c>
      <c r="I9" t="s">
        <v>2275</v>
      </c>
      <c r="J9" t="s">
        <v>2276</v>
      </c>
      <c r="K9" t="s">
        <v>2197</v>
      </c>
      <c r="L9" t="s">
        <v>2277</v>
      </c>
      <c r="M9" t="s">
        <v>2197</v>
      </c>
      <c r="N9" t="s">
        <v>2278</v>
      </c>
      <c r="O9" t="s">
        <v>2279</v>
      </c>
      <c r="P9" t="s">
        <v>2280</v>
      </c>
      <c r="Q9" t="s">
        <v>2281</v>
      </c>
      <c r="R9" t="s">
        <v>2282</v>
      </c>
      <c r="S9" t="s">
        <v>2280</v>
      </c>
      <c r="T9" t="s">
        <v>2283</v>
      </c>
      <c r="U9" t="s">
        <v>2204</v>
      </c>
      <c r="V9" t="s">
        <v>2284</v>
      </c>
      <c r="W9" t="s">
        <v>2285</v>
      </c>
    </row>
    <row r="10" spans="1:23" x14ac:dyDescent="0.35">
      <c r="A10">
        <v>9</v>
      </c>
      <c r="B10" t="s">
        <v>216</v>
      </c>
      <c r="C10" t="s">
        <v>2222</v>
      </c>
      <c r="D10" t="s">
        <v>2286</v>
      </c>
      <c r="E10" t="s">
        <v>2287</v>
      </c>
      <c r="F10" t="s">
        <v>2225</v>
      </c>
      <c r="G10" t="s">
        <v>2288</v>
      </c>
      <c r="H10" t="s">
        <v>2289</v>
      </c>
      <c r="I10" t="s">
        <v>2290</v>
      </c>
      <c r="J10" t="s">
        <v>2179</v>
      </c>
      <c r="K10" t="s">
        <v>2291</v>
      </c>
      <c r="L10" t="s">
        <v>2292</v>
      </c>
      <c r="M10" t="s">
        <v>2291</v>
      </c>
      <c r="N10" t="s">
        <v>2172</v>
      </c>
      <c r="O10" t="s">
        <v>2293</v>
      </c>
      <c r="P10" t="s">
        <v>2294</v>
      </c>
      <c r="Q10" t="s">
        <v>2295</v>
      </c>
      <c r="R10" t="s">
        <v>2296</v>
      </c>
      <c r="S10" t="s">
        <v>2294</v>
      </c>
      <c r="T10" t="s">
        <v>2297</v>
      </c>
      <c r="U10" t="s">
        <v>166</v>
      </c>
      <c r="V10" t="s">
        <v>2298</v>
      </c>
      <c r="W10" t="s">
        <v>2299</v>
      </c>
    </row>
    <row r="11" spans="1:23" x14ac:dyDescent="0.35">
      <c r="A11">
        <v>10</v>
      </c>
      <c r="B11" t="s">
        <v>217</v>
      </c>
      <c r="C11" t="s">
        <v>2159</v>
      </c>
      <c r="D11" t="s">
        <v>2300</v>
      </c>
      <c r="E11" t="s">
        <v>2224</v>
      </c>
      <c r="F11" t="s">
        <v>2301</v>
      </c>
      <c r="G11" t="s">
        <v>2288</v>
      </c>
      <c r="H11" t="s">
        <v>2243</v>
      </c>
      <c r="I11" t="s">
        <v>2290</v>
      </c>
      <c r="J11" t="s">
        <v>2302</v>
      </c>
      <c r="K11" t="s">
        <v>2303</v>
      </c>
      <c r="L11" t="s">
        <v>2304</v>
      </c>
      <c r="M11" t="s">
        <v>2303</v>
      </c>
      <c r="N11" t="s">
        <v>2305</v>
      </c>
      <c r="O11" t="s">
        <v>2306</v>
      </c>
      <c r="P11" t="s">
        <v>2307</v>
      </c>
      <c r="Q11" t="s">
        <v>2308</v>
      </c>
      <c r="R11" t="s">
        <v>2309</v>
      </c>
      <c r="S11" t="s">
        <v>2307</v>
      </c>
      <c r="T11" t="s">
        <v>2310</v>
      </c>
      <c r="U11" t="s">
        <v>166</v>
      </c>
      <c r="V11" t="s">
        <v>2255</v>
      </c>
      <c r="W11" t="s">
        <v>2311</v>
      </c>
    </row>
    <row r="12" spans="1:23" x14ac:dyDescent="0.35">
      <c r="A12">
        <v>11</v>
      </c>
      <c r="B12" t="s">
        <v>218</v>
      </c>
      <c r="C12" t="s">
        <v>2159</v>
      </c>
      <c r="D12" t="s">
        <v>2312</v>
      </c>
      <c r="E12" t="s">
        <v>2313</v>
      </c>
      <c r="F12" t="s">
        <v>2193</v>
      </c>
      <c r="G12" t="s">
        <v>2314</v>
      </c>
      <c r="H12" t="s">
        <v>2243</v>
      </c>
      <c r="I12" t="s">
        <v>2315</v>
      </c>
      <c r="J12" t="s">
        <v>2316</v>
      </c>
      <c r="K12" t="s">
        <v>2317</v>
      </c>
      <c r="L12" t="s">
        <v>2318</v>
      </c>
      <c r="M12" t="s">
        <v>2317</v>
      </c>
      <c r="N12" t="s">
        <v>2319</v>
      </c>
      <c r="O12" t="s">
        <v>2320</v>
      </c>
      <c r="P12" t="s">
        <v>2321</v>
      </c>
      <c r="Q12" t="s">
        <v>2322</v>
      </c>
      <c r="R12" t="s">
        <v>2323</v>
      </c>
      <c r="S12" t="s">
        <v>2321</v>
      </c>
      <c r="T12" t="s">
        <v>162</v>
      </c>
      <c r="U12" t="s">
        <v>166</v>
      </c>
      <c r="V12" t="s">
        <v>2324</v>
      </c>
      <c r="W12" t="s">
        <v>2325</v>
      </c>
    </row>
    <row r="13" spans="1:23" x14ac:dyDescent="0.35">
      <c r="A13">
        <v>12</v>
      </c>
      <c r="B13" t="s">
        <v>219</v>
      </c>
      <c r="C13" t="s">
        <v>2222</v>
      </c>
      <c r="D13" t="s">
        <v>2223</v>
      </c>
      <c r="E13" t="s">
        <v>2326</v>
      </c>
      <c r="F13" t="s">
        <v>2327</v>
      </c>
      <c r="G13" t="s">
        <v>2328</v>
      </c>
      <c r="H13" t="s">
        <v>2210</v>
      </c>
      <c r="I13" t="s">
        <v>2229</v>
      </c>
      <c r="J13" t="s">
        <v>2329</v>
      </c>
      <c r="K13" t="s">
        <v>2330</v>
      </c>
      <c r="L13" t="s">
        <v>2331</v>
      </c>
      <c r="M13" t="s">
        <v>2330</v>
      </c>
      <c r="N13" t="s">
        <v>2332</v>
      </c>
      <c r="O13" t="s">
        <v>2333</v>
      </c>
      <c r="P13" t="s">
        <v>2334</v>
      </c>
      <c r="Q13" t="s">
        <v>2335</v>
      </c>
      <c r="R13" t="s">
        <v>2321</v>
      </c>
      <c r="S13" t="s">
        <v>2334</v>
      </c>
      <c r="T13" t="s">
        <v>2336</v>
      </c>
      <c r="U13" t="s">
        <v>2337</v>
      </c>
      <c r="V13" t="s">
        <v>2338</v>
      </c>
      <c r="W13" t="s">
        <v>2339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00_Forside_Navigasjon</vt:lpstr>
      <vt:lpstr>00_Aarsrapport_Forside_EVM</vt:lpstr>
      <vt:lpstr>01_Instituttleder</vt:lpstr>
      <vt:lpstr>02_Dekan</vt:lpstr>
      <vt:lpstr>03_Executive</vt:lpstr>
      <vt:lpstr>04_Styret</vt:lpstr>
      <vt:lpstr>05_Forskning_BOA</vt:lpstr>
      <vt:lpstr>06_Studieportefolje</vt:lpstr>
      <vt:lpstr>07_Action_Tracker</vt:lpstr>
      <vt:lpstr>08_Controller_Cockpit</vt:lpstr>
      <vt:lpstr>09_Begrepskatalog</vt:lpstr>
      <vt:lpstr>UC_Statlige_Use_Cases</vt:lpstr>
      <vt:lpstr>LP_Laereplaner_KD2025</vt:lpstr>
      <vt:lpstr>DT_Okonomi</vt:lpstr>
      <vt:lpstr>DT_Bemanning</vt:lpstr>
      <vt:lpstr>DT_Prosjekt_EVM</vt:lpstr>
      <vt:lpstr>DT_Tiltakskort</vt:lpstr>
      <vt:lpstr>DT_Studieaktivitet</vt:lpstr>
      <vt:lpstr>DimGlossary</vt:lpstr>
      <vt:lpstr>DimAccount</vt:lpstr>
      <vt:lpstr>DimOrganization</vt:lpstr>
      <vt:lpstr>DimProject</vt:lpstr>
      <vt:lpstr>FactProjectBOA</vt:lpstr>
      <vt:lpstr>FactBudget</vt:lpstr>
      <vt:lpstr>FactForecast</vt:lpstr>
      <vt:lpstr>FactFTE</vt:lpstr>
      <vt:lpstr>FactStudyPoints</vt:lpstr>
      <vt:lpstr>FactAction</vt:lpstr>
      <vt:lpstr>FactGL</vt:lpstr>
      <vt:lpstr>FactYearlyReconciliation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Frank Ellingsen</cp:lastModifiedBy>
  <dcterms:created xsi:type="dcterms:W3CDTF">2026-09-25T16:43:25Z</dcterms:created>
  <dcterms:modified xsi:type="dcterms:W3CDTF">2026-09-25T18:43:00Z</dcterms:modified>
</cp:coreProperties>
</file>