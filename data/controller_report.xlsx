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rank\Desktop\UIA\uia_powerbi_complete_forecast_model\data\"/>
    </mc:Choice>
  </mc:AlternateContent>
  <xr:revisionPtr revIDLastSave="0" documentId="13_ncr:1_{7E67E38B-CEB3-46D9-B292-8F4494FCE517}" xr6:coauthVersionLast="47" xr6:coauthVersionMax="47" xr10:uidLastSave="{00000000-0000-0000-0000-000000000000}"/>
  <bookViews>
    <workbookView xWindow="-120" yWindow="-16320" windowWidth="29040" windowHeight="15720" xr2:uid="{C0C976D0-5809-4079-81FE-745011B59C23}"/>
  </bookViews>
  <sheets>
    <sheet name="2026 Budget Cover" sheetId="11" r:id="rId1"/>
    <sheet name="Controller Cockpit" sheetId="2" r:id="rId2"/>
    <sheet name="Finance" sheetId="3" r:id="rId3"/>
    <sheet name="Forecast" sheetId="4" r:id="rId4"/>
    <sheet name="Workforce &amp; Study" sheetId="5" r:id="rId5"/>
    <sheet name="BOA Projects" sheetId="6" r:id="rId6"/>
    <sheet name="Actions" sheetId="7" r:id="rId7"/>
    <sheet name="Yearly Reconciliation" sheetId="8" r:id="rId8"/>
    <sheet name="Glossary" sheetId="9" r:id="rId9"/>
    <sheet name="Data Model"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2" i="11" l="1"/>
  <c r="F26" i="11"/>
  <c r="F25" i="11"/>
  <c r="F24" i="11"/>
  <c r="F23" i="11"/>
  <c r="F22" i="11"/>
  <c r="K16" i="11"/>
  <c r="F16" i="11"/>
  <c r="A16" i="11"/>
  <c r="K11" i="11"/>
  <c r="F11" i="11"/>
  <c r="A11" i="11"/>
  <c r="K6" i="11"/>
  <c r="F6" i="11"/>
  <c r="A6" i="11"/>
  <c r="M6" i="2"/>
  <c r="I6" i="2"/>
  <c r="E6" i="2"/>
  <c r="A6" i="2"/>
</calcChain>
</file>

<file path=xl/sharedStrings.xml><?xml version="1.0" encoding="utf-8"?>
<sst xmlns="http://schemas.openxmlformats.org/spreadsheetml/2006/main" count="1028" uniqueCount="677">
  <si>
    <t>CONTROLLER COCKPIT</t>
  </si>
  <si>
    <t>UiA management reporting | complete controller view</t>
  </si>
  <si>
    <t>FINANCE | Budget vs actual</t>
  </si>
  <si>
    <t>YTD through August 2026 | NOK | income shown positive, costs positive</t>
  </si>
  <si>
    <t>Month</t>
  </si>
  <si>
    <t>Actual income</t>
  </si>
  <si>
    <t>Actual cost</t>
  </si>
  <si>
    <t>Actual result</t>
  </si>
  <si>
    <t>Budget income</t>
  </si>
  <si>
    <t>Budget cost</t>
  </si>
  <si>
    <t>Budget result</t>
  </si>
  <si>
    <t>LE income</t>
  </si>
  <si>
    <t>LE cost</t>
  </si>
  <si>
    <t>LE result</t>
  </si>
  <si>
    <t>Variance vs budget</t>
  </si>
  <si>
    <t>2026-01</t>
  </si>
  <si>
    <t>2026-02</t>
  </si>
  <si>
    <t>2026-03</t>
  </si>
  <si>
    <t>2026-04</t>
  </si>
  <si>
    <t>2026-05</t>
  </si>
  <si>
    <t>2026-06</t>
  </si>
  <si>
    <t>2026-07</t>
  </si>
  <si>
    <t>2026-08</t>
  </si>
  <si>
    <t>Faculty</t>
  </si>
  <si>
    <t>Variance</t>
  </si>
  <si>
    <t>Fakultet for humaniora og pedagogikk</t>
  </si>
  <si>
    <t>Fakultet for helse- og idrettsvitenskap</t>
  </si>
  <si>
    <t>Handelshøyskolen UiA</t>
  </si>
  <si>
    <t>Fellesadministrasjon UiA</t>
  </si>
  <si>
    <t>Fakultet for samfunnsvitenskap</t>
  </si>
  <si>
    <t>Fakultet for teknologi og realfag</t>
  </si>
  <si>
    <t>Account</t>
  </si>
  <si>
    <t>Account name</t>
  </si>
  <si>
    <t>Tilskudd fra Norges forskningsråd (SRS 10)</t>
  </si>
  <si>
    <t>Tilskudd fra EU Horisont Europa (SRS 10)</t>
  </si>
  <si>
    <t>Oppdragsinntekt fra næringsliv (SRS 9)</t>
  </si>
  <si>
    <t>Lønn fast ansatte</t>
  </si>
  <si>
    <t>Overtid fast ansatte</t>
  </si>
  <si>
    <t>Lønn midlertidig ansatte</t>
  </si>
  <si>
    <t>Arbeidsgiveravgift</t>
  </si>
  <si>
    <t>Pensjonspremie til SPK</t>
  </si>
  <si>
    <t>Refusjon av sykepenger</t>
  </si>
  <si>
    <t>Ordinære avskrivninger IKT og utstyr (SRS 17)</t>
  </si>
  <si>
    <t>Leie lokaler</t>
  </si>
  <si>
    <t>Leie av datasystemer og lisenser</t>
  </si>
  <si>
    <t>Konsulenttjenester programvare/IKT (FOA)</t>
  </si>
  <si>
    <t>Kontorrekvisita og labutstyr &lt;50k</t>
  </si>
  <si>
    <t>Reisekostnader</t>
  </si>
  <si>
    <t>Avsetning for tap på oppdragskontrakter (SRS 9)</t>
  </si>
  <si>
    <t>DATA QUALITY NOTE: FactGL contains no actual entries for account 3900 (state appropriation), while BUD2026 includes NOK 52.0m. The large negative YTD result is therefore source-driven and should not be interpreted as a final financial position until actual appropriation postings are supplied.</t>
  </si>
  <si>
    <t>FORECAST &amp; LONG-TERM OUTLOOK</t>
  </si>
  <si>
    <t>Scenario comparison from FactBudget and monthly forecast versions from FactForecast</t>
  </si>
  <si>
    <t>Version</t>
  </si>
  <si>
    <t>Description</t>
  </si>
  <si>
    <t>Order</t>
  </si>
  <si>
    <t>Income</t>
  </si>
  <si>
    <t>Cost</t>
  </si>
  <si>
    <t>Result</t>
  </si>
  <si>
    <t>BUD2026</t>
  </si>
  <si>
    <t>Vedtatt årsbudsjett 2026</t>
  </si>
  <si>
    <t>FC1_2026</t>
  </si>
  <si>
    <t>Forecast 1 (etter T1 per april)</t>
  </si>
  <si>
    <t>FC2_2026</t>
  </si>
  <si>
    <t>Forecast 2 (etter T2 per august)</t>
  </si>
  <si>
    <t>LE_2026</t>
  </si>
  <si>
    <t>Latest Estimate (Q4 årsavslutning)</t>
  </si>
  <si>
    <t>PROG2027</t>
  </si>
  <si>
    <t>Langtidsprognose 2027</t>
  </si>
  <si>
    <t>PROG2028</t>
  </si>
  <si>
    <t>Langtidsprognose 2028</t>
  </si>
  <si>
    <t>PROG2029</t>
  </si>
  <si>
    <t>Langtidsprognose 2029</t>
  </si>
  <si>
    <t>FC1 result</t>
  </si>
  <si>
    <t>FC2 result</t>
  </si>
  <si>
    <t>Latest estimate result</t>
  </si>
  <si>
    <t>Reporting cutoff: August 2026 | Latest estimate: LE_2026 | 6,099 source rows</t>
  </si>
  <si>
    <t>YTD ACTUAL RESULT</t>
  </si>
  <si>
    <t>YTD VARIANCE VS BUDGET</t>
  </si>
  <si>
    <t>LATEST ESTIMATE RESULT</t>
  </si>
  <si>
    <t>LE VS BUDGET</t>
  </si>
  <si>
    <t>OPERATING SNAPSHOT | August 2026</t>
  </si>
  <si>
    <t>Actual FTE</t>
  </si>
  <si>
    <t>Academic FTE</t>
  </si>
  <si>
    <t>Students</t>
  </si>
  <si>
    <t>Pass rate</t>
  </si>
  <si>
    <t>Open actions</t>
  </si>
  <si>
    <t>CONTROL ALERT: Actual income is incomplete relative to budget because account 3900 is absent from FactGL. Use the operational KPIs and detailed expense variances, but validate appropriation postings before relying on the reported YTD bottom line.</t>
  </si>
  <si>
    <t>WORKFORCE &amp; STUDY</t>
  </si>
  <si>
    <t>FTE trends and August 2026 study-production snapshot</t>
  </si>
  <si>
    <t>Actual academic FTE</t>
  </si>
  <si>
    <t>Budget FTE</t>
  </si>
  <si>
    <t>Budget academic FTE</t>
  </si>
  <si>
    <t>FC2 FTE</t>
  </si>
  <si>
    <t>FC2 academic FTE</t>
  </si>
  <si>
    <t>Planned points</t>
  </si>
  <si>
    <t>Completed points</t>
  </si>
  <si>
    <t>SPE60</t>
  </si>
  <si>
    <t>Completion rate</t>
  </si>
  <si>
    <t>Calculated income</t>
  </si>
  <si>
    <t>Program</t>
  </si>
  <si>
    <t>Program name</t>
  </si>
  <si>
    <t>I004BA</t>
  </si>
  <si>
    <t>Bachelor i sykepleie</t>
  </si>
  <si>
    <t>I016BA</t>
  </si>
  <si>
    <t>Bachelor i mekatronikk og ingeniørfag</t>
  </si>
  <si>
    <t>I001BA</t>
  </si>
  <si>
    <t>Bachelor i økonomi og administrasjon</t>
  </si>
  <si>
    <t>I007BA</t>
  </si>
  <si>
    <t>Bachelor i pedagogikk</t>
  </si>
  <si>
    <t>I013BA</t>
  </si>
  <si>
    <t>Bachelor i statsvitenskap og sosiologi</t>
  </si>
  <si>
    <t>I004MA</t>
  </si>
  <si>
    <t>Master i avansert klinisk sykepleie</t>
  </si>
  <si>
    <t>I014MA</t>
  </si>
  <si>
    <t>Profesjonsstudiet i psykologi (RETHOS)</t>
  </si>
  <si>
    <t>I016MA</t>
  </si>
  <si>
    <t>Master i cybernetics og robotikk</t>
  </si>
  <si>
    <t>I001MA</t>
  </si>
  <si>
    <t>Master i industriell økonomi</t>
  </si>
  <si>
    <t>BOA PROJECT CONTROL</t>
  </si>
  <si>
    <t>All externally funded projects | budget, progress and RAG status</t>
  </si>
  <si>
    <t>Prosjekt</t>
  </si>
  <si>
    <t>Prosjektnavn</t>
  </si>
  <si>
    <t>Finansieringstype</t>
  </si>
  <si>
    <t>Finansieringskilde</t>
  </si>
  <si>
    <t>Kontraktsbelop</t>
  </si>
  <si>
    <t>Budsjett</t>
  </si>
  <si>
    <t>Frikjop</t>
  </si>
  <si>
    <t>DirekteDrift</t>
  </si>
  <si>
    <t>Overhead</t>
  </si>
  <si>
    <t>Leiested</t>
  </si>
  <si>
    <t>PåløptKostnad</t>
  </si>
  <si>
    <t>Inntektsført</t>
  </si>
  <si>
    <t>Dekningsgrad</t>
  </si>
  <si>
    <t>%TidGått</t>
  </si>
  <si>
    <t>%BudsjettForbrukt</t>
  </si>
  <si>
    <t>Forbruksavvik</t>
  </si>
  <si>
    <t>RAG_Status</t>
  </si>
  <si>
    <t>StatusMerknad</t>
  </si>
  <si>
    <t>NFR001</t>
  </si>
  <si>
    <t>NFR-AI: Kunstig intelligens i styring</t>
  </si>
  <si>
    <t>Bidrag</t>
  </si>
  <si>
    <t>NFR</t>
  </si>
  <si>
    <t>GUL: Betydelig fremdriftsforsinkelse</t>
  </si>
  <si>
    <t>Forsinket stipendiatrekruttering og lav fremdrift. Tiltak T003 iverksatt.</t>
  </si>
  <si>
    <t>NFR002</t>
  </si>
  <si>
    <t>NFR-Helse: Pasientsikkerhet i helsefag</t>
  </si>
  <si>
    <t>GRØNN: I rute</t>
  </si>
  <si>
    <t>I rute iht. prosjektplan og milepæler.</t>
  </si>
  <si>
    <t>EU001</t>
  </si>
  <si>
    <t>EU Horizon: Green Maritime Tech</t>
  </si>
  <si>
    <t>EU</t>
  </si>
  <si>
    <t>Green Maritime Tech i rute for Horizon Europe.</t>
  </si>
  <si>
    <t>EU002</t>
  </si>
  <si>
    <t>EU Horizon: Digital Governance</t>
  </si>
  <si>
    <t>Digital Governance i rute for Horizon Europe.</t>
  </si>
  <si>
    <t>EVU001</t>
  </si>
  <si>
    <t>EVU Videreutdanning for kommuner</t>
  </si>
  <si>
    <t>Oppdrag</t>
  </si>
  <si>
    <t>Ekstern</t>
  </si>
  <si>
    <t>RØD: Betydelig merforbruk</t>
  </si>
  <si>
    <t>Konsulentmerforbruk og tapsrisiko (SRS 9). Tapsavsetning konto 7790/2800. Tiltak T004.</t>
  </si>
  <si>
    <t>OPPDRAG01</t>
  </si>
  <si>
    <t>Oppdragsforskning Batteriteknologi</t>
  </si>
  <si>
    <t>Næringsliv</t>
  </si>
  <si>
    <t>Batteriteknologi oppdrag i henhold til leveranseplan.</t>
  </si>
  <si>
    <t>ACTION TRACKER</t>
  </si>
  <si>
    <t>All control actions, ownership, deadlines and benefit realization</t>
  </si>
  <si>
    <t>TiltakID</t>
  </si>
  <si>
    <t>Organisasjonsnokkel</t>
  </si>
  <si>
    <t>Konto</t>
  </si>
  <si>
    <t>Avviksarsak</t>
  </si>
  <si>
    <t>Tiltaksbeskrivelse</t>
  </si>
  <si>
    <t>AnsvarligRolle</t>
  </si>
  <si>
    <t>StartDatoNokkel</t>
  </si>
  <si>
    <t>FristDatoNokkel</t>
  </si>
  <si>
    <t>ForventetEffekt</t>
  </si>
  <si>
    <t>RealisertEffekt</t>
  </si>
  <si>
    <t>Status</t>
  </si>
  <si>
    <t>Prioritet</t>
  </si>
  <si>
    <t>Sannsynlighet</t>
  </si>
  <si>
    <t>UseCasesRef</t>
  </si>
  <si>
    <t>T001</t>
  </si>
  <si>
    <t>I013K1</t>
  </si>
  <si>
    <t>DRIFT</t>
  </si>
  <si>
    <t>Fallende studenttall og lavere ECTS-inntekt</t>
  </si>
  <si>
    <t>Ansettelsesstopp og vakansestyring ved I013</t>
  </si>
  <si>
    <t>Dekan / Instituttleder</t>
  </si>
  <si>
    <t>Pågår</t>
  </si>
  <si>
    <t>Høy</t>
  </si>
  <si>
    <t>Use Case: Fallende studiepoeng</t>
  </si>
  <si>
    <t>T002</t>
  </si>
  <si>
    <t>I016K1</t>
  </si>
  <si>
    <t>INV001</t>
  </si>
  <si>
    <t>Akkumulert avsetning over 5 %-grensen (F-05-20)</t>
  </si>
  <si>
    <t>Utarbeide forpliktende investeringsplan for labutstyr</t>
  </si>
  <si>
    <t>Controller / Instituttleder</t>
  </si>
  <si>
    <t>Gjennomført</t>
  </si>
  <si>
    <t>Use Case 1: F-05-20 Avsetningskontroll</t>
  </si>
  <si>
    <t>T003</t>
  </si>
  <si>
    <t>I016K2</t>
  </si>
  <si>
    <t>Forsinket stipendiatrekruttering og lav fremdrift</t>
  </si>
  <si>
    <t>Rerekruttering og framdriftsoppfølging NFR001</t>
  </si>
  <si>
    <t>Prosjektleder</t>
  </si>
  <si>
    <t>Middels</t>
  </si>
  <si>
    <t>Use Case 2: SRS 10 Prosjektkontroll</t>
  </si>
  <si>
    <t>T004</t>
  </si>
  <si>
    <t>I001K2</t>
  </si>
  <si>
    <t>Konsulentmerforbruk og tapsrisiko på oppdrag</t>
  </si>
  <si>
    <t>Sikre tilleggsavtale med oppdragsgiver EVU</t>
  </si>
  <si>
    <t>Prosjektleder / Controller</t>
  </si>
  <si>
    <t>Forsinket</t>
  </si>
  <si>
    <t>Use Case 3: SRS 9 Tapsoppfølging</t>
  </si>
  <si>
    <t>T005</t>
  </si>
  <si>
    <t>Ulovlig direkteanskaffelse &gt; 500k kr uten anbud</t>
  </si>
  <si>
    <t>Overføre avtale til Innkjøpskontoret for minikonkurranse</t>
  </si>
  <si>
    <t>Innkjøpsansvarlig</t>
  </si>
  <si>
    <t>Use Case 5: FOA Innkjøpsavvik</t>
  </si>
  <si>
    <t>T006</t>
  </si>
  <si>
    <t>I004K1</t>
  </si>
  <si>
    <t>Høyt sykefravær og overtid praksisoppfølging</t>
  </si>
  <si>
    <t>Etablere vikarpooldeling med Sørlandet Sykehus</t>
  </si>
  <si>
    <t>Instituttleder / HR</t>
  </si>
  <si>
    <t>Use Case 6: Lønnsavvik</t>
  </si>
  <si>
    <t>YEARLY RECONCILIATION</t>
  </si>
  <si>
    <t>Monthly operating reconciliation and earned-value indicators | source units as provided (millions)</t>
  </si>
  <si>
    <t>MndNr</t>
  </si>
  <si>
    <t>Maaned</t>
  </si>
  <si>
    <t>StatligBevilgning</t>
  </si>
  <si>
    <t>Forskningsinntekter</t>
  </si>
  <si>
    <t>AndreInntekter</t>
  </si>
  <si>
    <t>Lonnskostnader</t>
  </si>
  <si>
    <t>Driftskostnader</t>
  </si>
  <si>
    <t>InvesteringerCapex</t>
  </si>
  <si>
    <t>PlanlagtVerdi_PV</t>
  </si>
  <si>
    <t>OpptjentVerdi_EV</t>
  </si>
  <si>
    <t>FaktiskKostnad_AC</t>
  </si>
  <si>
    <t>TotalInntekt</t>
  </si>
  <si>
    <t>TotalKostnad</t>
  </si>
  <si>
    <t>NettoResultat</t>
  </si>
  <si>
    <t>Kumulativ_Inntekt</t>
  </si>
  <si>
    <t>Kumulativ_Kostnad</t>
  </si>
  <si>
    <t>Kumulativ_PV</t>
  </si>
  <si>
    <t>Kumulativ_EV</t>
  </si>
  <si>
    <t>Kumulativ_AC</t>
  </si>
  <si>
    <t>Kumulativ_CPI</t>
  </si>
  <si>
    <t>Kumulativ_SPI</t>
  </si>
  <si>
    <t>Kumulativ_CV</t>
  </si>
  <si>
    <t>Kumulativ_SV</t>
  </si>
  <si>
    <t>Januar</t>
  </si>
  <si>
    <t>Februar</t>
  </si>
  <si>
    <t>Mars</t>
  </si>
  <si>
    <t>April</t>
  </si>
  <si>
    <t>Mai</t>
  </si>
  <si>
    <t>Juni</t>
  </si>
  <si>
    <t>Juli</t>
  </si>
  <si>
    <t>August</t>
  </si>
  <si>
    <t>September</t>
  </si>
  <si>
    <t>Oktober</t>
  </si>
  <si>
    <t>November</t>
  </si>
  <si>
    <t>Desember</t>
  </si>
  <si>
    <t>DATA MODEL &amp; LINEAGE</t>
  </si>
  <si>
    <t>Coverage of all attached CSV files and documented relationships</t>
  </si>
  <si>
    <t>Table</t>
  </si>
  <si>
    <t>Rows</t>
  </si>
  <si>
    <t>Columns</t>
  </si>
  <si>
    <t>Fields</t>
  </si>
  <si>
    <t>DimAccount</t>
  </si>
  <si>
    <t>Konto, StandardKonto3, Kontonavn, Kontoklasse, Kontogruppe, Kontotype, SRS_regnskapslinje, AktuellFor</t>
  </si>
  <si>
    <t>DimAccountClass</t>
  </si>
  <si>
    <t>Kontoklasse, Kontoklassenavn, Rapportdel, Sortering</t>
  </si>
  <si>
    <t>DimDate</t>
  </si>
  <si>
    <t>Dato, DatoNokkel, Aar, Kvartal, MaanedNr, AarMaaned, MaanedStart</t>
  </si>
  <si>
    <t>DimForecastVersion</t>
  </si>
  <si>
    <t>Versjon, Versjonsnavn, Sortering</t>
  </si>
  <si>
    <t>DimGlossary</t>
  </si>
  <si>
    <t>BegrepID, Begrep, FulltNavn, Kategori, Definisjon, PraktiskTolkning, FormelDAX, RolleKontekst, RelevantRapport</t>
  </si>
  <si>
    <t>DimOrganization</t>
  </si>
  <si>
    <t>Organisasjonsnokkel, Fakultet, Fakultetsnavn, Institutt, Instituttnavn, Koststed, Koststednavn, Koststedtype</t>
  </si>
  <si>
    <t>DimPositionGroup</t>
  </si>
  <si>
    <t>Stillingsgruppe, Stillingsgruppenavn, Stillingskategori</t>
  </si>
  <si>
    <t>DimProject</t>
  </si>
  <si>
    <t>Prosjekt, Prosjektnavn, Finansieringstype, Finansieringskilde, Prosjektkategori</t>
  </si>
  <si>
    <t>DimStudyProgram</t>
  </si>
  <si>
    <t>Studieprogram, Studieprogramnavn, Studienivaa, NormerteStudiepoeng, Institutt, Fakultet, Studiekategori, SatsPerSPE60</t>
  </si>
  <si>
    <t>DimUserAccess</t>
  </si>
  <si>
    <t>BrukerEpost, Navn, Fakultet, Institutt, Organisasjonsnokkel, RolleNavn</t>
  </si>
  <si>
    <t>FactAction</t>
  </si>
  <si>
    <t>TiltakID, Organisasjonsnokkel, Prosjekt, Konto, Avviksarsak, Tiltaksbeskrivelse, AnsvarligRolle, StartDatoNokkel, FristDatoNokkel, ForventetEffekt, RealisertEffekt, Status, Prioritet, Sannsynlighet, UseCasesRef</t>
  </si>
  <si>
    <t>FactBudget</t>
  </si>
  <si>
    <t>DatoNokkel, Organisasjonsnokkel, Konto, Prosjekt, BudsjettBelop, Scenario</t>
  </si>
  <si>
    <t>FactFTE</t>
  </si>
  <si>
    <t>DatoNokkel, Organisasjonsnokkel, Stillingsgruppe, Aarsverk, FagligeAarsverk, Scenario</t>
  </si>
  <si>
    <t>FactForecast</t>
  </si>
  <si>
    <t>DatoNokkel, Organisasjonsnokkel, Konto, Prosjekt, ForecastBelop, Versjon, Sannsynlighet, Modelltype, Merknad</t>
  </si>
  <si>
    <t>FactGL</t>
  </si>
  <si>
    <t>DatoNokkel, Organisasjonsnokkel, Konto, Prosjekt, Belop, Tekst, TransaksjonsID, UseCasesRef</t>
  </si>
  <si>
    <t>FactProjectBOA</t>
  </si>
  <si>
    <t>Prosjekt, Prosjektnavn, Finansieringstype, Finansieringskilde, Kontraktsbelop, Budsjett, Frikjop, DirekteDrift, Overhead, Leiested, PåløptKostnad, Inntektsført, Dekningsgrad, %TidGått, %BudsjettForbrukt, Forbruksavvik, RAG_Status, StatusMerknad</t>
  </si>
  <si>
    <t>FactStudyPoints</t>
  </si>
  <si>
    <t>DatoNokkel, Organisasjonsnokkel, Studieprogram, Studiekategori, RegistrerteStudenter, PlanlagteStudiepoeng, AvlagteStudiepoeng, SPE60, BestattAndel, SatsPerSPE60, BeregnetInntekt</t>
  </si>
  <si>
    <t>FactYearlyReconciliation</t>
  </si>
  <si>
    <t>MndNr, Maaned, StatligBevilgning, Forskningsinntekter, AndreInntekter, Lonnskostnader, Driftskostnader, InvesteringerCapex, PlanlagtVerdi_PV, OpptjentVerdi_EV, FaktiskKostnad_AC, TotalInntekt, TotalKostnad, NettoResultat, Kumulativ_Inntekt, Kumulativ_Kostnad, Kumulativ_PV, Kumulativ_EV, Kumulativ_AC, Kumulativ_CPI, Kumulativ_SPI, Kumulativ_CV, Kumulativ_SV</t>
  </si>
  <si>
    <t>Relationships</t>
  </si>
  <si>
    <t>FraTabell, FraKolonne, TilTabell, TilKolonne, Kardinalitet, Kryssfiltrering, Status</t>
  </si>
  <si>
    <t>From table</t>
  </si>
  <si>
    <t>From column</t>
  </si>
  <si>
    <t>To table</t>
  </si>
  <si>
    <t>To column</t>
  </si>
  <si>
    <t>Cardinality</t>
  </si>
  <si>
    <t>Cross-filter</t>
  </si>
  <si>
    <t>DatoNokkel</t>
  </si>
  <si>
    <t>1:*</t>
  </si>
  <si>
    <t>Single</t>
  </si>
  <si>
    <t>Active</t>
  </si>
  <si>
    <t>Both</t>
  </si>
  <si>
    <t>Studieprogram</t>
  </si>
  <si>
    <t>Stillingsgruppe</t>
  </si>
  <si>
    <t>Versjon</t>
  </si>
  <si>
    <t>Scenario</t>
  </si>
  <si>
    <t>GLOSSARY</t>
  </si>
  <si>
    <t>Business definitions and calculation references from DimGlossary</t>
  </si>
  <si>
    <t>BegrepID</t>
  </si>
  <si>
    <t>Begrep</t>
  </si>
  <si>
    <t>FulltNavn</t>
  </si>
  <si>
    <t>Kategori</t>
  </si>
  <si>
    <t>Definisjon</t>
  </si>
  <si>
    <t>PraktiskTolkning</t>
  </si>
  <si>
    <t>FormelDAX</t>
  </si>
  <si>
    <t>RolleKontekst</t>
  </si>
  <si>
    <t>RelevantRapport</t>
  </si>
  <si>
    <t>Actual</t>
  </si>
  <si>
    <t>Faktisk bokført regnskap</t>
  </si>
  <si>
    <t>01 Regnskap &amp; Sektor</t>
  </si>
  <si>
    <t>Faktisk påløpte inntekter og kostnader registrert i virksomhetens hovedbok (FactGL).</t>
  </si>
  <si>
    <t>Brukes som fasit for historisk ressursbruk og måles mot periodisert budsjett og prognose.</t>
  </si>
  <si>
    <t>SUM(FactGL[Belop_signert])</t>
  </si>
  <si>
    <t>Alle roller</t>
  </si>
  <si>
    <t>08 Controller Cockpit</t>
  </si>
  <si>
    <t>Artskonto</t>
  </si>
  <si>
    <t>Standard artskonto</t>
  </si>
  <si>
    <t>Firesifret tallkode som spesifiserer transaksjonens økonomiske art iht. DFØ standard kontoplan.</t>
  </si>
  <si>
    <t>Gjør det mulig å drille ned fra overordnede regnskapslinjer til spesifikke kostnadsbærere som fastlønn eller reise.</t>
  </si>
  <si>
    <t>DimAccount[Konto]</t>
  </si>
  <si>
    <t>Controller</t>
  </si>
  <si>
    <t>Avskrivninger</t>
  </si>
  <si>
    <t>Verdireduksjon anleggsmidler</t>
  </si>
  <si>
    <t>Periodisering av anskaffelseskost over driftsmidlets økonomiske levetid iht. SRS 17.</t>
  </si>
  <si>
    <t>Påvirker institusjonens driftsresultat, men medfører ingen direkte likviditetsutgang i perioden.</t>
  </si>
  <si>
    <t>CALCULATE([Regnskap], DimAccount[SRS_regnskapslinje]="Avskrivninger")</t>
  </si>
  <si>
    <t>Ledelse / Styret</t>
  </si>
  <si>
    <t>03 Executive</t>
  </si>
  <si>
    <t>Avvik YTD</t>
  </si>
  <si>
    <t>Akkumulert regnskapsavvik</t>
  </si>
  <si>
    <t>03 Prognose &amp; Avvik</t>
  </si>
  <si>
    <t>Differansen mellom akkumulert regnskap og akkumulert periodisert budsjett fra januar til nå.</t>
  </si>
  <si>
    <t>Negativt fortegn på kostnader betyr mindreforbruk (gunstig), mens positivt betyr merforbruk (ugunstig).</t>
  </si>
  <si>
    <t>[Regnskap YTD] - [Budsjett YTD]</t>
  </si>
  <si>
    <t>Avvik YTD RAG Status</t>
  </si>
  <si>
    <t>RAG-status regnskapsavvik</t>
  </si>
  <si>
    <t>07 RAG &amp; Farger</t>
  </si>
  <si>
    <t>Trafikklysindikator for akkumulert avvik målt mot budsjett.</t>
  </si>
  <si>
    <t>Rød hvis merforbruk &gt; 5%, Gul ved 2-5%, Grønn ved &lt;= 2% avvik.</t>
  </si>
  <si>
    <t>SWITCH(TRUE(), [Avvik YTD %] &gt; 0.05, "Rød (&gt;5%)", [Avvik YTD %] &gt;= 0.02, "Gul (2-5%)", "Grønn (&lt;=2%)")</t>
  </si>
  <si>
    <t>Controller / Dekan</t>
  </si>
  <si>
    <t>BAC</t>
  </si>
  <si>
    <t>Budget at Completion</t>
  </si>
  <si>
    <t>02 Prosjektcontrolling (EVM)</t>
  </si>
  <si>
    <t>Den opprinnelige vedtatte totale kostnadsrammen for prosjektet eller regnskapsåret.</t>
  </si>
  <si>
    <t>Utgjør referansegrunnlaget (baseline) som all fremdrift og sluttkostnad måles mot.</t>
  </si>
  <si>
    <t>[Aarsbudsjett]</t>
  </si>
  <si>
    <t>Project Controller / Dekan</t>
  </si>
  <si>
    <t>DT Prosjekt EVM</t>
  </si>
  <si>
    <t>Bevilgningsinntekt</t>
  </si>
  <si>
    <t>Statlig rammebevilgning</t>
  </si>
  <si>
    <t>Ordinær bevilgning fra Kunnskapsdepartementet over statsbudsjettets Post 50.</t>
  </si>
  <si>
    <t>Periodiseres etter SRS 10 slik at inntekt inntektsføres i takt med virksomhetens påløpte kostnader.</t>
  </si>
  <si>
    <t>CALCULATE(-[Regnskap], DimAccount[Konto] IN {"3000","3010","3020","3030"})</t>
  </si>
  <si>
    <t>Styret / Ledelse</t>
  </si>
  <si>
    <t>04 Styret</t>
  </si>
  <si>
    <t>BFV</t>
  </si>
  <si>
    <t>Bevilgningsfinansiert virksomhet</t>
  </si>
  <si>
    <t>Institusjonens kjerneaktivitet (undervisning og grunnforskning) dekket av statstilskuddet.</t>
  </si>
  <si>
    <t>Krever stram rammeoppfølging fordi statstilskuddet har et fast tak som ikke kan overskrides.</t>
  </si>
  <si>
    <t>DimProject[Finansieringstype] = "Drift"</t>
  </si>
  <si>
    <t>Bidragsforskning</t>
  </si>
  <si>
    <t>Eksternfinansierte prosjekter hvor finansieringskilden ikke krever en kommersiell motytelse.</t>
  </si>
  <si>
    <t>Typiske bidragsytere er Norges forskningsråd og EU, inntektsføres i takt med fremdrift etter SRS 11.</t>
  </si>
  <si>
    <t>DimProject[Finansieringstype] = "Bidrag"</t>
  </si>
  <si>
    <t>Forskningsledelse</t>
  </si>
  <si>
    <t>05 Forskning &amp; BOA</t>
  </si>
  <si>
    <t>BOA</t>
  </si>
  <si>
    <t>Bidrags- og oppdragsfinansiert aktivitet</t>
  </si>
  <si>
    <t>Samlet betegnelse på all eksternt finansiert forskning, utvikling og oppdragsvirksomhet.</t>
  </si>
  <si>
    <t>Viktig strategisk vekstområde som øker institusjonens faglige volum og finansielle handlingsrom.</t>
  </si>
  <si>
    <t>[BOA inntekter]</t>
  </si>
  <si>
    <t>BOA-finansieringsandel %</t>
  </si>
  <si>
    <t>Eksternfinansieringsgrad</t>
  </si>
  <si>
    <t>Andel av institusjonens totale inntekter som stammer fra eksterne BOA-prosjekter.</t>
  </si>
  <si>
    <t>Måler institusjonens evne til å hente konkurranseutsatt forskningsfinansiering (nasjonalt mål: &gt; 2.5%).</t>
  </si>
  <si>
    <t>DIVIDE([BOA inntekter], [Inntekter])</t>
  </si>
  <si>
    <t>Budget</t>
  </si>
  <si>
    <t>Vedtatt årsbudsjett</t>
  </si>
  <si>
    <t>Den økonomiske handlingsplanen vedtatt av universitetsstyret før årets start.</t>
  </si>
  <si>
    <t>Låses som baseline (BAC) og fordeles per måned, enhet, konto og prosjekt.</t>
  </si>
  <si>
    <t>SUM(FactBudget[BudsjettBelop])</t>
  </si>
  <si>
    <t>Controller Cockpit</t>
  </si>
  <si>
    <t>Avstemmings- og kontrollpanel</t>
  </si>
  <si>
    <t>08 Teknisk &amp; Modell</t>
  </si>
  <si>
    <t>Helhetlig kontrollpanel for regnskapsavstemming, feilsøking og avviksdrivere i kontoplanen.</t>
  </si>
  <si>
    <t>Brukes av controller før månedsslutt for å avdekke feilføringer, manglende periodiseringer og ubalanser.</t>
  </si>
  <si>
    <t>Rapportside 08</t>
  </si>
  <si>
    <t>Data-Ink Ratio</t>
  </si>
  <si>
    <t>Edward Tuftes designprinsipp</t>
  </si>
  <si>
    <t>Prinsipp om å maksimere andelen informasjonsbærende elementer i visuelle fremstillinger.</t>
  </si>
  <si>
    <t>Fjern unødvendige rutenett, tunge skygger, 3D-effekter og dekorative ikoner for å skape krystallklare rapporter.</t>
  </si>
  <si>
    <t>Data-Ink / Total-Ink</t>
  </si>
  <si>
    <t>Alle dashboards</t>
  </si>
  <si>
    <t>DAX</t>
  </si>
  <si>
    <t>Data Analysis Expressions</t>
  </si>
  <si>
    <t>Formel- og beregningsspråk i Power BI, Fabric og Analysis Services.</t>
  </si>
  <si>
    <t>Benyttes til å definere forretningslogikk, rullende tidsserier, EVM-beregninger og RAG-status dynamisk.</t>
  </si>
  <si>
    <t>Stjernemodell formler</t>
  </si>
  <si>
    <t>Controller / BI-utvikler</t>
  </si>
  <si>
    <t>TMDL Model</t>
  </si>
  <si>
    <t>Dekan</t>
  </si>
  <si>
    <t>Fakultetsleder</t>
  </si>
  <si>
    <t>Øverste faglige og administrative leder for et helt fakultet med underliggende institutter.</t>
  </si>
  <si>
    <t>Fokuserer på fakultetets samlede økonomiske balanse, lærerressurser og studieproduksjon.</t>
  </si>
  <si>
    <t>Rapportside 02</t>
  </si>
  <si>
    <t>02 Dekan &amp; Fakultet</t>
  </si>
  <si>
    <t>DFØ</t>
  </si>
  <si>
    <t>Direktoratet for forvaltning og øk.styring</t>
  </si>
  <si>
    <t>Statens fagorgan for økonomistyring, regnskapsstandarder (SRS) og felles kontoplan.</t>
  </si>
  <si>
    <t>Utformer retningslinjene som ligger til grunn for kontoplan R-102 og regnskapsavleggelsen.</t>
  </si>
  <si>
    <t>Regelverk</t>
  </si>
  <si>
    <t>Kontoplan (Dimensjon)</t>
  </si>
  <si>
    <t>Dimensjonstabell med 46 standardkontoer fordelt på kontoklasser og SRS-regnskapslinjer.</t>
  </si>
  <si>
    <t>Knyttes til FactGL, FactBudget, FactForecast og FactAction med 1:* relasjoner.</t>
  </si>
  <si>
    <t>DimAccount.csv</t>
  </si>
  <si>
    <t>Organisasjonsstruktur (Dimensjon)</t>
  </si>
  <si>
    <t>Dimensjonstabell med 74 koststeder fordelt på 6 fakulteter/enheter og 25 institutter.</t>
  </si>
  <si>
    <t>Danner grunnlaget for organisasjonshierarkiet (Fakultet -&gt; Institutt -&gt; Koststed).</t>
  </si>
  <si>
    <t>DimOrganization.csv</t>
  </si>
  <si>
    <t>01 Instituttleder</t>
  </si>
  <si>
    <t>Drill-down</t>
  </si>
  <si>
    <t>Hierarkisk navigasjon</t>
  </si>
  <si>
    <t>Interaktiv navigasjon fra et aggregert nivå ned til underliggende komponenter i samme visual.</t>
  </si>
  <si>
    <t>Lar brukeren gå fra fakultetstotal ned til institutt og enkeltkoststeder i matrisen.</t>
  </si>
  <si>
    <t>Hierarkisk visualisering</t>
  </si>
  <si>
    <t>Drill-through</t>
  </si>
  <si>
    <t>Dybdenavigasjon med filterkontekst</t>
  </si>
  <si>
    <t>Navigasjon til en egen detaljrapport der filterkonteksten fra avsenderrapporten bevares.</t>
  </si>
  <si>
    <t>Eksempelvis å klikke på et prosjekt i lederdashboardet og hoppe til DT Prosjektdetaljer.</t>
  </si>
  <si>
    <t>Rapportsider DT1-DT5</t>
  </si>
  <si>
    <t>Drill-Through</t>
  </si>
  <si>
    <t>EAC</t>
  </si>
  <si>
    <t>Estimate at Completion</t>
  </si>
  <si>
    <t>Det oppdaterte forventede totalsluttresultatet for prosjektet eller regnskapsåret.</t>
  </si>
  <si>
    <t>Tilsvarer Latest Estimate (LE) og sammenlignes direkte mot opprinnelig ramme (BAC) for å avdekke overskridelser.</t>
  </si>
  <si>
    <t>[Forecast aarsbelop]</t>
  </si>
  <si>
    <t>ETC</t>
  </si>
  <si>
    <t>Estimate to Complete</t>
  </si>
  <si>
    <t>Forventet gjenstående kostnad fra nåværende tidspunkt og frem til fullføring.</t>
  </si>
  <si>
    <t>Nødvendig for likviditetsstyring og vurdering av om prosjektet vil kreve ekstratildeling.</t>
  </si>
  <si>
    <t>[EAC] - [Regnskap YTD]</t>
  </si>
  <si>
    <t>Project Controller</t>
  </si>
  <si>
    <t>EVU</t>
  </si>
  <si>
    <t>Etter- og videreutdanning</t>
  </si>
  <si>
    <t>Kommersiell oppdragsutdanning for næringsliv og offentlige etater som betales av kunden.</t>
  </si>
  <si>
    <t>Inntektsføres som oppdragsaktivitet etter SRS 12 og krever full kostnadsdekning.</t>
  </si>
  <si>
    <t>Konto 3600-3620</t>
  </si>
  <si>
    <t>EVM</t>
  </si>
  <si>
    <t>Earned Value Management</t>
  </si>
  <si>
    <t>Internasjonal metode for prosjektstyring som integrerer omfang, tid og påløpte kostnader.</t>
  </si>
  <si>
    <t>Gir tidlige varsler om prosjektavvik gjennom nøkkeltall som BAC, EAC, ETC og VAC.</t>
  </si>
  <si>
    <t>Prosjektcontrolling</t>
  </si>
  <si>
    <t>EVM Sluttavvik RAG Status</t>
  </si>
  <si>
    <t>RAG-status prosjektavvik</t>
  </si>
  <si>
    <t>Trafikklysstatus for sluttavviket (VAC) i BOA-prosjekter.</t>
  </si>
  <si>
    <t>Grønn hvis under budsjett (VAC &gt;= 0), Gul ved moderat avvik (opptil -5%), Rød ved kritisk sprekk (&lt;-5%).</t>
  </si>
  <si>
    <t>SWITCH(TRUE(), [VAC] &gt;= 0, "Under budsjett", [VAC %] &gt;= -0.05, "Moderat overskridelse", "Kritisk overskridelse")</t>
  </si>
  <si>
    <t>Omstillingstiltak (Fakta)</t>
  </si>
  <si>
    <t>06 Omstilling &amp; Tiltak</t>
  </si>
  <si>
    <t>Faktatabell med 16 identifiserte ledelsestiltak for kostnadsreduksjon og gevinstrealisering.</t>
  </si>
  <si>
    <t>Inneholder forventet og realisert effekt, tiltaksansvarlig, frist, risikovurdering og status.</t>
  </si>
  <si>
    <t>FactAction.csv</t>
  </si>
  <si>
    <t>Ledelse / Controller</t>
  </si>
  <si>
    <t>07 Action Tracker</t>
  </si>
  <si>
    <t>Månedsbudsjett (Fakta)</t>
  </si>
  <si>
    <t>Faktatabell med 17 760 periodiserte budsjettlinjer per måned, org, konto og prosjekt.</t>
  </si>
  <si>
    <t>Danner grunnlaget for budsjettoppfølging og BAC.</t>
  </si>
  <si>
    <t>FactBudget.csv</t>
  </si>
  <si>
    <t>Rullende prognose (Fakta)</t>
  </si>
  <si>
    <t>Faktatabell med 53 280 prognoselinjer fordelt på versjonene FC1, FC2 og LE.</t>
  </si>
  <si>
    <t>Inneholder prognosebeløp og sannsynlighetsvekting for usikkerhetsstyring.</t>
  </si>
  <si>
    <t>FactForecast.csv</t>
  </si>
  <si>
    <t>Controller / Ledelse</t>
  </si>
  <si>
    <t>Årsverk (Fakta)</t>
  </si>
  <si>
    <t>04 Bemanning &amp; Kapasitet</t>
  </si>
  <si>
    <t>Faktatabell med 1 440 månedlige bemanningsregistreringer per enhet og stillingsgruppe.</t>
  </si>
  <si>
    <t>Brukes til å beregne totalårsverk, faglige årsverk og lønn per årsverk.</t>
  </si>
  <si>
    <t>FactFTE.csv</t>
  </si>
  <si>
    <t>HR / Dekan</t>
  </si>
  <si>
    <t>DT Bemanning</t>
  </si>
  <si>
    <t>Hovedbok transaksjoner (Fakta)</t>
  </si>
  <si>
    <t>Faktatabell med 35 760 bokførte transaksjoner med bilagsnummer, posteringsdato og signert beløp.</t>
  </si>
  <si>
    <t>Grunnlaget for regnskapsavstemming og historiske actuals.</t>
  </si>
  <si>
    <t>FactGL.csv</t>
  </si>
  <si>
    <t>DT Økonomi</t>
  </si>
  <si>
    <t>Studieproduksjon (Fakta)</t>
  </si>
  <si>
    <t>05 Utdanningsproduksjon</t>
  </si>
  <si>
    <t>Faktatabell med 432 månedlige registreringer av studenter, planlagte/avlagte studiepoeng og SPE60.</t>
  </si>
  <si>
    <t>Understøtter finansieringsberegninger og dimensjonering av studieporteføljen.</t>
  </si>
  <si>
    <t>FactStudyPoints.csv</t>
  </si>
  <si>
    <t>Utdanningsledelse</t>
  </si>
  <si>
    <t>06 Studieportefølje</t>
  </si>
  <si>
    <t>Faglig andel %</t>
  </si>
  <si>
    <t>Vitenskapelig bemanningsandel</t>
  </si>
  <si>
    <t>Andelen av den samlede bemanningen som utgjøres av undervisnings- og forskerstillinger (UF).</t>
  </si>
  <si>
    <t>Bør overstige 50-55% for å sikre at ressursene primært kanaliseres til institusjonens kjerneoppgaver.</t>
  </si>
  <si>
    <t>DIVIDE([Faglige aarsverk], [Aarsverk])</t>
  </si>
  <si>
    <t>Dekan / Styret</t>
  </si>
  <si>
    <t>FC1 / FC2</t>
  </si>
  <si>
    <t>Rullende tertialprognoser</t>
  </si>
  <si>
    <t>Periodiske prognoserapporteringer gjennomført etter tertial 1 (april) og tertial 2 (august).</t>
  </si>
  <si>
    <t>Viser hvordan helårsforventningen utvikler seg gjennom budsjettåret etter hvert som usikkerhet reduseres.</t>
  </si>
  <si>
    <t>DimForecastVersion[Versjon]</t>
  </si>
  <si>
    <t>Forecastavvik</t>
  </si>
  <si>
    <t>Forventet avvik ved årsslutt</t>
  </si>
  <si>
    <t>Differansen mellom gjeldende helårsprognose (LE) og vedtatt årsbudsjett.</t>
  </si>
  <si>
    <t>Viser det forventede mer- eller mindreforbruket før eventuelle korrigerende omstillingstiltak iverksettes.</t>
  </si>
  <si>
    <t>[Forecast aarsbelop] - [Aarsbudsjett]</t>
  </si>
  <si>
    <t>Forecast RAG Status</t>
  </si>
  <si>
    <t>RAG-status helårsprognose</t>
  </si>
  <si>
    <t>Trafikklysstatus for forventet helårsavvik målt mot budsjett.</t>
  </si>
  <si>
    <t>Rød hvis prognosen overstiger budsjettet med &gt; 5%, Gul ved 2-5%, Grønn ved &lt;= 2% overskridelse.</t>
  </si>
  <si>
    <t>SWITCH(TRUE(), [Forecastavvik %] &gt; 0.05, "Rød (&gt;5%)", [Forecastavvik %] &gt;= 0.02, "Gul (2-5%)", "Grønn (&lt;=2%)")</t>
  </si>
  <si>
    <t>FTE</t>
  </si>
  <si>
    <t>Full-Time Equivalent / Årsverk</t>
  </si>
  <si>
    <t>Standardisert måleenhet for arbeidsinnsats tilsvarende én 100% stilling i ett år (1950 arbeidstimer).</t>
  </si>
  <si>
    <t>Måles som et snapshot ved slutten av hver måned for å unngå summeringsfeil.</t>
  </si>
  <si>
    <t>[Aarsverk]</t>
  </si>
  <si>
    <t>HR / Ledelse</t>
  </si>
  <si>
    <t>Instituttleder</t>
  </si>
  <si>
    <t>Leder av grunnenhet</t>
  </si>
  <si>
    <t>Øverste administrative og faglige leder for et institutt med direkte budsjett- og personalansvar.</t>
  </si>
  <si>
    <t>Fokuserer på månedsavvik, lærerkapasitet, sykemeldinger, sensorkostnader og lokale tiltak.</t>
  </si>
  <si>
    <t>Rapportside 01</t>
  </si>
  <si>
    <t>KD</t>
  </si>
  <si>
    <t>Kunnskapsdepartementet</t>
  </si>
  <si>
    <t>Overordnet statlig departement som fastsetter rammer, mål og bevilgninger for universitetssektoren.</t>
  </si>
  <si>
    <t>Utsteder det årlige tildelingsbrevet som fastlegger institusjonens økonomiske rammer.</t>
  </si>
  <si>
    <t>Statlig eier</t>
  </si>
  <si>
    <t>Kostnad per SPE60</t>
  </si>
  <si>
    <t>Enhetskostnad per helårsstudent</t>
  </si>
  <si>
    <t>Totale drifts- og personalkostnader dividert med antall produserte SPE60.</t>
  </si>
  <si>
    <t>Avdekker kostnadseffektiviteten i utdanningstilbudet; høye tall indikerer små studentkull eller høy ressursbruk.</t>
  </si>
  <si>
    <t>DIVIDE([Faktisk kostnader], [SPE60])</t>
  </si>
  <si>
    <t>Dekan / Utdanningsledelse</t>
  </si>
  <si>
    <t>LE</t>
  </si>
  <si>
    <t>Latest Estimate</t>
  </si>
  <si>
    <t>Den nyeste gjeldende helårsprognosen (i modellen referert til som LE_2026).</t>
  </si>
  <si>
    <t>Representerer ledelsens beste nåværende estimat for sluttresultatet ved regnskapsårets utgang.</t>
  </si>
  <si>
    <t>CALCULATE([Gjeldende forecast], DimForecastVersion[Versjon]="LE_2026")</t>
  </si>
  <si>
    <t>Lønnsandel %</t>
  </si>
  <si>
    <t>Personalkostnadsandel</t>
  </si>
  <si>
    <t>Personalkostnader uttrykt som en prosentandel av institusjonens samlede driftskostnader.</t>
  </si>
  <si>
    <t>Typisk 65-72% i UH-sektoren; den viktigste enkeltfaktoren for økonomisk bærekraft.</t>
  </si>
  <si>
    <t>DIVIDE([Faktisk lonnskostnader], [Faktisk kostnader])</t>
  </si>
  <si>
    <t>Dekan / Ledelse</t>
  </si>
  <si>
    <t>Norges forskningsråd</t>
  </si>
  <si>
    <t>Nasjonalt organ for finansiering av forskningsprosjekter etter søknad og fagfellevurdering.</t>
  </si>
  <si>
    <t>Største eksterne bidragsyter i modellen; inntekter føres på konto 3400-3419.</t>
  </si>
  <si>
    <t>DimProject[Finansieringskilde] = "NFR"</t>
  </si>
  <si>
    <t>Oppdragsforskning</t>
  </si>
  <si>
    <t>Aktivitet utført for eksterne oppdragsgivere med krav om definerte leveranser og kommersielle vilkår.</t>
  </si>
  <si>
    <t>Skal prises til markedsverdi med full dekning av direkte kostnader og overhead iht. EØS-statsstøtteregler.</t>
  </si>
  <si>
    <t>DimProject[Finansieringstype] = "Oppdrag"</t>
  </si>
  <si>
    <t>PBIP</t>
  </si>
  <si>
    <t>Power BI Project</t>
  </si>
  <si>
    <t>Mappebasert kildetekstformat for Power BI som skiller semantisk modell (TMDL) og rapport (PBIR).</t>
  </si>
  <si>
    <t>Gjør det mulig å versjonskontrollere Power BI i Git, kjøre automatisert testing og samarbeide i team.</t>
  </si>
  <si>
    <t>Mappestruktur</t>
  </si>
  <si>
    <t>BI-utvikler</t>
  </si>
  <si>
    <t>Repo root</t>
  </si>
  <si>
    <t>PBIR</t>
  </si>
  <si>
    <t>Power BI Enhanced Report Format</t>
  </si>
  <si>
    <t>Deklarativt JSON-format for Power BI-rapporter som definerer alle visuals, rader og formater.</t>
  </si>
  <si>
    <t>Sikrer at rapportbygging kan automatiseres via skript og valideres med CLI-verktøy.</t>
  </si>
  <si>
    <t>UIA-Controller-Prosjekt.Report</t>
  </si>
  <si>
    <t>PBIR Definition</t>
  </si>
  <si>
    <t>RAG</t>
  </si>
  <si>
    <t>Red-Amber-Green</t>
  </si>
  <si>
    <t>Trafikklysmetodikk for visuell styring og avvikshåndtering.</t>
  </si>
  <si>
    <t>Retter ledelsens oppmerksomhet mot de få kritiske områdene som krever umiddelbar handling.</t>
  </si>
  <si>
    <t>RAG-mål</t>
  </si>
  <si>
    <t>Realiseringsgrad %</t>
  </si>
  <si>
    <t>Gevinstrealiseringsgrad</t>
  </si>
  <si>
    <t>Forholdet mellom faktisk oppnådd innsparing og planlagt innsparing for et omstillingstiltak.</t>
  </si>
  <si>
    <t>Måler om tiltakene leverer den forventede økonomiske effekten i praksis.</t>
  </si>
  <si>
    <t>DIVIDE([Realisert tiltakseffekt], [Forventet tiltakseffekt])</t>
  </si>
  <si>
    <t>Restavvik</t>
  </si>
  <si>
    <t>Gjenværende risikogap</t>
  </si>
  <si>
    <t>Det økonomiske avviket som fortsatt gjenstår etter at effekten av alle godkjente tiltak er trukket fra.</t>
  </si>
  <si>
    <t>Viser det udekkede gapet som må håndteres dersom budsjettmålet skal nås.</t>
  </si>
  <si>
    <t>[Forecast etter tiltak] - [Aarsbudsjett]</t>
  </si>
  <si>
    <t>Studiepoengekvivalenter</t>
  </si>
  <si>
    <t>Normalisert måleenhet tilsvarende 60 avlagte studiepoeng (en helårsstudent).</t>
  </si>
  <si>
    <t>Primær driver i Kunnskapsdepartementets resultatbaserte bevilgningssystem.</t>
  </si>
  <si>
    <t>DIVIDE([Avlagte studiepoeng], 60)</t>
  </si>
  <si>
    <t>Utdanningsledelse / Dekan</t>
  </si>
  <si>
    <t>SRS</t>
  </si>
  <si>
    <t>Statlige regnskapsstandarder</t>
  </si>
  <si>
    <t>Prinsipper for periodisert regnskapsføring i statlige virksomheter fastsatt av Finansdepartementet/DFØ.</t>
  </si>
  <si>
    <t>Sikrer at ressursforbruk og inntekter synliggjøres i samme regnskapsperiode uavhengig av kontantstrøm.</t>
  </si>
  <si>
    <t>Studiepoeng måloppnåelse %</t>
  </si>
  <si>
    <t>Eksamensproduksjonsgrad</t>
  </si>
  <si>
    <t>Faktisk avlagte studiepoeng sammenlignet med planlagt studiepoengproduksjon.</t>
  </si>
  <si>
    <t>Måler undervisningsavdelingenes evne til å oppfylle oppdragsmålet og unngå inntektsbortfall.</t>
  </si>
  <si>
    <t>DIVIDE([Avlagte studiepoeng], [Planlagte studiepoeng])</t>
  </si>
  <si>
    <t>TA</t>
  </si>
  <si>
    <t>Teknisk-administrativ bemanning</t>
  </si>
  <si>
    <t>Fellesbetegnelse på ansatte innen administrasjon, IT, bibliotek, drift, HR og økonomi.</t>
  </si>
  <si>
    <t>Viktig støttefunksjon som skal dimensjoneres proporsjonalt med fagmiljøenes størrelse.</t>
  </si>
  <si>
    <t>DimPositionGroup[Stillingskategori]="Teknisk-administrativ"</t>
  </si>
  <si>
    <t>TDI</t>
  </si>
  <si>
    <t>Totalkostnadsmodellen</t>
  </si>
  <si>
    <t>Nasjonale retningslinjer for beregning av direkte og indirekte kostnader (overhead) i BOA-prosjekter.</t>
  </si>
  <si>
    <t>Sikrer at eksterne oppdragsgivere betaler en rettmessig andel av institusjonens felles infrastruktur.</t>
  </si>
  <si>
    <t>Tiltak RAG Status</t>
  </si>
  <si>
    <t>RAG-status omstillingstiltak</t>
  </si>
  <si>
    <t>Visuell status for fremdriften på ledelsens innsparingstiltak.</t>
  </si>
  <si>
    <t>Grønn ved gjennomført, Gul ved pågående, Rød ved forsinket, Grå ved planlagt.</t>
  </si>
  <si>
    <t>SWITCH(FactAction[Status], "Gjennomført", "Grønn", "Pågår", "Gul", "Forsinket", "Rød", "Planlagt")</t>
  </si>
  <si>
    <t>TMDL</t>
  </si>
  <si>
    <t>Tabular Model Definition Language</t>
  </si>
  <si>
    <t>Tekstbasert formateringsspråk for Power BI semantiske modeller.</t>
  </si>
  <si>
    <t>Erstatter monolittiske Model.bim-filer med modulære, lesbare .tmdl-filer.</t>
  </si>
  <si>
    <t>UIA-Controller-Prosjekt.SemanticModel</t>
  </si>
  <si>
    <t>UF</t>
  </si>
  <si>
    <t>Undervisning og forskning</t>
  </si>
  <si>
    <t>Vitenskapelige ansatte som professor, førsteamanuensis, postdoktor og stipendiater.</t>
  </si>
  <si>
    <t>Kjernearbeidskraften som leverer utdanning, veiledning og forskningsresultater.</t>
  </si>
  <si>
    <t>DimPositionGroup[Stillingskategori]="Vitenskapelig"</t>
  </si>
  <si>
    <t>VAC</t>
  </si>
  <si>
    <t>Variance at Completion</t>
  </si>
  <si>
    <t>Forventet sluttavvik ved prosjektets fullføring beregnet som BAC minus EAC.</t>
  </si>
  <si>
    <t>Positiv verdi angir mindreforbruk/besparelse, mens negativ verdi angir kostnadsoverskridelse.</t>
  </si>
  <si>
    <t>[BAC] - [EAC]</t>
  </si>
  <si>
    <t>VAC %</t>
  </si>
  <si>
    <t>Sluttavvik prosent</t>
  </si>
  <si>
    <t>Relativt forventet sluttavvik målt i prosent av opprinnelig budsjettramme.</t>
  </si>
  <si>
    <t>Brukes til å rangere og prioritere oppfølging av prosjekter etter risikograd.</t>
  </si>
  <si>
    <t>DIVIDE([VAC], [BAC])</t>
  </si>
  <si>
    <t>YTD</t>
  </si>
  <si>
    <t>Year to Date</t>
  </si>
  <si>
    <t>Akkumulert beløp fra regnskapsårets begynnelse (1. januar) og frem til rapporteringsdato.</t>
  </si>
  <si>
    <t>Eliminerer tilfeldige månedssvingninger og gir et mer stabilt bilde av den økonomiske utviklingen.</t>
  </si>
  <si>
    <t>TOTALYTD([Regnskap], DimDate[Dato])</t>
  </si>
  <si>
    <t>UNIVERSITY OF AGDER | 2026 BUDGET</t>
  </si>
  <si>
    <t>Executive budget overview</t>
  </si>
  <si>
    <t>Annual plan, latest estimate and YTD control position | Prepared 25 September 2026</t>
  </si>
  <si>
    <t>ANNUAL BUDGET INCOME</t>
  </si>
  <si>
    <t>ANNUAL BUDGET COST</t>
  </si>
  <si>
    <t>ANNUAL BUDGET RESULT</t>
  </si>
  <si>
    <t>YTD BUDGET RESULT</t>
  </si>
  <si>
    <t>YTD VARIANCE</t>
  </si>
  <si>
    <t>BUDGET RESULT MARGIN</t>
  </si>
  <si>
    <t>BUDGET SUMMARY | NOK</t>
  </si>
  <si>
    <t>LE variance vs budget</t>
  </si>
  <si>
    <t>MANAGEMENT VIEW</t>
  </si>
  <si>
    <t>CONTROL ALERT</t>
  </si>
  <si>
    <t>Actual income remains incomplete because account 3900 is absent from FactGL. Validate appropriation postings before relying on the YTD bottom line; the annual budget and latest estimate remain available for management planning.</t>
  </si>
  <si>
    <t>REPORTING SECTIONS</t>
  </si>
  <si>
    <t>Controller Cockpit  •  Finance  •  Forecast  •  Workforce &amp; Study  •  BOA Projects  •  Actions  •  Yearly Reconciliation</t>
  </si>
  <si>
    <t>Source: linked workbook reporting model | Budget version BUD2026 | Latest estimate LE_2026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</si>
</sst>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quot;NOK&quot;"/>
    <numFmt numFmtId="165" formatCode="0.0"/>
    <numFmt numFmtId="166" formatCode="0.0%"/>
    <numFmt numFmtId="167" formatCode="#,##0.0"/>
    <numFmt numFmtId="168" formatCode="0.000"/>
    <numFmt numFmtId="169" formatCode="0.0,,&quot; m NOK&quot;;[Red]\-0.0,,&quot; m NOK&quot;"/>
  </numFmts>
  <fonts count="18" x14ac:knownFonts="1">
    <font>
      <sz val="11"/>
      <color theme="1"/>
      <name val="Aptos Narrow"/>
      <family val="2"/>
      <scheme val="minor"/>
    </font>
    <font>
      <b/>
      <sz val="11"/>
      <color theme="1"/>
      <name val="Aptos Narrow"/>
      <family val="2"/>
      <scheme val="minor"/>
    </font>
    <font>
      <sz val="11"/>
      <color rgb="FFFFFFFF"/>
      <name val="Aptos Narrow"/>
      <family val="2"/>
      <scheme val="minor"/>
    </font>
    <font>
      <b/>
      <sz val="22"/>
      <color rgb="FFFFFFFF"/>
      <name val="Aptos Narrow"/>
      <family val="2"/>
      <scheme val="minor"/>
    </font>
    <font>
      <b/>
      <sz val="20"/>
      <color rgb="FFFFFFFF"/>
      <name val="Aptos Narrow"/>
      <family val="2"/>
      <scheme val="minor"/>
    </font>
    <font>
      <b/>
      <sz val="11"/>
      <color rgb="FFFFFFFF"/>
      <name val="Aptos Narrow"/>
      <family val="2"/>
      <scheme val="minor"/>
    </font>
    <font>
      <sz val="11"/>
      <color rgb="FF5B6573"/>
      <name val="Aptos Narrow"/>
      <family val="2"/>
      <scheme val="minor"/>
    </font>
    <font>
      <b/>
      <sz val="18"/>
      <color theme="1"/>
      <name val="Aptos Narrow"/>
      <family val="2"/>
      <scheme val="minor"/>
    </font>
    <font>
      <b/>
      <sz val="16"/>
      <color theme="1"/>
      <name val="Aptos Narrow"/>
      <family val="2"/>
      <scheme val="minor"/>
    </font>
    <font>
      <b/>
      <sz val="11"/>
      <color rgb="FF9C0006"/>
      <name val="Aptos Narrow"/>
      <family val="2"/>
      <scheme val="minor"/>
    </font>
    <font>
      <sz val="11"/>
      <color rgb="FF233247"/>
      <name val="Aptos"/>
    </font>
    <font>
      <sz val="15"/>
      <color rgb="FFDDE8F0"/>
      <name val="Aptos Narrow"/>
      <family val="2"/>
      <scheme val="minor"/>
    </font>
    <font>
      <sz val="10"/>
      <color rgb="FFB8CCD9"/>
      <name val="Aptos Narrow"/>
      <family val="2"/>
      <scheme val="minor"/>
    </font>
    <font>
      <b/>
      <sz val="10"/>
      <color rgb="FFFFFFFF"/>
      <name val="Aptos Narrow"/>
      <family val="2"/>
      <scheme val="minor"/>
    </font>
    <font>
      <b/>
      <sz val="20"/>
      <color theme="1"/>
      <name val="Aptos Narrow"/>
      <family val="2"/>
      <scheme val="minor"/>
    </font>
    <font>
      <b/>
      <sz val="11"/>
      <color rgb="FF233247"/>
      <name val="Aptos"/>
    </font>
    <font>
      <sz val="11"/>
      <color rgb="FF7A2E2B"/>
      <name val="Aptos Narrow"/>
      <family val="2"/>
      <scheme val="minor"/>
    </font>
    <font>
      <i/>
      <sz val="9"/>
      <color rgb="FF6B7C8E"/>
      <name val="Aptos Narrow"/>
      <family val="2"/>
      <scheme val="minor"/>
    </font>
  </fonts>
  <fills count="19">
    <fill>
      <patternFill patternType="none"/>
    </fill>
    <fill>
      <patternFill patternType="gray125"/>
    </fill>
    <fill>
      <patternFill patternType="solid">
        <fgColor rgb="FF17365D"/>
        <bgColor indexed="64"/>
      </patternFill>
    </fill>
    <fill>
      <patternFill patternType="solid">
        <fgColor rgb="FF1F4E78"/>
        <bgColor indexed="64"/>
      </patternFill>
    </fill>
    <fill>
      <patternFill patternType="solid">
        <fgColor rgb="FFFFF2CC"/>
        <bgColor indexed="64"/>
      </patternFill>
    </fill>
    <fill>
      <patternFill patternType="solid">
        <fgColor rgb="FFD9EAF7"/>
        <bgColor indexed="64"/>
      </patternFill>
    </fill>
    <fill>
      <patternFill patternType="solid">
        <fgColor rgb="FFF4F7FA"/>
        <bgColor indexed="64"/>
      </patternFill>
    </fill>
    <fill>
      <patternFill patternType="solid">
        <fgColor rgb="FFE2F0D9"/>
        <bgColor indexed="64"/>
      </patternFill>
    </fill>
    <fill>
      <patternFill patternType="solid">
        <fgColor rgb="FFFCE4D6"/>
        <bgColor indexed="64"/>
      </patternFill>
    </fill>
    <fill>
      <patternFill patternType="solid">
        <fgColor rgb="FFF5F7FA"/>
        <bgColor indexed="64"/>
      </patternFill>
    </fill>
    <fill>
      <patternFill patternType="solid">
        <fgColor rgb="FF15324B"/>
        <bgColor indexed="64"/>
      </patternFill>
    </fill>
    <fill>
      <patternFill patternType="solid">
        <fgColor rgb="FF167D8D"/>
        <bgColor indexed="64"/>
      </patternFill>
    </fill>
    <fill>
      <patternFill patternType="solid">
        <fgColor rgb="FFFFFFFF"/>
        <bgColor indexed="64"/>
      </patternFill>
    </fill>
    <fill>
      <patternFill patternType="solid">
        <fgColor rgb="FFE19A2B"/>
        <bgColor indexed="64"/>
      </patternFill>
    </fill>
    <fill>
      <patternFill patternType="solid">
        <fgColor rgb="FF486581"/>
        <bgColor indexed="64"/>
      </patternFill>
    </fill>
    <fill>
      <patternFill patternType="solid">
        <fgColor rgb="FFB54845"/>
        <bgColor indexed="64"/>
      </patternFill>
    </fill>
    <fill>
      <patternFill patternType="solid">
        <fgColor rgb="FFE8F1F5"/>
        <bgColor indexed="64"/>
      </patternFill>
    </fill>
    <fill>
      <patternFill patternType="solid">
        <fgColor rgb="FFFFF2F0"/>
        <bgColor indexed="64"/>
      </patternFill>
    </fill>
    <fill>
      <patternFill patternType="solid">
        <fgColor rgb="FFDCE6ED"/>
        <bgColor indexed="64"/>
      </patternFill>
    </fill>
  </fills>
  <borders count="2">
    <border>
      <left/>
      <right/>
      <top/>
      <bottom/>
      <diagonal/>
    </border>
    <border>
      <left/>
      <right/>
      <top/>
      <bottom style="thin">
        <color rgb="FFD9E2EA"/>
      </bottom>
      <diagonal/>
    </border>
  </borders>
  <cellStyleXfs count="1">
    <xf numFmtId="0" fontId="0" fillId="0" borderId="0"/>
  </cellStyleXfs>
  <cellXfs count="47">
    <xf numFmtId="0" fontId="0" fillId="0" borderId="0" xfId="0"/>
    <xf numFmtId="0" fontId="0" fillId="0" borderId="0" xfId="0"/>
    <xf numFmtId="0" fontId="2" fillId="2" borderId="0" xfId="0" applyFont="1" applyFill="1"/>
    <xf numFmtId="0" fontId="3" fillId="2" borderId="0" xfId="0" applyFont="1" applyFill="1"/>
    <xf numFmtId="0" fontId="4" fillId="2" borderId="0" xfId="0" applyFont="1" applyFill="1"/>
    <xf numFmtId="0" fontId="5" fillId="3" borderId="0" xfId="0" applyFont="1" applyFill="1" applyAlignment="1">
      <alignment wrapText="1"/>
    </xf>
    <xf numFmtId="3" fontId="0" fillId="0" borderId="0" xfId="0" applyNumberFormat="1"/>
    <xf numFmtId="0" fontId="0" fillId="4" borderId="0" xfId="0" applyFill="1" applyAlignment="1">
      <alignment wrapText="1"/>
    </xf>
    <xf numFmtId="0" fontId="6" fillId="0" borderId="0" xfId="0" applyFont="1"/>
    <xf numFmtId="0" fontId="1" fillId="5" borderId="0" xfId="0" applyFont="1" applyFill="1"/>
    <xf numFmtId="164" fontId="7" fillId="6" borderId="0" xfId="0" applyNumberFormat="1" applyFont="1" applyFill="1"/>
    <xf numFmtId="0" fontId="5" fillId="3" borderId="0" xfId="0" applyFont="1" applyFill="1"/>
    <xf numFmtId="0" fontId="1" fillId="7" borderId="0" xfId="0" applyFont="1" applyFill="1"/>
    <xf numFmtId="165" fontId="8" fillId="0" borderId="0" xfId="0" applyNumberFormat="1" applyFont="1"/>
    <xf numFmtId="3" fontId="8" fillId="0" borderId="0" xfId="0" applyNumberFormat="1" applyFont="1"/>
    <xf numFmtId="166" fontId="8" fillId="0" borderId="0" xfId="0" applyNumberFormat="1" applyFont="1"/>
    <xf numFmtId="1" fontId="8" fillId="0" borderId="0" xfId="0" applyNumberFormat="1" applyFont="1"/>
    <xf numFmtId="0" fontId="9" fillId="8" borderId="0" xfId="0" applyFont="1" applyFill="1" applyAlignment="1">
      <alignment wrapText="1"/>
    </xf>
    <xf numFmtId="165" fontId="0" fillId="0" borderId="0" xfId="0" applyNumberFormat="1"/>
    <xf numFmtId="167" fontId="0" fillId="0" borderId="0" xfId="0" applyNumberFormat="1"/>
    <xf numFmtId="166" fontId="0" fillId="0" borderId="0" xfId="0" applyNumberFormat="1"/>
    <xf numFmtId="0" fontId="0" fillId="0" borderId="0" xfId="0" applyAlignment="1">
      <alignment wrapText="1"/>
    </xf>
    <xf numFmtId="9" fontId="0" fillId="0" borderId="0" xfId="0" applyNumberFormat="1"/>
    <xf numFmtId="168" fontId="0" fillId="0" borderId="0" xfId="0" applyNumberFormat="1"/>
    <xf numFmtId="20" fontId="0" fillId="0" borderId="0" xfId="0" applyNumberFormat="1"/>
    <xf numFmtId="0" fontId="10" fillId="9" borderId="0" xfId="0" applyFont="1" applyFill="1"/>
    <xf numFmtId="0" fontId="5" fillId="10" borderId="0" xfId="0" applyFont="1" applyFill="1"/>
    <xf numFmtId="0" fontId="3" fillId="10" borderId="0" xfId="0" applyFont="1" applyFill="1"/>
    <xf numFmtId="0" fontId="11" fillId="10" borderId="0" xfId="0" applyFont="1" applyFill="1"/>
    <xf numFmtId="0" fontId="12" fillId="10" borderId="0" xfId="0" applyFont="1" applyFill="1"/>
    <xf numFmtId="0" fontId="13" fillId="11" borderId="0" xfId="0" applyFont="1" applyFill="1" applyAlignment="1">
      <alignment horizontal="center" vertical="center"/>
    </xf>
    <xf numFmtId="0" fontId="14" fillId="12" borderId="0" xfId="0" applyFont="1" applyFill="1" applyAlignment="1">
      <alignment horizontal="center" vertical="center"/>
    </xf>
    <xf numFmtId="169" fontId="14" fillId="12" borderId="0" xfId="0" applyNumberFormat="1" applyFont="1" applyFill="1" applyAlignment="1">
      <alignment horizontal="center" vertical="center"/>
    </xf>
    <xf numFmtId="0" fontId="13" fillId="13" borderId="0" xfId="0" applyFont="1" applyFill="1" applyAlignment="1">
      <alignment horizontal="center" vertical="center"/>
    </xf>
    <xf numFmtId="0" fontId="13" fillId="14" borderId="0" xfId="0" applyFont="1" applyFill="1" applyAlignment="1">
      <alignment horizontal="center" vertical="center"/>
    </xf>
    <xf numFmtId="0" fontId="5" fillId="15" borderId="0" xfId="0" applyFont="1" applyFill="1"/>
    <xf numFmtId="0" fontId="13" fillId="15" borderId="0" xfId="0" applyFont="1" applyFill="1" applyAlignment="1">
      <alignment horizontal="center" vertical="center"/>
    </xf>
    <xf numFmtId="166" fontId="14" fillId="12" borderId="0" xfId="0" applyNumberFormat="1" applyFont="1" applyFill="1" applyAlignment="1">
      <alignment horizontal="center" vertical="center"/>
    </xf>
    <xf numFmtId="0" fontId="10" fillId="12" borderId="0" xfId="0" applyFont="1" applyFill="1" applyBorder="1"/>
    <xf numFmtId="3" fontId="15" fillId="16" borderId="0" xfId="0" applyNumberFormat="1" applyFont="1" applyFill="1" applyBorder="1"/>
    <xf numFmtId="0" fontId="10" fillId="12" borderId="1" xfId="0" applyFont="1" applyFill="1" applyBorder="1"/>
    <xf numFmtId="3" fontId="15" fillId="16" borderId="1" xfId="0" applyNumberFormat="1" applyFont="1" applyFill="1" applyBorder="1"/>
    <xf numFmtId="0" fontId="0" fillId="12" borderId="0" xfId="0" applyFill="1" applyAlignment="1">
      <alignment vertical="center" wrapText="1"/>
    </xf>
    <xf numFmtId="0" fontId="0" fillId="12" borderId="0" xfId="0" applyFont="1" applyFill="1" applyAlignment="1">
      <alignment vertical="center" wrapText="1"/>
    </xf>
    <xf numFmtId="0" fontId="16" fillId="17" borderId="0" xfId="0" applyFont="1" applyFill="1" applyAlignment="1">
      <alignment vertical="center" wrapText="1"/>
    </xf>
    <xf numFmtId="0" fontId="1" fillId="18" borderId="0" xfId="0" applyFont="1" applyFill="1"/>
    <xf numFmtId="0" fontId="17" fillId="0" borderId="0" xfId="0" applyFont="1"/>
  </cellXfs>
  <cellStyles count="1">
    <cellStyle name="Normal" xfId="0" builtinId="0"/>
  </cellStyles>
  <dxfs count="6">
    <dxf>
      <font>
        <color rgb="FF274E13"/>
      </font>
      <fill>
        <patternFill patternType="solid">
          <fgColor indexed="64"/>
          <bgColor rgb="FFD9EAD3"/>
        </patternFill>
      </fill>
    </dxf>
    <dxf>
      <font>
        <color rgb="FF7F6000"/>
      </font>
      <fill>
        <patternFill patternType="solid">
          <fgColor indexed="64"/>
          <bgColor rgb="FFFFF2CC"/>
        </patternFill>
      </fill>
    </dxf>
    <dxf>
      <font>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9C0006"/>
      </font>
      <fill>
        <patternFill patternType="solid">
          <fgColor indexed="64"/>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Monthly result vs budget and latest estimate</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0"/>
          <c:order val="0"/>
          <c:tx>
            <c:v>Actual result</c:v>
          </c:tx>
          <c:spPr>
            <a:ln w="28575" cap="rnd">
              <a:solidFill>
                <a:schemeClr val="accent1"/>
              </a:solidFill>
              <a:round/>
            </a:ln>
            <a:effectLst/>
          </c:spPr>
          <c:marker>
            <c:symbol val="none"/>
          </c:marker>
          <c:cat>
            <c:strRef>
              <c:f>Finance!$A$5:$A$12</c:f>
              <c:strCache>
                <c:ptCount val="8"/>
                <c:pt idx="0">
                  <c:v>2026-01</c:v>
                </c:pt>
                <c:pt idx="1">
                  <c:v>2026-02</c:v>
                </c:pt>
                <c:pt idx="2">
                  <c:v>2026-03</c:v>
                </c:pt>
                <c:pt idx="3">
                  <c:v>2026-04</c:v>
                </c:pt>
                <c:pt idx="4">
                  <c:v>2026-05</c:v>
                </c:pt>
                <c:pt idx="5">
                  <c:v>2026-06</c:v>
                </c:pt>
                <c:pt idx="6">
                  <c:v>2026-07</c:v>
                </c:pt>
                <c:pt idx="7">
                  <c:v>2026-08</c:v>
                </c:pt>
              </c:strCache>
            </c:strRef>
          </c:cat>
          <c:val>
            <c:numRef>
              <c:f>Finance!$D$5:$D$12</c:f>
              <c:numCache>
                <c:formatCode>#,##0</c:formatCode>
                <c:ptCount val="8"/>
                <c:pt idx="0">
                  <c:v>-7034743.4500000002</c:v>
                </c:pt>
                <c:pt idx="1">
                  <c:v>-6959849.1900000004</c:v>
                </c:pt>
                <c:pt idx="2">
                  <c:v>-7063865.2400000002</c:v>
                </c:pt>
                <c:pt idx="3">
                  <c:v>-7065922.7599999998</c:v>
                </c:pt>
                <c:pt idx="4">
                  <c:v>-7733293.4100000001</c:v>
                </c:pt>
                <c:pt idx="5">
                  <c:v>-7908049.1600000001</c:v>
                </c:pt>
                <c:pt idx="6">
                  <c:v>-7060476.5899999999</c:v>
                </c:pt>
                <c:pt idx="7">
                  <c:v>-6969410.9199999999</c:v>
                </c:pt>
              </c:numCache>
            </c:numRef>
          </c:val>
          <c:smooth val="0"/>
          <c:extLst>
            <c:ext xmlns:c16="http://schemas.microsoft.com/office/drawing/2014/chart" uri="{C3380CC4-5D6E-409C-BE32-E72D297353CC}">
              <c16:uniqueId val="{00000000-0181-4B5B-AF9B-87F8EE4DBC19}"/>
            </c:ext>
          </c:extLst>
        </c:ser>
        <c:ser>
          <c:idx val="1"/>
          <c:order val="1"/>
          <c:tx>
            <c:v>Budget result</c:v>
          </c:tx>
          <c:spPr>
            <a:ln w="28575" cap="rnd">
              <a:solidFill>
                <a:schemeClr val="accent2"/>
              </a:solidFill>
              <a:round/>
            </a:ln>
            <a:effectLst/>
          </c:spPr>
          <c:marker>
            <c:symbol val="none"/>
          </c:marker>
          <c:val>
            <c:numRef>
              <c:f>Finance!$G$5:$G$12</c:f>
              <c:numCache>
                <c:formatCode>#,##0</c:formatCode>
                <c:ptCount val="8"/>
                <c:pt idx="0">
                  <c:v>401400</c:v>
                </c:pt>
                <c:pt idx="1">
                  <c:v>401400</c:v>
                </c:pt>
                <c:pt idx="2">
                  <c:v>401400</c:v>
                </c:pt>
                <c:pt idx="3">
                  <c:v>401400</c:v>
                </c:pt>
                <c:pt idx="4">
                  <c:v>401400</c:v>
                </c:pt>
                <c:pt idx="5">
                  <c:v>401400</c:v>
                </c:pt>
                <c:pt idx="6">
                  <c:v>401400</c:v>
                </c:pt>
                <c:pt idx="7">
                  <c:v>401400</c:v>
                </c:pt>
              </c:numCache>
            </c:numRef>
          </c:val>
          <c:smooth val="0"/>
          <c:extLst>
            <c:ext xmlns:c16="http://schemas.microsoft.com/office/drawing/2014/chart" uri="{C3380CC4-5D6E-409C-BE32-E72D297353CC}">
              <c16:uniqueId val="{00000001-0181-4B5B-AF9B-87F8EE4DBC19}"/>
            </c:ext>
          </c:extLst>
        </c:ser>
        <c:ser>
          <c:idx val="2"/>
          <c:order val="2"/>
          <c:tx>
            <c:v>Latest estimate result</c:v>
          </c:tx>
          <c:spPr>
            <a:ln w="28575" cap="rnd">
              <a:solidFill>
                <a:schemeClr val="accent3"/>
              </a:solidFill>
              <a:round/>
            </a:ln>
            <a:effectLst/>
          </c:spPr>
          <c:marker>
            <c:symbol val="none"/>
          </c:marker>
          <c:val>
            <c:numRef>
              <c:f>Finance!$J$5:$J$12</c:f>
              <c:numCache>
                <c:formatCode>#,##0</c:formatCode>
                <c:ptCount val="8"/>
                <c:pt idx="0">
                  <c:v>413442</c:v>
                </c:pt>
                <c:pt idx="1">
                  <c:v>413442</c:v>
                </c:pt>
                <c:pt idx="2">
                  <c:v>413442</c:v>
                </c:pt>
                <c:pt idx="3">
                  <c:v>413442</c:v>
                </c:pt>
                <c:pt idx="4">
                  <c:v>413442</c:v>
                </c:pt>
                <c:pt idx="5">
                  <c:v>413442</c:v>
                </c:pt>
                <c:pt idx="6">
                  <c:v>413442</c:v>
                </c:pt>
                <c:pt idx="7">
                  <c:v>413442</c:v>
                </c:pt>
              </c:numCache>
            </c:numRef>
          </c:val>
          <c:smooth val="0"/>
          <c:extLst>
            <c:ext xmlns:c16="http://schemas.microsoft.com/office/drawing/2014/chart" uri="{C3380CC4-5D6E-409C-BE32-E72D297353CC}">
              <c16:uniqueId val="{00000002-0181-4B5B-AF9B-87F8EE4DBC19}"/>
            </c:ext>
          </c:extLst>
        </c:ser>
        <c:dLbls>
          <c:showLegendKey val="0"/>
          <c:showVal val="0"/>
          <c:showCatName val="0"/>
          <c:showSerName val="0"/>
          <c:showPercent val="0"/>
          <c:showBubbleSize val="0"/>
        </c:dLbls>
        <c:smooth val="0"/>
        <c:axId val="1188450576"/>
        <c:axId val="1098587696"/>
      </c:lineChart>
      <c:catAx>
        <c:axId val="118845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098587696"/>
        <c:crosses val="autoZero"/>
        <c:auto val="1"/>
        <c:lblAlgn val="ctr"/>
        <c:lblOffset val="100"/>
        <c:noMultiLvlLbl val="0"/>
      </c:catAx>
      <c:valAx>
        <c:axId val="1098587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8845057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YTD result variance by faculty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bar"/>
        <c:grouping val="clustered"/>
        <c:varyColors val="0"/>
        <c:ser>
          <c:idx val="0"/>
          <c:order val="0"/>
          <c:tx>
            <c:v>Variance vs budget</c:v>
          </c:tx>
          <c:spPr>
            <a:solidFill>
              <a:schemeClr val="accent1"/>
            </a:solidFill>
            <a:ln>
              <a:noFill/>
            </a:ln>
            <a:effectLst/>
          </c:spPr>
          <c:invertIfNegative val="0"/>
          <c:cat>
            <c:strRef>
              <c:f>Finance!$A$16:$A$21</c:f>
              <c:strCache>
                <c:ptCount val="6"/>
                <c:pt idx="0">
                  <c:v>Fakultet for humaniora og pedagogikk</c:v>
                </c:pt>
                <c:pt idx="1">
                  <c:v>Fakultet for helse- og idrettsvitenskap</c:v>
                </c:pt>
                <c:pt idx="2">
                  <c:v>Handelshøyskolen UiA</c:v>
                </c:pt>
                <c:pt idx="3">
                  <c:v>Fellesadministrasjon UiA</c:v>
                </c:pt>
                <c:pt idx="4">
                  <c:v>Fakultet for samfunnsvitenskap</c:v>
                </c:pt>
                <c:pt idx="5">
                  <c:v>Fakultet for teknologi og realfag</c:v>
                </c:pt>
              </c:strCache>
            </c:strRef>
          </c:cat>
          <c:val>
            <c:numRef>
              <c:f>Finance!$H$16:$H$21</c:f>
              <c:numCache>
                <c:formatCode>#,##0</c:formatCode>
                <c:ptCount val="6"/>
                <c:pt idx="0">
                  <c:v>-6033864.2699999996</c:v>
                </c:pt>
                <c:pt idx="1">
                  <c:v>-6277338.5199999996</c:v>
                </c:pt>
                <c:pt idx="2">
                  <c:v>-11969674.279999999</c:v>
                </c:pt>
                <c:pt idx="3">
                  <c:v>-12030766.390000001</c:v>
                </c:pt>
                <c:pt idx="4">
                  <c:v>-12101003.74</c:v>
                </c:pt>
                <c:pt idx="5">
                  <c:v>-12594163.52</c:v>
                </c:pt>
              </c:numCache>
            </c:numRef>
          </c:val>
          <c:extLst>
            <c:ext xmlns:c16="http://schemas.microsoft.com/office/drawing/2014/chart" uri="{C3380CC4-5D6E-409C-BE32-E72D297353CC}">
              <c16:uniqueId val="{00000000-E34C-4DDC-834D-494F5A87B9C5}"/>
            </c:ext>
          </c:extLst>
        </c:ser>
        <c:dLbls>
          <c:showLegendKey val="0"/>
          <c:showVal val="0"/>
          <c:showCatName val="0"/>
          <c:showSerName val="0"/>
          <c:showPercent val="0"/>
          <c:showBubbleSize val="0"/>
        </c:dLbls>
        <c:gapWidth val="182"/>
        <c:axId val="1236512240"/>
        <c:axId val="1098603536"/>
      </c:barChart>
      <c:catAx>
        <c:axId val="123651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098603536"/>
        <c:crosses val="autoZero"/>
        <c:auto val="1"/>
        <c:lblAlgn val="ctr"/>
        <c:lblOffset val="100"/>
        <c:noMultiLvlLbl val="0"/>
      </c:catAx>
      <c:valAx>
        <c:axId val="1098603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23651224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FTE vs budget and FC2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0"/>
          <c:order val="0"/>
          <c:tx>
            <c:v>Actual FTE</c:v>
          </c:tx>
          <c:spPr>
            <a:ln w="28575" cap="rnd">
              <a:solidFill>
                <a:schemeClr val="accent1"/>
              </a:solidFill>
              <a:round/>
            </a:ln>
            <a:effectLst/>
          </c:spPr>
          <c:marker>
            <c:symbol val="none"/>
          </c:marker>
          <c:cat>
            <c:strRef>
              <c:f>'Workforce &amp; Study'!$A$5:$A$12</c:f>
              <c:strCache>
                <c:ptCount val="8"/>
                <c:pt idx="0">
                  <c:v>2026-01</c:v>
                </c:pt>
                <c:pt idx="1">
                  <c:v>2026-02</c:v>
                </c:pt>
                <c:pt idx="2">
                  <c:v>2026-03</c:v>
                </c:pt>
                <c:pt idx="3">
                  <c:v>2026-04</c:v>
                </c:pt>
                <c:pt idx="4">
                  <c:v>2026-05</c:v>
                </c:pt>
                <c:pt idx="5">
                  <c:v>2026-06</c:v>
                </c:pt>
                <c:pt idx="6">
                  <c:v>2026-07</c:v>
                </c:pt>
                <c:pt idx="7">
                  <c:v>2026-08</c:v>
                </c:pt>
              </c:strCache>
            </c:strRef>
          </c:cat>
          <c:val>
            <c:numRef>
              <c:f>'Workforce &amp; Study'!$B$5:$B$12</c:f>
              <c:numCache>
                <c:formatCode>0.0</c:formatCode>
                <c:ptCount val="8"/>
                <c:pt idx="0">
                  <c:v>230</c:v>
                </c:pt>
                <c:pt idx="1">
                  <c:v>230</c:v>
                </c:pt>
                <c:pt idx="2">
                  <c:v>230</c:v>
                </c:pt>
                <c:pt idx="3">
                  <c:v>230</c:v>
                </c:pt>
                <c:pt idx="4">
                  <c:v>230</c:v>
                </c:pt>
                <c:pt idx="5">
                  <c:v>230</c:v>
                </c:pt>
                <c:pt idx="6">
                  <c:v>230</c:v>
                </c:pt>
                <c:pt idx="7">
                  <c:v>230</c:v>
                </c:pt>
              </c:numCache>
            </c:numRef>
          </c:val>
          <c:smooth val="0"/>
          <c:extLst>
            <c:ext xmlns:c16="http://schemas.microsoft.com/office/drawing/2014/chart" uri="{C3380CC4-5D6E-409C-BE32-E72D297353CC}">
              <c16:uniqueId val="{00000000-9E30-4929-917E-8E0845172B90}"/>
            </c:ext>
          </c:extLst>
        </c:ser>
        <c:ser>
          <c:idx val="1"/>
          <c:order val="1"/>
          <c:tx>
            <c:v>Budget FTE</c:v>
          </c:tx>
          <c:spPr>
            <a:ln w="28575" cap="rnd">
              <a:solidFill>
                <a:schemeClr val="accent2"/>
              </a:solidFill>
              <a:round/>
            </a:ln>
            <a:effectLst/>
          </c:spPr>
          <c:marker>
            <c:symbol val="none"/>
          </c:marker>
          <c:val>
            <c:numRef>
              <c:f>'Workforce &amp; Study'!$D$5:$D$12</c:f>
              <c:numCache>
                <c:formatCode>0.0</c:formatCode>
                <c:ptCount val="8"/>
                <c:pt idx="0">
                  <c:v>245</c:v>
                </c:pt>
                <c:pt idx="1">
                  <c:v>245</c:v>
                </c:pt>
                <c:pt idx="2">
                  <c:v>245</c:v>
                </c:pt>
                <c:pt idx="3">
                  <c:v>245</c:v>
                </c:pt>
                <c:pt idx="4">
                  <c:v>245</c:v>
                </c:pt>
                <c:pt idx="5">
                  <c:v>245</c:v>
                </c:pt>
                <c:pt idx="6">
                  <c:v>245</c:v>
                </c:pt>
                <c:pt idx="7">
                  <c:v>245</c:v>
                </c:pt>
              </c:numCache>
            </c:numRef>
          </c:val>
          <c:smooth val="0"/>
          <c:extLst>
            <c:ext xmlns:c16="http://schemas.microsoft.com/office/drawing/2014/chart" uri="{C3380CC4-5D6E-409C-BE32-E72D297353CC}">
              <c16:uniqueId val="{00000001-9E30-4929-917E-8E0845172B90}"/>
            </c:ext>
          </c:extLst>
        </c:ser>
        <c:ser>
          <c:idx val="2"/>
          <c:order val="2"/>
          <c:tx>
            <c:v>FC2 FTE</c:v>
          </c:tx>
          <c:spPr>
            <a:ln w="28575" cap="rnd">
              <a:solidFill>
                <a:schemeClr val="accent3"/>
              </a:solidFill>
              <a:round/>
            </a:ln>
            <a:effectLst/>
          </c:spPr>
          <c:marker>
            <c:symbol val="none"/>
          </c:marker>
          <c:val>
            <c:numRef>
              <c:f>'Workforce &amp; Study'!$F$5:$F$12</c:f>
              <c:numCache>
                <c:formatCode>0.0</c:formatCode>
                <c:ptCount val="8"/>
                <c:pt idx="0">
                  <c:v>245</c:v>
                </c:pt>
                <c:pt idx="1">
                  <c:v>245</c:v>
                </c:pt>
                <c:pt idx="2">
                  <c:v>245</c:v>
                </c:pt>
                <c:pt idx="3">
                  <c:v>245</c:v>
                </c:pt>
                <c:pt idx="4">
                  <c:v>245</c:v>
                </c:pt>
                <c:pt idx="5">
                  <c:v>245</c:v>
                </c:pt>
                <c:pt idx="6">
                  <c:v>245</c:v>
                </c:pt>
                <c:pt idx="7">
                  <c:v>245</c:v>
                </c:pt>
              </c:numCache>
            </c:numRef>
          </c:val>
          <c:smooth val="0"/>
          <c:extLst>
            <c:ext xmlns:c16="http://schemas.microsoft.com/office/drawing/2014/chart" uri="{C3380CC4-5D6E-409C-BE32-E72D297353CC}">
              <c16:uniqueId val="{00000002-9E30-4929-917E-8E0845172B90}"/>
            </c:ext>
          </c:extLst>
        </c:ser>
        <c:dLbls>
          <c:showLegendKey val="0"/>
          <c:showVal val="0"/>
          <c:showCatName val="0"/>
          <c:showSerName val="0"/>
          <c:showPercent val="0"/>
          <c:showBubbleSize val="0"/>
        </c:dLbls>
        <c:smooth val="0"/>
        <c:axId val="1236664896"/>
        <c:axId val="1098582896"/>
      </c:lineChart>
      <c:catAx>
        <c:axId val="123666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098582896"/>
        <c:crosses val="autoZero"/>
        <c:auto val="1"/>
        <c:lblAlgn val="ctr"/>
        <c:lblOffset val="100"/>
        <c:noMultiLvlLbl val="0"/>
      </c:catAx>
      <c:valAx>
        <c:axId val="10985828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236664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Study-point completion rate by faculty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bar"/>
        <c:grouping val="clustered"/>
        <c:varyColors val="0"/>
        <c:ser>
          <c:idx val="0"/>
          <c:order val="0"/>
          <c:tx>
            <c:v>Completion rate</c:v>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&amp; Study'!$A$25:$A$29</c:f>
              <c:strCache>
                <c:ptCount val="5"/>
                <c:pt idx="0">
                  <c:v>Fakultet for helse- og idrettsvitenskap</c:v>
                </c:pt>
                <c:pt idx="1">
                  <c:v>Fakultet for teknologi og realfag</c:v>
                </c:pt>
                <c:pt idx="2">
                  <c:v>Fakultet for samfunnsvitenskap</c:v>
                </c:pt>
                <c:pt idx="3">
                  <c:v>Handelshøyskolen UiA</c:v>
                </c:pt>
                <c:pt idx="4">
                  <c:v>Fakultet for humaniora og pedagogikk</c:v>
                </c:pt>
              </c:strCache>
            </c:strRef>
          </c:cat>
          <c:val>
            <c:numRef>
              <c:f>'Workforce &amp; Study'!$F$25:$F$29</c:f>
              <c:numCache>
                <c:formatCode>0.0%</c:formatCode>
                <c:ptCount val="5"/>
                <c:pt idx="0">
                  <c:v>0.85</c:v>
                </c:pt>
                <c:pt idx="1">
                  <c:v>0.85</c:v>
                </c:pt>
                <c:pt idx="2">
                  <c:v>0.75545454550000002</c:v>
                </c:pt>
                <c:pt idx="3">
                  <c:v>0.85</c:v>
                </c:pt>
                <c:pt idx="4">
                  <c:v>0.85</c:v>
                </c:pt>
              </c:numCache>
            </c:numRef>
          </c:val>
          <c:extLst>
            <c:ext xmlns:c16="http://schemas.microsoft.com/office/drawing/2014/chart" uri="{C3380CC4-5D6E-409C-BE32-E72D297353CC}">
              <c16:uniqueId val="{00000000-AAE5-4F45-9658-8699C59F9DF5}"/>
            </c:ext>
          </c:extLst>
        </c:ser>
        <c:dLbls>
          <c:showLegendKey val="0"/>
          <c:showVal val="0"/>
          <c:showCatName val="0"/>
          <c:showSerName val="0"/>
          <c:showPercent val="0"/>
          <c:showBubbleSize val="0"/>
        </c:dLbls>
        <c:gapWidth val="182"/>
        <c:axId val="1237816240"/>
        <c:axId val="1098605936"/>
      </c:barChart>
      <c:catAx>
        <c:axId val="123781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098605936"/>
        <c:crosses val="autoZero"/>
        <c:auto val="1"/>
        <c:lblAlgn val="ctr"/>
        <c:lblOffset val="100"/>
        <c:noMultiLvlLbl val="0"/>
      </c:catAx>
      <c:valAx>
        <c:axId val="1098605936"/>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23781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25400</xdr:rowOff>
    </xdr:from>
    <xdr:to>
      <xdr:col>6</xdr:col>
      <xdr:colOff>844550</xdr:colOff>
      <xdr:row>23</xdr:row>
      <xdr:rowOff>76200</xdr:rowOff>
    </xdr:to>
    <xdr:graphicFrame macro="">
      <xdr:nvGraphicFramePr>
        <xdr:cNvPr id="2" name="Monthly Result vs Plan">
          <a:extLst>
            <a:ext uri="{FF2B5EF4-FFF2-40B4-BE49-F238E27FC236}">
              <a16:creationId xmlns:a16="http://schemas.microsoft.com/office/drawing/2014/main" id="{DCDB8143-9254-93CD-3C78-EB500CA38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844550</xdr:colOff>
      <xdr:row>8</xdr:row>
      <xdr:rowOff>25400</xdr:rowOff>
    </xdr:from>
    <xdr:to>
      <xdr:col>13</xdr:col>
      <xdr:colOff>822325</xdr:colOff>
      <xdr:row>23</xdr:row>
      <xdr:rowOff>76200</xdr:rowOff>
    </xdr:to>
    <xdr:graphicFrame macro="">
      <xdr:nvGraphicFramePr>
        <xdr:cNvPr id="3" name="Faculty YTD Variance">
          <a:extLst>
            <a:ext uri="{FF2B5EF4-FFF2-40B4-BE49-F238E27FC236}">
              <a16:creationId xmlns:a16="http://schemas.microsoft.com/office/drawing/2014/main" id="{41E2DADD-743E-2695-C730-C4B5F80F5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9525</xdr:colOff>
      <xdr:row>3</xdr:row>
      <xdr:rowOff>6350</xdr:rowOff>
    </xdr:from>
    <xdr:to>
      <xdr:col>17</xdr:col>
      <xdr:colOff>9525</xdr:colOff>
      <xdr:row>17</xdr:row>
      <xdr:rowOff>44450</xdr:rowOff>
    </xdr:to>
    <xdr:graphicFrame macro="">
      <xdr:nvGraphicFramePr>
        <xdr:cNvPr id="2" name="FTE Trend">
          <a:extLst>
            <a:ext uri="{FF2B5EF4-FFF2-40B4-BE49-F238E27FC236}">
              <a16:creationId xmlns:a16="http://schemas.microsoft.com/office/drawing/2014/main" id="{CA2BCCA6-7848-0A2C-EE1E-4772DD6B7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xdr:colOff>
      <xdr:row>19</xdr:row>
      <xdr:rowOff>44450</xdr:rowOff>
    </xdr:from>
    <xdr:to>
      <xdr:col>17</xdr:col>
      <xdr:colOff>9525</xdr:colOff>
      <xdr:row>34</xdr:row>
      <xdr:rowOff>85725</xdr:rowOff>
    </xdr:to>
    <xdr:graphicFrame macro="">
      <xdr:nvGraphicFramePr>
        <xdr:cNvPr id="3" name="Study Completion">
          <a:extLst>
            <a:ext uri="{FF2B5EF4-FFF2-40B4-BE49-F238E27FC236}">
              <a16:creationId xmlns:a16="http://schemas.microsoft.com/office/drawing/2014/main" id="{3FB275BE-E523-5B2B-4203-82A0C5E63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5310A-CB17-4B53-8837-E6C3767F967F}">
  <dimension ref="A1:N34"/>
  <sheetViews>
    <sheetView showGridLines="0" tabSelected="1" workbookViewId="0">
      <selection sqref="A1:N1"/>
    </sheetView>
  </sheetViews>
  <sheetFormatPr defaultRowHeight="14.5" x14ac:dyDescent="0.35"/>
  <cols>
    <col min="1" max="1" width="13.08984375" customWidth="1"/>
    <col min="2" max="4" width="9.81640625" customWidth="1"/>
    <col min="5" max="5" width="3.26953125" customWidth="1"/>
    <col min="6" max="6" width="22.90625" customWidth="1"/>
    <col min="7" max="9" width="9.81640625" customWidth="1"/>
    <col min="10" max="10" width="3.26953125" customWidth="1"/>
    <col min="11" max="14" width="9.81640625" customWidth="1"/>
  </cols>
  <sheetData>
    <row r="1" spans="1:14" ht="34" customHeight="1" x14ac:dyDescent="0.65">
      <c r="A1" s="27" t="s">
        <v>660</v>
      </c>
      <c r="B1" s="27"/>
      <c r="C1" s="27"/>
      <c r="D1" s="27"/>
      <c r="E1" s="27"/>
      <c r="F1" s="27"/>
      <c r="G1" s="27"/>
      <c r="H1" s="27"/>
      <c r="I1" s="27"/>
      <c r="J1" s="27"/>
      <c r="K1" s="27"/>
      <c r="L1" s="27"/>
      <c r="M1" s="27"/>
      <c r="N1" s="27"/>
    </row>
    <row r="2" spans="1:14" ht="26" customHeight="1" x14ac:dyDescent="0.45">
      <c r="A2" s="28" t="s">
        <v>661</v>
      </c>
      <c r="B2" s="28"/>
      <c r="C2" s="28"/>
      <c r="D2" s="28"/>
      <c r="E2" s="28"/>
      <c r="F2" s="28"/>
      <c r="G2" s="28"/>
      <c r="H2" s="28"/>
      <c r="I2" s="28"/>
      <c r="J2" s="28"/>
      <c r="K2" s="28"/>
      <c r="L2" s="28"/>
      <c r="M2" s="28"/>
      <c r="N2" s="28"/>
    </row>
    <row r="3" spans="1:14" ht="22" customHeight="1" x14ac:dyDescent="0.35">
      <c r="A3" s="29" t="s">
        <v>662</v>
      </c>
      <c r="B3" s="29"/>
      <c r="C3" s="29"/>
      <c r="D3" s="29"/>
      <c r="E3" s="29"/>
      <c r="F3" s="29"/>
      <c r="G3" s="29"/>
      <c r="H3" s="29"/>
      <c r="I3" s="29"/>
      <c r="J3" s="29"/>
      <c r="K3" s="29"/>
      <c r="L3" s="29"/>
      <c r="M3" s="29"/>
      <c r="N3" s="29"/>
    </row>
    <row r="4" spans="1:14" x14ac:dyDescent="0.35">
      <c r="A4" s="25"/>
      <c r="B4" s="25"/>
      <c r="C4" s="25"/>
      <c r="D4" s="25"/>
      <c r="E4" s="25"/>
      <c r="F4" s="25"/>
      <c r="G4" s="25"/>
      <c r="H4" s="25"/>
      <c r="I4" s="25"/>
      <c r="J4" s="25"/>
      <c r="K4" s="25"/>
      <c r="L4" s="25"/>
      <c r="M4" s="25"/>
      <c r="N4" s="25"/>
    </row>
    <row r="5" spans="1:14" ht="22" customHeight="1" x14ac:dyDescent="0.35">
      <c r="A5" s="30" t="s">
        <v>663</v>
      </c>
      <c r="B5" s="30"/>
      <c r="C5" s="30"/>
      <c r="D5" s="30"/>
      <c r="E5" s="25"/>
      <c r="F5" s="30" t="s">
        <v>664</v>
      </c>
      <c r="G5" s="30"/>
      <c r="H5" s="30"/>
      <c r="I5" s="30"/>
      <c r="J5" s="25"/>
      <c r="K5" s="33" t="s">
        <v>665</v>
      </c>
      <c r="L5" s="33"/>
      <c r="M5" s="33"/>
      <c r="N5" s="33"/>
    </row>
    <row r="6" spans="1:14" ht="25" customHeight="1" x14ac:dyDescent="0.35">
      <c r="A6" s="32">
        <f>Forecast!D5</f>
        <v>57760000</v>
      </c>
      <c r="B6" s="31"/>
      <c r="C6" s="31"/>
      <c r="D6" s="31"/>
      <c r="E6" s="25"/>
      <c r="F6" s="32">
        <f>Forecast!E5</f>
        <v>54548800</v>
      </c>
      <c r="G6" s="31"/>
      <c r="H6" s="31"/>
      <c r="I6" s="31"/>
      <c r="J6" s="25"/>
      <c r="K6" s="32">
        <f>Forecast!F5</f>
        <v>3211200</v>
      </c>
      <c r="L6" s="31"/>
      <c r="M6" s="31"/>
      <c r="N6" s="31"/>
    </row>
    <row r="7" spans="1:14" ht="25" customHeight="1" x14ac:dyDescent="0.35">
      <c r="A7" s="31"/>
      <c r="B7" s="31"/>
      <c r="C7" s="31"/>
      <c r="D7" s="31"/>
      <c r="E7" s="25"/>
      <c r="F7" s="31"/>
      <c r="G7" s="31"/>
      <c r="H7" s="31"/>
      <c r="I7" s="31"/>
      <c r="J7" s="25"/>
      <c r="K7" s="31"/>
      <c r="L7" s="31"/>
      <c r="M7" s="31"/>
      <c r="N7" s="31"/>
    </row>
    <row r="8" spans="1:14" ht="25" customHeight="1" x14ac:dyDescent="0.35">
      <c r="A8" s="31"/>
      <c r="B8" s="31"/>
      <c r="C8" s="31"/>
      <c r="D8" s="31"/>
      <c r="E8" s="25"/>
      <c r="F8" s="31"/>
      <c r="G8" s="31"/>
      <c r="H8" s="31"/>
      <c r="I8" s="31"/>
      <c r="J8" s="25"/>
      <c r="K8" s="31"/>
      <c r="L8" s="31"/>
      <c r="M8" s="31"/>
      <c r="N8" s="31"/>
    </row>
    <row r="9" spans="1:14" ht="22" customHeight="1" x14ac:dyDescent="0.35">
      <c r="A9" s="25"/>
      <c r="B9" s="25"/>
      <c r="C9" s="25"/>
      <c r="D9" s="25"/>
      <c r="E9" s="25"/>
      <c r="F9" s="25"/>
      <c r="G9" s="25"/>
      <c r="H9" s="25"/>
      <c r="I9" s="25"/>
      <c r="J9" s="25"/>
      <c r="K9" s="25"/>
      <c r="L9" s="25"/>
      <c r="M9" s="25"/>
      <c r="N9" s="25"/>
    </row>
    <row r="10" spans="1:14" ht="22" customHeight="1" x14ac:dyDescent="0.35">
      <c r="A10" s="34" t="s">
        <v>76</v>
      </c>
      <c r="B10" s="34"/>
      <c r="C10" s="34"/>
      <c r="D10" s="34"/>
      <c r="E10" s="25"/>
      <c r="F10" s="34" t="s">
        <v>666</v>
      </c>
      <c r="G10" s="34"/>
      <c r="H10" s="34"/>
      <c r="I10" s="34"/>
      <c r="J10" s="25"/>
      <c r="K10" s="36" t="s">
        <v>667</v>
      </c>
      <c r="L10" s="36"/>
      <c r="M10" s="36"/>
      <c r="N10" s="36"/>
    </row>
    <row r="11" spans="1:14" ht="25" customHeight="1" x14ac:dyDescent="0.35">
      <c r="A11" s="32">
        <f>SUM(Finance!D5:D12)</f>
        <v>-57795610.719999999</v>
      </c>
      <c r="B11" s="31"/>
      <c r="C11" s="31"/>
      <c r="D11" s="31"/>
      <c r="E11" s="25"/>
      <c r="F11" s="32">
        <f>SUM(Finance!G5:G12)</f>
        <v>3211200</v>
      </c>
      <c r="G11" s="31"/>
      <c r="H11" s="31"/>
      <c r="I11" s="31"/>
      <c r="J11" s="25"/>
      <c r="K11" s="32">
        <f>A11-F11</f>
        <v>-61006810.719999999</v>
      </c>
      <c r="L11" s="31"/>
      <c r="M11" s="31"/>
      <c r="N11" s="31"/>
    </row>
    <row r="12" spans="1:14" ht="25" customHeight="1" x14ac:dyDescent="0.35">
      <c r="A12" s="31"/>
      <c r="B12" s="31"/>
      <c r="C12" s="31"/>
      <c r="D12" s="31"/>
      <c r="E12" s="25"/>
      <c r="F12" s="31"/>
      <c r="G12" s="31"/>
      <c r="H12" s="31"/>
      <c r="I12" s="31"/>
      <c r="J12" s="25"/>
      <c r="K12" s="31"/>
      <c r="L12" s="31"/>
      <c r="M12" s="31"/>
      <c r="N12" s="31"/>
    </row>
    <row r="13" spans="1:14" ht="25" customHeight="1" x14ac:dyDescent="0.35">
      <c r="A13" s="31"/>
      <c r="B13" s="31"/>
      <c r="C13" s="31"/>
      <c r="D13" s="31"/>
      <c r="E13" s="25"/>
      <c r="F13" s="31"/>
      <c r="G13" s="31"/>
      <c r="H13" s="31"/>
      <c r="I13" s="31"/>
      <c r="J13" s="25"/>
      <c r="K13" s="31"/>
      <c r="L13" s="31"/>
      <c r="M13" s="31"/>
      <c r="N13" s="31"/>
    </row>
    <row r="14" spans="1:14" ht="22" customHeight="1" x14ac:dyDescent="0.35">
      <c r="A14" s="25"/>
      <c r="B14" s="25"/>
      <c r="C14" s="25"/>
      <c r="D14" s="25"/>
      <c r="E14" s="25"/>
      <c r="F14" s="25"/>
      <c r="G14" s="25"/>
      <c r="H14" s="25"/>
      <c r="I14" s="25"/>
      <c r="J14" s="25"/>
      <c r="K14" s="25"/>
      <c r="L14" s="25"/>
      <c r="M14" s="25"/>
      <c r="N14" s="25"/>
    </row>
    <row r="15" spans="1:14" ht="22" customHeight="1" x14ac:dyDescent="0.35">
      <c r="A15" s="30" t="s">
        <v>78</v>
      </c>
      <c r="B15" s="30"/>
      <c r="C15" s="30"/>
      <c r="D15" s="30"/>
      <c r="E15" s="25"/>
      <c r="F15" s="30" t="s">
        <v>79</v>
      </c>
      <c r="G15" s="30"/>
      <c r="H15" s="30"/>
      <c r="I15" s="30"/>
      <c r="J15" s="25"/>
      <c r="K15" s="33" t="s">
        <v>668</v>
      </c>
      <c r="L15" s="33"/>
      <c r="M15" s="33"/>
      <c r="N15" s="33"/>
    </row>
    <row r="16" spans="1:14" ht="25" customHeight="1" x14ac:dyDescent="0.35">
      <c r="A16" s="32">
        <f>Forecast!F8</f>
        <v>3307536</v>
      </c>
      <c r="B16" s="31"/>
      <c r="C16" s="31"/>
      <c r="D16" s="31"/>
      <c r="E16" s="25"/>
      <c r="F16" s="32">
        <f>Forecast!F8-Forecast!F5</f>
        <v>96336</v>
      </c>
      <c r="G16" s="31"/>
      <c r="H16" s="31"/>
      <c r="I16" s="31"/>
      <c r="J16" s="25"/>
      <c r="K16" s="37">
        <f>IFERROR(Forecast!F5/Forecast!D5,0)</f>
        <v>5.5595567867036011E-2</v>
      </c>
      <c r="L16" s="31"/>
      <c r="M16" s="31"/>
      <c r="N16" s="31"/>
    </row>
    <row r="17" spans="1:14" ht="25" customHeight="1" x14ac:dyDescent="0.35">
      <c r="A17" s="31"/>
      <c r="B17" s="31"/>
      <c r="C17" s="31"/>
      <c r="D17" s="31"/>
      <c r="E17" s="25"/>
      <c r="F17" s="31"/>
      <c r="G17" s="31"/>
      <c r="H17" s="31"/>
      <c r="I17" s="31"/>
      <c r="J17" s="25"/>
      <c r="K17" s="31"/>
      <c r="L17" s="31"/>
      <c r="M17" s="31"/>
      <c r="N17" s="31"/>
    </row>
    <row r="18" spans="1:14" ht="25" customHeight="1" x14ac:dyDescent="0.35">
      <c r="A18" s="31"/>
      <c r="B18" s="31"/>
      <c r="C18" s="31"/>
      <c r="D18" s="31"/>
      <c r="E18" s="25"/>
      <c r="F18" s="31"/>
      <c r="G18" s="31"/>
      <c r="H18" s="31"/>
      <c r="I18" s="31"/>
      <c r="J18" s="25"/>
      <c r="K18" s="31"/>
      <c r="L18" s="31"/>
      <c r="M18" s="31"/>
      <c r="N18" s="31"/>
    </row>
    <row r="19" spans="1:14" x14ac:dyDescent="0.35">
      <c r="A19" s="25"/>
      <c r="B19" s="25"/>
      <c r="C19" s="25"/>
      <c r="D19" s="25"/>
      <c r="E19" s="25"/>
      <c r="F19" s="25"/>
      <c r="G19" s="25"/>
      <c r="H19" s="25"/>
      <c r="I19" s="25"/>
      <c r="J19" s="25"/>
      <c r="K19" s="25"/>
      <c r="L19" s="25"/>
      <c r="M19" s="25"/>
      <c r="N19" s="25"/>
    </row>
    <row r="20" spans="1:14" x14ac:dyDescent="0.35">
      <c r="A20" s="25"/>
      <c r="B20" s="25"/>
      <c r="C20" s="25"/>
      <c r="D20" s="25"/>
      <c r="E20" s="25"/>
      <c r="F20" s="25"/>
      <c r="G20" s="25"/>
      <c r="H20" s="25"/>
      <c r="I20" s="25"/>
      <c r="J20" s="25"/>
      <c r="K20" s="25"/>
      <c r="L20" s="25"/>
      <c r="M20" s="25"/>
      <c r="N20" s="25"/>
    </row>
    <row r="21" spans="1:14" ht="22" customHeight="1" x14ac:dyDescent="0.35">
      <c r="A21" s="26" t="s">
        <v>669</v>
      </c>
      <c r="B21" s="26"/>
      <c r="C21" s="26"/>
      <c r="D21" s="26"/>
      <c r="E21" s="26"/>
      <c r="F21" s="26"/>
      <c r="G21" s="25"/>
      <c r="H21" s="26" t="s">
        <v>671</v>
      </c>
      <c r="I21" s="26"/>
      <c r="J21" s="26"/>
      <c r="K21" s="26"/>
      <c r="L21" s="26"/>
      <c r="M21" s="26"/>
      <c r="N21" s="26"/>
    </row>
    <row r="22" spans="1:14" ht="28" customHeight="1" x14ac:dyDescent="0.35">
      <c r="A22" s="38" t="s">
        <v>8</v>
      </c>
      <c r="B22" s="38"/>
      <c r="C22" s="38"/>
      <c r="D22" s="38"/>
      <c r="E22" s="38"/>
      <c r="F22" s="39">
        <f>Forecast!D5</f>
        <v>57760000</v>
      </c>
      <c r="G22" s="25"/>
      <c r="H22" s="43" t="str">
        <f>"The 2026 budget plans "&amp;TEXT(Forecast!D5/1000000,"0.0")&amp;"m NOK income and "&amp;TEXT(Forecast!E5/1000000,"0.0")&amp;"m NOK cost, producing a "&amp;TEXT(Forecast!F5/1000000,"0.0")&amp;"m NOK surplus. Latest estimate improves the result by "&amp;TEXT((Forecast!F8-Forecast!F5)/1000,"0")&amp;"k NOK."</f>
        <v>The 2026 budget plans 57.8m NOK income and 54.5m NOK cost, producing a 3.2m NOK surplus. Latest estimate improves the result by 96k NOK.</v>
      </c>
      <c r="I22" s="43"/>
      <c r="J22" s="43"/>
      <c r="K22" s="43"/>
      <c r="L22" s="43"/>
      <c r="M22" s="43"/>
      <c r="N22" s="43"/>
    </row>
    <row r="23" spans="1:14" ht="28" customHeight="1" x14ac:dyDescent="0.35">
      <c r="A23" s="38" t="s">
        <v>9</v>
      </c>
      <c r="B23" s="38"/>
      <c r="C23" s="38"/>
      <c r="D23" s="38"/>
      <c r="E23" s="38"/>
      <c r="F23" s="39">
        <f>Forecast!E5</f>
        <v>54548800</v>
      </c>
      <c r="G23" s="25"/>
      <c r="H23" s="43"/>
      <c r="I23" s="43"/>
      <c r="J23" s="43"/>
      <c r="K23" s="43"/>
      <c r="L23" s="43"/>
      <c r="M23" s="43"/>
      <c r="N23" s="43"/>
    </row>
    <row r="24" spans="1:14" ht="28" customHeight="1" x14ac:dyDescent="0.35">
      <c r="A24" s="38" t="s">
        <v>10</v>
      </c>
      <c r="B24" s="38"/>
      <c r="C24" s="38"/>
      <c r="D24" s="38"/>
      <c r="E24" s="38"/>
      <c r="F24" s="39">
        <f>Forecast!F5</f>
        <v>3211200</v>
      </c>
      <c r="G24" s="25"/>
      <c r="H24" s="43"/>
      <c r="I24" s="43"/>
      <c r="J24" s="43"/>
      <c r="K24" s="43"/>
      <c r="L24" s="43"/>
      <c r="M24" s="43"/>
      <c r="N24" s="43"/>
    </row>
    <row r="25" spans="1:14" ht="22" customHeight="1" x14ac:dyDescent="0.35">
      <c r="A25" s="38" t="s">
        <v>74</v>
      </c>
      <c r="B25" s="38"/>
      <c r="C25" s="38"/>
      <c r="D25" s="38"/>
      <c r="E25" s="38"/>
      <c r="F25" s="39">
        <f>Forecast!F8</f>
        <v>3307536</v>
      </c>
      <c r="G25" s="25"/>
      <c r="H25" s="25"/>
      <c r="I25" s="25"/>
      <c r="J25" s="25"/>
      <c r="K25" s="25"/>
      <c r="L25" s="25"/>
      <c r="M25" s="25"/>
      <c r="N25" s="25"/>
    </row>
    <row r="26" spans="1:14" ht="22" customHeight="1" x14ac:dyDescent="0.35">
      <c r="A26" s="40" t="s">
        <v>670</v>
      </c>
      <c r="B26" s="40"/>
      <c r="C26" s="40"/>
      <c r="D26" s="40"/>
      <c r="E26" s="40"/>
      <c r="F26" s="41">
        <f>F25-F24</f>
        <v>96336</v>
      </c>
      <c r="G26" s="25"/>
      <c r="H26" s="35" t="s">
        <v>672</v>
      </c>
      <c r="I26" s="35"/>
      <c r="J26" s="35"/>
      <c r="K26" s="35"/>
      <c r="L26" s="35"/>
      <c r="M26" s="35"/>
      <c r="N26" s="35"/>
    </row>
    <row r="27" spans="1:14" ht="24" customHeight="1" x14ac:dyDescent="0.35">
      <c r="A27" s="25"/>
      <c r="B27" s="25"/>
      <c r="C27" s="25"/>
      <c r="D27" s="25"/>
      <c r="E27" s="25"/>
      <c r="F27" s="25"/>
      <c r="G27" s="25"/>
      <c r="H27" s="44" t="s">
        <v>673</v>
      </c>
      <c r="I27" s="44"/>
      <c r="J27" s="44"/>
      <c r="K27" s="44"/>
      <c r="L27" s="44"/>
      <c r="M27" s="44"/>
      <c r="N27" s="44"/>
    </row>
    <row r="28" spans="1:14" ht="24" customHeight="1" x14ac:dyDescent="0.35">
      <c r="A28" s="25"/>
      <c r="B28" s="25"/>
      <c r="C28" s="25"/>
      <c r="D28" s="25"/>
      <c r="E28" s="25"/>
      <c r="F28" s="25"/>
      <c r="G28" s="25"/>
      <c r="H28" s="44"/>
      <c r="I28" s="44"/>
      <c r="J28" s="44"/>
      <c r="K28" s="44"/>
      <c r="L28" s="44"/>
      <c r="M28" s="44"/>
      <c r="N28" s="44"/>
    </row>
    <row r="29" spans="1:14" ht="24" customHeight="1" x14ac:dyDescent="0.35">
      <c r="A29" s="45" t="s">
        <v>674</v>
      </c>
      <c r="B29" s="45"/>
      <c r="C29" s="45"/>
      <c r="D29" s="45"/>
      <c r="E29" s="45"/>
      <c r="F29" s="45"/>
      <c r="G29" s="25"/>
      <c r="H29" s="44"/>
      <c r="I29" s="44"/>
      <c r="J29" s="44"/>
      <c r="K29" s="44"/>
      <c r="L29" s="44"/>
      <c r="M29" s="44"/>
      <c r="N29" s="44"/>
    </row>
    <row r="30" spans="1:14" ht="24" customHeight="1" x14ac:dyDescent="0.35">
      <c r="A30" s="42" t="s">
        <v>675</v>
      </c>
      <c r="B30" s="42"/>
      <c r="C30" s="42"/>
      <c r="D30" s="42"/>
      <c r="E30" s="42"/>
      <c r="F30" s="42"/>
      <c r="G30" s="25"/>
      <c r="H30" s="44"/>
      <c r="I30" s="44"/>
      <c r="J30" s="44"/>
      <c r="K30" s="44"/>
      <c r="L30" s="44"/>
      <c r="M30" s="44"/>
      <c r="N30" s="44"/>
    </row>
    <row r="31" spans="1:14" ht="24" customHeight="1" x14ac:dyDescent="0.35">
      <c r="A31" s="42"/>
      <c r="B31" s="42"/>
      <c r="C31" s="42"/>
      <c r="D31" s="42"/>
      <c r="E31" s="42"/>
      <c r="F31" s="42"/>
      <c r="G31" s="25"/>
      <c r="H31" s="25"/>
      <c r="I31" s="25"/>
      <c r="J31" s="25"/>
      <c r="K31" s="25"/>
      <c r="L31" s="25"/>
      <c r="M31" s="25"/>
      <c r="N31" s="25"/>
    </row>
    <row r="32" spans="1:14" ht="24" customHeight="1" x14ac:dyDescent="0.35">
      <c r="A32" s="42"/>
      <c r="B32" s="42"/>
      <c r="C32" s="42"/>
      <c r="D32" s="42"/>
      <c r="E32" s="42"/>
      <c r="F32" s="42"/>
      <c r="G32" s="25"/>
      <c r="H32" s="25"/>
      <c r="I32" s="25"/>
      <c r="J32" s="25"/>
      <c r="K32" s="25"/>
      <c r="L32" s="25"/>
      <c r="M32" s="25"/>
      <c r="N32" s="25"/>
    </row>
    <row r="33" spans="1:14" ht="22" customHeight="1" x14ac:dyDescent="0.35">
      <c r="A33" s="25"/>
      <c r="B33" s="25"/>
      <c r="C33" s="25"/>
      <c r="D33" s="25"/>
      <c r="E33" s="25"/>
      <c r="F33" s="25"/>
      <c r="G33" s="25"/>
      <c r="H33" s="25"/>
      <c r="I33" s="25"/>
      <c r="J33" s="25"/>
      <c r="K33" s="25"/>
      <c r="L33" s="25"/>
      <c r="M33" s="25"/>
      <c r="N33" s="25"/>
    </row>
    <row r="34" spans="1:14" ht="22" customHeight="1" x14ac:dyDescent="0.35">
      <c r="A34" s="46" t="s">
        <v>676</v>
      </c>
      <c r="B34" s="46"/>
      <c r="C34" s="46"/>
      <c r="D34" s="46"/>
      <c r="E34" s="46"/>
      <c r="F34" s="46"/>
      <c r="G34" s="46"/>
      <c r="H34" s="46"/>
      <c r="I34" s="46"/>
      <c r="J34" s="46"/>
      <c r="K34" s="46"/>
      <c r="L34" s="46"/>
      <c r="M34" s="46"/>
      <c r="N34" s="46"/>
    </row>
  </sheetData>
  <mergeCells count="29">
    <mergeCell ref="A34:N34"/>
    <mergeCell ref="A21:F21"/>
    <mergeCell ref="H21:N21"/>
    <mergeCell ref="H22:N24"/>
    <mergeCell ref="H26:N26"/>
    <mergeCell ref="H27:N30"/>
    <mergeCell ref="A29:F29"/>
    <mergeCell ref="A30:F32"/>
    <mergeCell ref="A15:D15"/>
    <mergeCell ref="A16:D18"/>
    <mergeCell ref="F15:I15"/>
    <mergeCell ref="F16:I18"/>
    <mergeCell ref="K15:N15"/>
    <mergeCell ref="K16:N18"/>
    <mergeCell ref="A10:D10"/>
    <mergeCell ref="A11:D13"/>
    <mergeCell ref="F10:I10"/>
    <mergeCell ref="F11:I13"/>
    <mergeCell ref="K10:N10"/>
    <mergeCell ref="K11:N13"/>
    <mergeCell ref="A1:N1"/>
    <mergeCell ref="A2:N2"/>
    <mergeCell ref="A3:N3"/>
    <mergeCell ref="A5:D5"/>
    <mergeCell ref="A6:D8"/>
    <mergeCell ref="F5:I5"/>
    <mergeCell ref="F6:I8"/>
    <mergeCell ref="K5:N5"/>
    <mergeCell ref="K6:N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17FA1-F78F-49D7-AE89-26C504835073}">
  <dimension ref="A1:N34"/>
  <sheetViews>
    <sheetView workbookViewId="0">
      <selection sqref="A1:N1"/>
    </sheetView>
  </sheetViews>
  <sheetFormatPr defaultRowHeight="14.5" x14ac:dyDescent="0.35"/>
  <cols>
    <col min="1" max="14" width="12.36328125" customWidth="1"/>
  </cols>
  <sheetData>
    <row r="1" spans="1:14" ht="28.5" x14ac:dyDescent="0.65">
      <c r="A1" s="3" t="s">
        <v>0</v>
      </c>
      <c r="B1" s="2"/>
      <c r="C1" s="2"/>
      <c r="D1" s="2"/>
      <c r="E1" s="2"/>
      <c r="F1" s="2"/>
      <c r="G1" s="2"/>
      <c r="H1" s="2"/>
      <c r="I1" s="2"/>
      <c r="J1" s="2"/>
      <c r="K1" s="2"/>
      <c r="L1" s="2"/>
      <c r="M1" s="2"/>
      <c r="N1" s="2"/>
    </row>
    <row r="2" spans="1:14" x14ac:dyDescent="0.35">
      <c r="A2" s="2" t="s">
        <v>1</v>
      </c>
      <c r="B2" s="2"/>
      <c r="C2" s="2"/>
      <c r="D2" s="2"/>
      <c r="E2" s="2"/>
      <c r="F2" s="2"/>
      <c r="G2" s="2"/>
      <c r="H2" s="2"/>
      <c r="I2" s="2"/>
      <c r="J2" s="2"/>
      <c r="K2" s="2"/>
      <c r="L2" s="2"/>
      <c r="M2" s="2"/>
      <c r="N2" s="2"/>
    </row>
    <row r="3" spans="1:14" x14ac:dyDescent="0.35">
      <c r="A3" s="8" t="s">
        <v>75</v>
      </c>
      <c r="B3" s="1"/>
      <c r="C3" s="1"/>
      <c r="D3" s="1"/>
      <c r="E3" s="1"/>
      <c r="F3" s="1"/>
      <c r="G3" s="1"/>
      <c r="H3" s="1"/>
      <c r="I3" s="1"/>
      <c r="J3" s="1"/>
      <c r="K3" s="1"/>
      <c r="L3" s="1"/>
      <c r="M3" s="1"/>
      <c r="N3" s="1"/>
    </row>
    <row r="5" spans="1:14" x14ac:dyDescent="0.35">
      <c r="A5" s="9" t="s">
        <v>76</v>
      </c>
      <c r="B5" s="9"/>
      <c r="C5" s="9"/>
      <c r="E5" s="9" t="s">
        <v>77</v>
      </c>
      <c r="F5" s="9"/>
      <c r="G5" s="9"/>
      <c r="I5" s="9" t="s">
        <v>78</v>
      </c>
      <c r="J5" s="9"/>
      <c r="K5" s="9"/>
      <c r="M5" s="9" t="s">
        <v>79</v>
      </c>
      <c r="N5" s="9"/>
    </row>
    <row r="6" spans="1:14" x14ac:dyDescent="0.35">
      <c r="A6" s="10">
        <f>SUM(Finance!D5:D12)</f>
        <v>-57795610.719999999</v>
      </c>
      <c r="B6" s="10"/>
      <c r="C6" s="10"/>
      <c r="E6" s="10">
        <f>SUM(Finance!K5:K12)</f>
        <v>-61006810.719999999</v>
      </c>
      <c r="F6" s="10"/>
      <c r="G6" s="10"/>
      <c r="I6" s="10">
        <f>Forecast!F8</f>
        <v>3307536</v>
      </c>
      <c r="J6" s="10"/>
      <c r="K6" s="10"/>
      <c r="M6" s="10">
        <f>Forecast!F8-Forecast!F5</f>
        <v>96336</v>
      </c>
      <c r="N6" s="10"/>
    </row>
    <row r="7" spans="1:14" x14ac:dyDescent="0.35">
      <c r="A7" s="10"/>
      <c r="B7" s="10"/>
      <c r="C7" s="10"/>
      <c r="E7" s="10"/>
      <c r="F7" s="10"/>
      <c r="G7" s="10"/>
      <c r="I7" s="10"/>
      <c r="J7" s="10"/>
      <c r="K7" s="10"/>
      <c r="M7" s="10"/>
      <c r="N7" s="10"/>
    </row>
    <row r="25" spans="1:14" x14ac:dyDescent="0.35">
      <c r="A25" s="11" t="s">
        <v>80</v>
      </c>
      <c r="B25" s="11"/>
      <c r="C25" s="11"/>
      <c r="D25" s="11"/>
      <c r="E25" s="11"/>
      <c r="F25" s="11"/>
      <c r="G25" s="11"/>
      <c r="H25" s="11"/>
      <c r="I25" s="11"/>
      <c r="J25" s="11"/>
      <c r="K25" s="11"/>
      <c r="L25" s="11"/>
      <c r="M25" s="11"/>
      <c r="N25" s="11"/>
    </row>
    <row r="27" spans="1:14" x14ac:dyDescent="0.35">
      <c r="A27" s="12" t="s">
        <v>81</v>
      </c>
      <c r="B27" s="12"/>
      <c r="D27" s="12" t="s">
        <v>82</v>
      </c>
      <c r="E27" s="12"/>
      <c r="G27" s="12" t="s">
        <v>83</v>
      </c>
      <c r="H27" s="12"/>
      <c r="J27" s="12" t="s">
        <v>84</v>
      </c>
      <c r="K27" s="12"/>
      <c r="M27" s="12" t="s">
        <v>85</v>
      </c>
      <c r="N27" s="12"/>
    </row>
    <row r="28" spans="1:14" x14ac:dyDescent="0.35">
      <c r="A28" s="13">
        <v>230</v>
      </c>
      <c r="B28" s="13"/>
      <c r="D28" s="13">
        <v>185</v>
      </c>
      <c r="E28" s="13"/>
      <c r="G28" s="14">
        <v>780</v>
      </c>
      <c r="H28" s="14"/>
      <c r="J28" s="15">
        <v>0.83</v>
      </c>
      <c r="K28" s="15"/>
      <c r="M28" s="16">
        <v>4</v>
      </c>
      <c r="N28" s="16"/>
    </row>
    <row r="29" spans="1:14" x14ac:dyDescent="0.35">
      <c r="A29" s="13"/>
      <c r="B29" s="13"/>
      <c r="D29" s="13"/>
      <c r="E29" s="13"/>
      <c r="G29" s="14"/>
      <c r="H29" s="14"/>
      <c r="J29" s="15"/>
      <c r="K29" s="15"/>
      <c r="M29" s="16"/>
      <c r="N29" s="16"/>
    </row>
    <row r="32" spans="1:14" x14ac:dyDescent="0.35">
      <c r="A32" s="17" t="s">
        <v>86</v>
      </c>
      <c r="B32" s="17"/>
      <c r="C32" s="17"/>
      <c r="D32" s="17"/>
      <c r="E32" s="17"/>
      <c r="F32" s="17"/>
      <c r="G32" s="17"/>
      <c r="H32" s="17"/>
      <c r="I32" s="17"/>
      <c r="J32" s="17"/>
      <c r="K32" s="17"/>
      <c r="L32" s="17"/>
      <c r="M32" s="17"/>
      <c r="N32" s="17"/>
    </row>
    <row r="33" spans="1:14" x14ac:dyDescent="0.35">
      <c r="A33" s="17"/>
      <c r="B33" s="17"/>
      <c r="C33" s="17"/>
      <c r="D33" s="17"/>
      <c r="E33" s="17"/>
      <c r="F33" s="17"/>
      <c r="G33" s="17"/>
      <c r="H33" s="17"/>
      <c r="I33" s="17"/>
      <c r="J33" s="17"/>
      <c r="K33" s="17"/>
      <c r="L33" s="17"/>
      <c r="M33" s="17"/>
      <c r="N33" s="17"/>
    </row>
    <row r="34" spans="1:14" x14ac:dyDescent="0.35">
      <c r="A34" s="17"/>
      <c r="B34" s="17"/>
      <c r="C34" s="17"/>
      <c r="D34" s="17"/>
      <c r="E34" s="17"/>
      <c r="F34" s="17"/>
      <c r="G34" s="17"/>
      <c r="H34" s="17"/>
      <c r="I34" s="17"/>
      <c r="J34" s="17"/>
      <c r="K34" s="17"/>
      <c r="L34" s="17"/>
      <c r="M34" s="17"/>
      <c r="N34" s="17"/>
    </row>
  </sheetData>
  <mergeCells count="23">
    <mergeCell ref="M27:N27"/>
    <mergeCell ref="M28:N29"/>
    <mergeCell ref="A32:N34"/>
    <mergeCell ref="M6:N7"/>
    <mergeCell ref="A25:N25"/>
    <mergeCell ref="A27:B27"/>
    <mergeCell ref="A28:B29"/>
    <mergeCell ref="D27:E27"/>
    <mergeCell ref="D28:E29"/>
    <mergeCell ref="G27:H27"/>
    <mergeCell ref="G28:H29"/>
    <mergeCell ref="J27:K27"/>
    <mergeCell ref="J28:K29"/>
    <mergeCell ref="A1:N1"/>
    <mergeCell ref="A2:N2"/>
    <mergeCell ref="A3:N3"/>
    <mergeCell ref="A5:C5"/>
    <mergeCell ref="A6:C7"/>
    <mergeCell ref="E5:G5"/>
    <mergeCell ref="E6:G7"/>
    <mergeCell ref="I5:K5"/>
    <mergeCell ref="I6:K7"/>
    <mergeCell ref="M5:N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FF74-2EFB-4349-947D-DE1037B48129}">
  <dimension ref="A1:K44"/>
  <sheetViews>
    <sheetView workbookViewId="0">
      <selection sqref="A1:N1"/>
    </sheetView>
  </sheetViews>
  <sheetFormatPr defaultRowHeight="14.5" x14ac:dyDescent="0.35"/>
  <cols>
    <col min="1" max="1" width="15.453125" customWidth="1"/>
    <col min="2" max="2" width="42.7265625" customWidth="1"/>
    <col min="3" max="3" width="9.90625" bestFit="1" customWidth="1"/>
    <col min="4" max="5" width="10.54296875" bestFit="1" customWidth="1"/>
    <col min="6" max="7" width="9.90625" bestFit="1" customWidth="1"/>
    <col min="8" max="8" width="10.54296875" bestFit="1" customWidth="1"/>
    <col min="9" max="9" width="9.54296875" bestFit="1" customWidth="1"/>
    <col min="10" max="10" width="8.453125" bestFit="1" customWidth="1"/>
    <col min="11" max="11" width="9.54296875" bestFit="1" customWidth="1"/>
  </cols>
  <sheetData>
    <row r="1" spans="1:11" ht="26" x14ac:dyDescent="0.6">
      <c r="A1" s="4" t="s">
        <v>2</v>
      </c>
      <c r="B1" s="2"/>
      <c r="C1" s="2"/>
      <c r="D1" s="2"/>
      <c r="E1" s="2"/>
      <c r="F1" s="2"/>
      <c r="G1" s="2"/>
      <c r="H1" s="2"/>
      <c r="I1" s="2"/>
      <c r="J1" s="2"/>
      <c r="K1" s="2"/>
    </row>
    <row r="2" spans="1:11" x14ac:dyDescent="0.35">
      <c r="A2" s="2" t="s">
        <v>3</v>
      </c>
      <c r="B2" s="2"/>
      <c r="C2" s="2"/>
      <c r="D2" s="2"/>
      <c r="E2" s="2"/>
      <c r="F2" s="2"/>
      <c r="G2" s="2"/>
      <c r="H2" s="2"/>
      <c r="I2" s="2"/>
      <c r="J2" s="2"/>
      <c r="K2" s="2"/>
    </row>
    <row r="4" spans="1:11" ht="29" x14ac:dyDescent="0.35">
      <c r="A4" s="5" t="s">
        <v>4</v>
      </c>
      <c r="B4" s="5" t="s">
        <v>5</v>
      </c>
      <c r="C4" s="5" t="s">
        <v>6</v>
      </c>
      <c r="D4" s="5" t="s">
        <v>7</v>
      </c>
      <c r="E4" s="5" t="s">
        <v>8</v>
      </c>
      <c r="F4" s="5" t="s">
        <v>9</v>
      </c>
      <c r="G4" s="5" t="s">
        <v>10</v>
      </c>
      <c r="H4" s="5" t="s">
        <v>11</v>
      </c>
      <c r="I4" s="5" t="s">
        <v>12</v>
      </c>
      <c r="J4" s="5" t="s">
        <v>13</v>
      </c>
      <c r="K4" s="5" t="s">
        <v>14</v>
      </c>
    </row>
    <row r="5" spans="1:11" x14ac:dyDescent="0.35">
      <c r="A5" t="s">
        <v>15</v>
      </c>
      <c r="B5" s="6">
        <v>911092</v>
      </c>
      <c r="C5" s="6">
        <v>7945835.4500000002</v>
      </c>
      <c r="D5" s="6">
        <v>-7034743.4500000002</v>
      </c>
      <c r="E5" s="6">
        <v>7220000</v>
      </c>
      <c r="F5" s="6">
        <v>6818600</v>
      </c>
      <c r="G5" s="6">
        <v>401400</v>
      </c>
      <c r="H5" s="6">
        <v>7436600</v>
      </c>
      <c r="I5" s="6">
        <v>7023158</v>
      </c>
      <c r="J5" s="6">
        <v>413442</v>
      </c>
      <c r="K5" s="6">
        <v>-7436143.4500000002</v>
      </c>
    </row>
    <row r="6" spans="1:11" x14ac:dyDescent="0.35">
      <c r="A6" t="s">
        <v>16</v>
      </c>
      <c r="B6" s="6">
        <v>923373</v>
      </c>
      <c r="C6" s="6">
        <v>7883222.1900000004</v>
      </c>
      <c r="D6" s="6">
        <v>-6959849.1900000004</v>
      </c>
      <c r="E6" s="6">
        <v>7220000</v>
      </c>
      <c r="F6" s="6">
        <v>6818600</v>
      </c>
      <c r="G6" s="6">
        <v>401400</v>
      </c>
      <c r="H6" s="6">
        <v>7436600</v>
      </c>
      <c r="I6" s="6">
        <v>7023158</v>
      </c>
      <c r="J6" s="6">
        <v>413442</v>
      </c>
      <c r="K6" s="6">
        <v>-7361249.1900000004</v>
      </c>
    </row>
    <row r="7" spans="1:11" x14ac:dyDescent="0.35">
      <c r="A7" t="s">
        <v>17</v>
      </c>
      <c r="B7" s="6">
        <v>879237</v>
      </c>
      <c r="C7" s="6">
        <v>7943102.2400000002</v>
      </c>
      <c r="D7" s="6">
        <v>-7063865.2400000002</v>
      </c>
      <c r="E7" s="6">
        <v>7220000</v>
      </c>
      <c r="F7" s="6">
        <v>6818600</v>
      </c>
      <c r="G7" s="6">
        <v>401400</v>
      </c>
      <c r="H7" s="6">
        <v>7436600</v>
      </c>
      <c r="I7" s="6">
        <v>7023158</v>
      </c>
      <c r="J7" s="6">
        <v>413442</v>
      </c>
      <c r="K7" s="6">
        <v>-7465265.2400000002</v>
      </c>
    </row>
    <row r="8" spans="1:11" x14ac:dyDescent="0.35">
      <c r="A8" t="s">
        <v>18</v>
      </c>
      <c r="B8" s="6">
        <v>915863</v>
      </c>
      <c r="C8" s="6">
        <v>7981785.7599999998</v>
      </c>
      <c r="D8" s="6">
        <v>-7065922.7599999998</v>
      </c>
      <c r="E8" s="6">
        <v>7220000</v>
      </c>
      <c r="F8" s="6">
        <v>6818600</v>
      </c>
      <c r="G8" s="6">
        <v>401400</v>
      </c>
      <c r="H8" s="6">
        <v>7436600</v>
      </c>
      <c r="I8" s="6">
        <v>7023158</v>
      </c>
      <c r="J8" s="6">
        <v>413442</v>
      </c>
      <c r="K8" s="6">
        <v>-7467322.7599999998</v>
      </c>
    </row>
    <row r="9" spans="1:11" x14ac:dyDescent="0.35">
      <c r="A9" t="s">
        <v>19</v>
      </c>
      <c r="B9" s="6">
        <v>928751</v>
      </c>
      <c r="C9" s="6">
        <v>8662044.4100000001</v>
      </c>
      <c r="D9" s="6">
        <v>-7733293.4100000001</v>
      </c>
      <c r="E9" s="6">
        <v>7220000</v>
      </c>
      <c r="F9" s="6">
        <v>6818600</v>
      </c>
      <c r="G9" s="6">
        <v>401400</v>
      </c>
      <c r="H9" s="6">
        <v>7436600</v>
      </c>
      <c r="I9" s="6">
        <v>7023158</v>
      </c>
      <c r="J9" s="6">
        <v>413442</v>
      </c>
      <c r="K9" s="6">
        <v>-8134693.4100000001</v>
      </c>
    </row>
    <row r="10" spans="1:11" x14ac:dyDescent="0.35">
      <c r="A10" t="s">
        <v>20</v>
      </c>
      <c r="B10" s="6">
        <v>927641</v>
      </c>
      <c r="C10" s="6">
        <v>8835690.1600000001</v>
      </c>
      <c r="D10" s="6">
        <v>-7908049.1600000001</v>
      </c>
      <c r="E10" s="6">
        <v>7220000</v>
      </c>
      <c r="F10" s="6">
        <v>6818600</v>
      </c>
      <c r="G10" s="6">
        <v>401400</v>
      </c>
      <c r="H10" s="6">
        <v>7436600</v>
      </c>
      <c r="I10" s="6">
        <v>7023158</v>
      </c>
      <c r="J10" s="6">
        <v>413442</v>
      </c>
      <c r="K10" s="6">
        <v>-8309449.1600000001</v>
      </c>
    </row>
    <row r="11" spans="1:11" x14ac:dyDescent="0.35">
      <c r="A11" t="s">
        <v>21</v>
      </c>
      <c r="B11" s="6">
        <v>899572</v>
      </c>
      <c r="C11" s="6">
        <v>7960048.5899999999</v>
      </c>
      <c r="D11" s="6">
        <v>-7060476.5899999999</v>
      </c>
      <c r="E11" s="6">
        <v>7220000</v>
      </c>
      <c r="F11" s="6">
        <v>6818600</v>
      </c>
      <c r="G11" s="6">
        <v>401400</v>
      </c>
      <c r="H11" s="6">
        <v>7436600</v>
      </c>
      <c r="I11" s="6">
        <v>7023158</v>
      </c>
      <c r="J11" s="6">
        <v>413442</v>
      </c>
      <c r="K11" s="6">
        <v>-7461876.5899999999</v>
      </c>
    </row>
    <row r="12" spans="1:11" x14ac:dyDescent="0.35">
      <c r="A12" t="s">
        <v>22</v>
      </c>
      <c r="B12" s="6">
        <v>901843</v>
      </c>
      <c r="C12" s="6">
        <v>7871253.9199999999</v>
      </c>
      <c r="D12" s="6">
        <v>-6969410.9199999999</v>
      </c>
      <c r="E12" s="6">
        <v>7220000</v>
      </c>
      <c r="F12" s="6">
        <v>6818600</v>
      </c>
      <c r="G12" s="6">
        <v>401400</v>
      </c>
      <c r="H12" s="6">
        <v>7436600</v>
      </c>
      <c r="I12" s="6">
        <v>7023158</v>
      </c>
      <c r="J12" s="6">
        <v>413442</v>
      </c>
      <c r="K12" s="6">
        <v>-7370810.9199999999</v>
      </c>
    </row>
    <row r="15" spans="1:11" ht="29" x14ac:dyDescent="0.35">
      <c r="A15" s="5" t="s">
        <v>23</v>
      </c>
      <c r="B15" s="5" t="s">
        <v>5</v>
      </c>
      <c r="C15" s="5" t="s">
        <v>6</v>
      </c>
      <c r="D15" s="5" t="s">
        <v>7</v>
      </c>
      <c r="E15" s="5" t="s">
        <v>8</v>
      </c>
      <c r="F15" s="5" t="s">
        <v>9</v>
      </c>
      <c r="G15" s="5" t="s">
        <v>10</v>
      </c>
      <c r="H15" s="5" t="s">
        <v>24</v>
      </c>
    </row>
    <row r="16" spans="1:11" x14ac:dyDescent="0.35">
      <c r="A16" t="s">
        <v>25</v>
      </c>
      <c r="B16" s="6">
        <v>880000</v>
      </c>
      <c r="C16" s="6">
        <v>6592744.2699999996</v>
      </c>
      <c r="D16" s="6">
        <v>-5712744.2699999996</v>
      </c>
      <c r="E16" s="6">
        <v>5920000</v>
      </c>
      <c r="F16" s="6">
        <v>5598880</v>
      </c>
      <c r="G16" s="6">
        <v>321120</v>
      </c>
      <c r="H16" s="6">
        <v>-6033864.2699999996</v>
      </c>
    </row>
    <row r="17" spans="1:9" x14ac:dyDescent="0.35">
      <c r="A17" t="s">
        <v>26</v>
      </c>
      <c r="B17" s="6">
        <v>880000</v>
      </c>
      <c r="C17" s="6">
        <v>6836218.5199999996</v>
      </c>
      <c r="D17" s="6">
        <v>-5956218.5199999996</v>
      </c>
      <c r="E17" s="6">
        <v>5920000</v>
      </c>
      <c r="F17" s="6">
        <v>5598880</v>
      </c>
      <c r="G17" s="6">
        <v>321120</v>
      </c>
      <c r="H17" s="6">
        <v>-6277338.5199999996</v>
      </c>
    </row>
    <row r="18" spans="1:9" x14ac:dyDescent="0.35">
      <c r="A18" t="s">
        <v>27</v>
      </c>
      <c r="B18" s="6">
        <v>1863236</v>
      </c>
      <c r="C18" s="6">
        <v>13190670.279999999</v>
      </c>
      <c r="D18" s="6">
        <v>-11327434.279999999</v>
      </c>
      <c r="E18" s="6">
        <v>11840000</v>
      </c>
      <c r="F18" s="6">
        <v>11197760</v>
      </c>
      <c r="G18" s="6">
        <v>642240</v>
      </c>
      <c r="H18" s="6">
        <v>-11969674.279999999</v>
      </c>
    </row>
    <row r="19" spans="1:9" x14ac:dyDescent="0.35">
      <c r="A19" t="s">
        <v>28</v>
      </c>
      <c r="B19" s="6">
        <v>0</v>
      </c>
      <c r="C19" s="6">
        <v>11388526.390000001</v>
      </c>
      <c r="D19" s="6">
        <v>-11388526.390000001</v>
      </c>
      <c r="E19" s="6">
        <v>10400000</v>
      </c>
      <c r="F19" s="6">
        <v>9757760</v>
      </c>
      <c r="G19" s="6">
        <v>642240</v>
      </c>
      <c r="H19" s="6">
        <v>-12030766.390000001</v>
      </c>
    </row>
    <row r="20" spans="1:9" x14ac:dyDescent="0.35">
      <c r="A20" t="s">
        <v>29</v>
      </c>
      <c r="B20" s="6">
        <v>1760000</v>
      </c>
      <c r="C20" s="6">
        <v>13218763.74</v>
      </c>
      <c r="D20" s="6">
        <v>-11458763.74</v>
      </c>
      <c r="E20" s="6">
        <v>11840000</v>
      </c>
      <c r="F20" s="6">
        <v>11197760</v>
      </c>
      <c r="G20" s="6">
        <v>642240</v>
      </c>
      <c r="H20" s="6">
        <v>-12101003.74</v>
      </c>
    </row>
    <row r="21" spans="1:9" x14ac:dyDescent="0.35">
      <c r="A21" t="s">
        <v>30</v>
      </c>
      <c r="B21" s="6">
        <v>1904136</v>
      </c>
      <c r="C21" s="6">
        <v>13856059.52</v>
      </c>
      <c r="D21" s="6">
        <v>-11951923.52</v>
      </c>
      <c r="E21" s="6">
        <v>11840000</v>
      </c>
      <c r="F21" s="6">
        <v>11197760</v>
      </c>
      <c r="G21" s="6">
        <v>642240</v>
      </c>
      <c r="H21" s="6">
        <v>-12594163.52</v>
      </c>
    </row>
    <row r="24" spans="1:9" ht="29" x14ac:dyDescent="0.35">
      <c r="A24" s="5" t="s">
        <v>31</v>
      </c>
      <c r="B24" s="5" t="s">
        <v>32</v>
      </c>
      <c r="C24" s="5" t="s">
        <v>5</v>
      </c>
      <c r="D24" s="5" t="s">
        <v>6</v>
      </c>
      <c r="E24" s="5" t="s">
        <v>7</v>
      </c>
      <c r="F24" s="5" t="s">
        <v>8</v>
      </c>
      <c r="G24" s="5" t="s">
        <v>9</v>
      </c>
      <c r="H24" s="5" t="s">
        <v>10</v>
      </c>
      <c r="I24" s="5" t="s">
        <v>24</v>
      </c>
    </row>
    <row r="25" spans="1:9" x14ac:dyDescent="0.35">
      <c r="A25">
        <v>3400</v>
      </c>
      <c r="B25" t="s">
        <v>33</v>
      </c>
      <c r="C25" s="6">
        <v>1024136</v>
      </c>
      <c r="D25" s="6">
        <v>0</v>
      </c>
      <c r="E25" s="6">
        <v>1024136</v>
      </c>
      <c r="F25" s="6">
        <v>5760000</v>
      </c>
      <c r="G25" s="6">
        <v>0</v>
      </c>
      <c r="H25" s="6">
        <v>5760000</v>
      </c>
      <c r="I25" s="6">
        <v>-4735864</v>
      </c>
    </row>
    <row r="26" spans="1:9" x14ac:dyDescent="0.35">
      <c r="A26">
        <v>3420</v>
      </c>
      <c r="B26" t="s">
        <v>34</v>
      </c>
      <c r="C26" s="6">
        <v>983236</v>
      </c>
      <c r="D26" s="6">
        <v>0</v>
      </c>
      <c r="E26" s="6">
        <v>983236</v>
      </c>
      <c r="F26" s="6">
        <v>0</v>
      </c>
      <c r="G26" s="6">
        <v>0</v>
      </c>
      <c r="H26" s="6">
        <v>0</v>
      </c>
      <c r="I26" s="6">
        <v>983236</v>
      </c>
    </row>
    <row r="27" spans="1:9" x14ac:dyDescent="0.35">
      <c r="A27">
        <v>3450</v>
      </c>
      <c r="B27" t="s">
        <v>35</v>
      </c>
      <c r="C27" s="6">
        <v>5280000</v>
      </c>
      <c r="D27" s="6">
        <v>0</v>
      </c>
      <c r="E27" s="6">
        <v>5280000</v>
      </c>
      <c r="F27" s="6">
        <v>0</v>
      </c>
      <c r="G27" s="6">
        <v>0</v>
      </c>
      <c r="H27" s="6">
        <v>0</v>
      </c>
      <c r="I27" s="6">
        <v>5280000</v>
      </c>
    </row>
    <row r="28" spans="1:9" x14ac:dyDescent="0.35">
      <c r="A28">
        <v>5000</v>
      </c>
      <c r="B28" t="s">
        <v>36</v>
      </c>
      <c r="C28" s="6">
        <v>0</v>
      </c>
      <c r="D28" s="6">
        <v>36298306</v>
      </c>
      <c r="E28" s="6">
        <v>-36298306</v>
      </c>
      <c r="F28" s="6">
        <v>0</v>
      </c>
      <c r="G28" s="6">
        <v>36800000</v>
      </c>
      <c r="H28" s="6">
        <v>-36800000</v>
      </c>
      <c r="I28" s="6">
        <v>501694</v>
      </c>
    </row>
    <row r="29" spans="1:9" x14ac:dyDescent="0.35">
      <c r="A29">
        <v>5050</v>
      </c>
      <c r="B29" t="s">
        <v>37</v>
      </c>
      <c r="C29" s="6">
        <v>0</v>
      </c>
      <c r="D29" s="6">
        <v>422932</v>
      </c>
      <c r="E29" s="6">
        <v>-422932</v>
      </c>
      <c r="F29" s="6">
        <v>0</v>
      </c>
      <c r="G29" s="6">
        <v>0</v>
      </c>
      <c r="H29" s="6">
        <v>0</v>
      </c>
      <c r="I29" s="6">
        <v>-422932</v>
      </c>
    </row>
    <row r="30" spans="1:9" x14ac:dyDescent="0.35">
      <c r="A30">
        <v>5100</v>
      </c>
      <c r="B30" t="s">
        <v>38</v>
      </c>
      <c r="C30" s="6">
        <v>0</v>
      </c>
      <c r="D30" s="6">
        <v>5583151.7000000002</v>
      </c>
      <c r="E30" s="6">
        <v>-5583151.7000000002</v>
      </c>
      <c r="F30" s="6">
        <v>0</v>
      </c>
      <c r="G30" s="6">
        <v>5760000</v>
      </c>
      <c r="H30" s="6">
        <v>-5760000</v>
      </c>
      <c r="I30" s="6">
        <v>176848.3</v>
      </c>
    </row>
    <row r="31" spans="1:9" x14ac:dyDescent="0.35">
      <c r="A31">
        <v>5400</v>
      </c>
      <c r="B31" t="s">
        <v>39</v>
      </c>
      <c r="C31" s="6">
        <v>0</v>
      </c>
      <c r="D31" s="6">
        <v>5118061.1399999997</v>
      </c>
      <c r="E31" s="6">
        <v>-5118061.1399999997</v>
      </c>
      <c r="F31" s="6">
        <v>0</v>
      </c>
      <c r="G31" s="6">
        <v>5188800</v>
      </c>
      <c r="H31" s="6">
        <v>-5188800</v>
      </c>
      <c r="I31" s="6">
        <v>70738.86</v>
      </c>
    </row>
    <row r="32" spans="1:9" x14ac:dyDescent="0.35">
      <c r="A32">
        <v>5420</v>
      </c>
      <c r="B32" t="s">
        <v>40</v>
      </c>
      <c r="C32" s="6">
        <v>0</v>
      </c>
      <c r="D32" s="6">
        <v>3629830.6</v>
      </c>
      <c r="E32" s="6">
        <v>-3629830.6</v>
      </c>
      <c r="F32" s="6">
        <v>0</v>
      </c>
      <c r="G32" s="6">
        <v>0</v>
      </c>
      <c r="H32" s="6">
        <v>0</v>
      </c>
      <c r="I32" s="6">
        <v>-3629830.6</v>
      </c>
    </row>
    <row r="33" spans="1:11" x14ac:dyDescent="0.35">
      <c r="A33">
        <v>5800</v>
      </c>
      <c r="B33" t="s">
        <v>41</v>
      </c>
      <c r="C33" s="6">
        <v>0</v>
      </c>
      <c r="D33" s="6">
        <v>-84000</v>
      </c>
      <c r="E33" s="6">
        <v>84000</v>
      </c>
      <c r="F33" s="6">
        <v>0</v>
      </c>
      <c r="G33" s="6">
        <v>0</v>
      </c>
      <c r="H33" s="6">
        <v>0</v>
      </c>
      <c r="I33" s="6">
        <v>84000</v>
      </c>
    </row>
    <row r="34" spans="1:11" x14ac:dyDescent="0.35">
      <c r="A34">
        <v>6050</v>
      </c>
      <c r="B34" t="s">
        <v>42</v>
      </c>
      <c r="C34" s="6">
        <v>0</v>
      </c>
      <c r="D34" s="6">
        <v>199999.98</v>
      </c>
      <c r="E34" s="6">
        <v>-199999.98</v>
      </c>
      <c r="F34" s="6">
        <v>0</v>
      </c>
      <c r="G34" s="6">
        <v>0</v>
      </c>
      <c r="H34" s="6">
        <v>0</v>
      </c>
      <c r="I34" s="6">
        <v>-199999.98</v>
      </c>
    </row>
    <row r="35" spans="1:11" x14ac:dyDescent="0.35">
      <c r="A35">
        <v>6300</v>
      </c>
      <c r="B35" t="s">
        <v>43</v>
      </c>
      <c r="C35" s="6">
        <v>0</v>
      </c>
      <c r="D35" s="6">
        <v>6800000</v>
      </c>
      <c r="E35" s="6">
        <v>-6800000</v>
      </c>
      <c r="F35" s="6">
        <v>0</v>
      </c>
      <c r="G35" s="6">
        <v>6800000</v>
      </c>
      <c r="H35" s="6">
        <v>-6800000</v>
      </c>
      <c r="I35" s="6">
        <v>0</v>
      </c>
    </row>
    <row r="36" spans="1:11" x14ac:dyDescent="0.35">
      <c r="A36">
        <v>6420</v>
      </c>
      <c r="B36" t="s">
        <v>44</v>
      </c>
      <c r="C36" s="6">
        <v>0</v>
      </c>
      <c r="D36" s="6">
        <v>2000000</v>
      </c>
      <c r="E36" s="6">
        <v>-2000000</v>
      </c>
      <c r="F36" s="6">
        <v>0</v>
      </c>
      <c r="G36" s="6">
        <v>0</v>
      </c>
      <c r="H36" s="6">
        <v>0</v>
      </c>
      <c r="I36" s="6">
        <v>-2000000</v>
      </c>
    </row>
    <row r="37" spans="1:11" x14ac:dyDescent="0.35">
      <c r="A37">
        <v>6710</v>
      </c>
      <c r="B37" t="s">
        <v>45</v>
      </c>
      <c r="C37" s="6">
        <v>0</v>
      </c>
      <c r="D37" s="6">
        <v>620000</v>
      </c>
      <c r="E37" s="6">
        <v>-620000</v>
      </c>
      <c r="F37" s="6">
        <v>0</v>
      </c>
      <c r="G37" s="6">
        <v>0</v>
      </c>
      <c r="H37" s="6">
        <v>0</v>
      </c>
      <c r="I37" s="6">
        <v>-620000</v>
      </c>
    </row>
    <row r="38" spans="1:11" x14ac:dyDescent="0.35">
      <c r="A38">
        <v>6800</v>
      </c>
      <c r="B38" t="s">
        <v>46</v>
      </c>
      <c r="C38" s="6">
        <v>0</v>
      </c>
      <c r="D38" s="6">
        <v>2392779.2999999998</v>
      </c>
      <c r="E38" s="6">
        <v>-2392779.2999999998</v>
      </c>
      <c r="F38" s="6">
        <v>0</v>
      </c>
      <c r="G38" s="6">
        <v>0</v>
      </c>
      <c r="H38" s="6">
        <v>0</v>
      </c>
      <c r="I38" s="6">
        <v>-2392779.2999999998</v>
      </c>
    </row>
    <row r="39" spans="1:11" x14ac:dyDescent="0.35">
      <c r="A39">
        <v>7130</v>
      </c>
      <c r="B39" t="s">
        <v>47</v>
      </c>
      <c r="C39" s="6">
        <v>0</v>
      </c>
      <c r="D39" s="6">
        <v>1201922</v>
      </c>
      <c r="E39" s="6">
        <v>-1201922</v>
      </c>
      <c r="F39" s="6">
        <v>0</v>
      </c>
      <c r="G39" s="6">
        <v>0</v>
      </c>
      <c r="H39" s="6">
        <v>0</v>
      </c>
      <c r="I39" s="6">
        <v>-1201922</v>
      </c>
    </row>
    <row r="40" spans="1:11" x14ac:dyDescent="0.35">
      <c r="A40">
        <v>7790</v>
      </c>
      <c r="B40" t="s">
        <v>48</v>
      </c>
      <c r="C40" s="6">
        <v>0</v>
      </c>
      <c r="D40" s="6">
        <v>900000</v>
      </c>
      <c r="E40" s="6">
        <v>-900000</v>
      </c>
      <c r="F40" s="6">
        <v>0</v>
      </c>
      <c r="G40" s="6">
        <v>0</v>
      </c>
      <c r="H40" s="6">
        <v>0</v>
      </c>
      <c r="I40" s="6">
        <v>-900000</v>
      </c>
    </row>
    <row r="42" spans="1:11" x14ac:dyDescent="0.35">
      <c r="A42" s="7" t="s">
        <v>49</v>
      </c>
      <c r="B42" s="7"/>
      <c r="C42" s="7"/>
      <c r="D42" s="7"/>
      <c r="E42" s="7"/>
      <c r="F42" s="7"/>
      <c r="G42" s="7"/>
      <c r="H42" s="7"/>
      <c r="I42" s="7"/>
      <c r="J42" s="7"/>
      <c r="K42" s="7"/>
    </row>
    <row r="43" spans="1:11" x14ac:dyDescent="0.35">
      <c r="A43" s="7"/>
      <c r="B43" s="7"/>
      <c r="C43" s="7"/>
      <c r="D43" s="7"/>
      <c r="E43" s="7"/>
      <c r="F43" s="7"/>
      <c r="G43" s="7"/>
      <c r="H43" s="7"/>
      <c r="I43" s="7"/>
      <c r="J43" s="7"/>
      <c r="K43" s="7"/>
    </row>
    <row r="44" spans="1:11" x14ac:dyDescent="0.35">
      <c r="A44" s="7"/>
      <c r="B44" s="7"/>
      <c r="C44" s="7"/>
      <c r="D44" s="7"/>
      <c r="E44" s="7"/>
      <c r="F44" s="7"/>
      <c r="G44" s="7"/>
      <c r="H44" s="7"/>
      <c r="I44" s="7"/>
      <c r="J44" s="7"/>
      <c r="K44" s="7"/>
    </row>
  </sheetData>
  <mergeCells count="3">
    <mergeCell ref="A1:K1"/>
    <mergeCell ref="A2:K2"/>
    <mergeCell ref="A42:K44"/>
  </mergeCells>
  <conditionalFormatting sqref="K5:K12">
    <cfRule type="colorScale" priority="1">
      <colorScale>
        <cfvo type="min"/>
        <cfvo type="num" val="0"/>
        <cfvo type="max"/>
        <color rgb="FFF8696B"/>
        <color rgb="FFFFEB84"/>
        <color rgb="FF63BE7B"/>
      </colorScale>
    </cfRule>
  </conditionalFormatting>
  <conditionalFormatting sqref="H16:H21">
    <cfRule type="dataBar" priority="2">
      <dataBar>
        <cfvo type="min"/>
        <cfvo type="max"/>
        <color rgb="FF638EC6"/>
      </dataBar>
      <extLst>
        <ext xmlns:x14="http://schemas.microsoft.com/office/spreadsheetml/2009/9/main" uri="{B025F937-C7B1-47D3-B67F-A62EFF666E3E}">
          <x14:id>{670615A7-8D46-4D5E-843E-2E738CBC29DA}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70615A7-8D46-4D5E-843E-2E738CBC29DA}">
            <x14:dataBar minLength="0" maxLength="100" negativeBarColorSameAsPositive="1" axisPosition="none">
              <x14:cfvo type="min"/>
              <x14:cfvo type="max"/>
            </x14:dataBar>
          </x14:cfRule>
          <xm:sqref>H16:H21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1CE5-EEC3-4ECC-BFCF-1679980AC37C}">
  <dimension ref="A1:F22"/>
  <sheetViews>
    <sheetView workbookViewId="0">
      <selection sqref="A1:N1"/>
    </sheetView>
  </sheetViews>
  <sheetFormatPr defaultRowHeight="14.5" x14ac:dyDescent="0.35"/>
  <cols>
    <col min="1" max="1" width="9.6328125" bestFit="1" customWidth="1"/>
    <col min="2" max="2" width="30.08984375" bestFit="1" customWidth="1"/>
    <col min="3" max="3" width="7.36328125" bestFit="1" customWidth="1"/>
    <col min="4" max="6" width="9.90625" bestFit="1" customWidth="1"/>
  </cols>
  <sheetData>
    <row r="1" spans="1:6" ht="26" x14ac:dyDescent="0.6">
      <c r="A1" s="4" t="s">
        <v>50</v>
      </c>
      <c r="B1" s="2"/>
      <c r="C1" s="2"/>
      <c r="D1" s="2"/>
      <c r="E1" s="2"/>
      <c r="F1" s="2"/>
    </row>
    <row r="2" spans="1:6" x14ac:dyDescent="0.35">
      <c r="A2" s="2" t="s">
        <v>51</v>
      </c>
      <c r="B2" s="2"/>
      <c r="C2" s="2"/>
      <c r="D2" s="2"/>
      <c r="E2" s="2"/>
      <c r="F2" s="2"/>
    </row>
    <row r="4" spans="1:6" x14ac:dyDescent="0.35">
      <c r="A4" s="5" t="s">
        <v>52</v>
      </c>
      <c r="B4" s="5" t="s">
        <v>53</v>
      </c>
      <c r="C4" s="5" t="s">
        <v>54</v>
      </c>
      <c r="D4" s="5" t="s">
        <v>55</v>
      </c>
      <c r="E4" s="5" t="s">
        <v>56</v>
      </c>
      <c r="F4" s="5" t="s">
        <v>57</v>
      </c>
    </row>
    <row r="5" spans="1:6" x14ac:dyDescent="0.35">
      <c r="A5" t="s">
        <v>58</v>
      </c>
      <c r="B5" t="s">
        <v>59</v>
      </c>
      <c r="C5">
        <v>1</v>
      </c>
      <c r="D5" s="6">
        <v>57760000</v>
      </c>
      <c r="E5" s="6">
        <v>54548800</v>
      </c>
      <c r="F5" s="6">
        <v>3211200</v>
      </c>
    </row>
    <row r="6" spans="1:6" x14ac:dyDescent="0.35">
      <c r="A6" t="s">
        <v>60</v>
      </c>
      <c r="B6" t="s">
        <v>61</v>
      </c>
      <c r="C6">
        <v>2</v>
      </c>
      <c r="D6" s="6">
        <v>58915200</v>
      </c>
      <c r="E6" s="6">
        <v>55639776</v>
      </c>
      <c r="F6" s="6">
        <v>3275424</v>
      </c>
    </row>
    <row r="7" spans="1:6" x14ac:dyDescent="0.35">
      <c r="A7" t="s">
        <v>62</v>
      </c>
      <c r="B7" t="s">
        <v>63</v>
      </c>
      <c r="C7">
        <v>3</v>
      </c>
      <c r="D7" s="6">
        <v>60070400</v>
      </c>
      <c r="E7" s="6">
        <v>56730752</v>
      </c>
      <c r="F7" s="6">
        <v>3339648</v>
      </c>
    </row>
    <row r="8" spans="1:6" x14ac:dyDescent="0.35">
      <c r="A8" t="s">
        <v>64</v>
      </c>
      <c r="B8" t="s">
        <v>65</v>
      </c>
      <c r="C8">
        <v>4</v>
      </c>
      <c r="D8" s="6">
        <v>59492800</v>
      </c>
      <c r="E8" s="6">
        <v>56185264</v>
      </c>
      <c r="F8" s="6">
        <v>3307536</v>
      </c>
    </row>
    <row r="9" spans="1:6" x14ac:dyDescent="0.35">
      <c r="A9" t="s">
        <v>66</v>
      </c>
      <c r="B9" t="s">
        <v>67</v>
      </c>
      <c r="C9">
        <v>5</v>
      </c>
      <c r="D9" s="6">
        <v>82812000</v>
      </c>
      <c r="E9" s="6">
        <v>58092000</v>
      </c>
      <c r="F9" s="6">
        <v>24720000</v>
      </c>
    </row>
    <row r="10" spans="1:6" x14ac:dyDescent="0.35">
      <c r="A10" t="s">
        <v>68</v>
      </c>
      <c r="B10" t="s">
        <v>69</v>
      </c>
      <c r="C10">
        <v>6</v>
      </c>
      <c r="D10" s="6">
        <v>85224000</v>
      </c>
      <c r="E10" s="6">
        <v>59784000</v>
      </c>
      <c r="F10" s="6">
        <v>25440000</v>
      </c>
    </row>
    <row r="11" spans="1:6" x14ac:dyDescent="0.35">
      <c r="A11" t="s">
        <v>70</v>
      </c>
      <c r="B11" t="s">
        <v>71</v>
      </c>
      <c r="C11">
        <v>7</v>
      </c>
      <c r="D11" s="6">
        <v>87636000</v>
      </c>
      <c r="E11" s="6">
        <v>61476000</v>
      </c>
      <c r="F11" s="6">
        <v>26160000</v>
      </c>
    </row>
    <row r="14" spans="1:6" ht="43.5" x14ac:dyDescent="0.35">
      <c r="A14" s="5" t="s">
        <v>4</v>
      </c>
      <c r="B14" s="5" t="s">
        <v>72</v>
      </c>
      <c r="C14" s="5" t="s">
        <v>73</v>
      </c>
      <c r="D14" s="5" t="s">
        <v>74</v>
      </c>
    </row>
    <row r="15" spans="1:6" x14ac:dyDescent="0.35">
      <c r="A15" t="s">
        <v>15</v>
      </c>
      <c r="B15" s="6">
        <v>409428</v>
      </c>
      <c r="C15" s="6">
        <v>417456</v>
      </c>
      <c r="D15" s="6">
        <v>413442</v>
      </c>
    </row>
    <row r="16" spans="1:6" x14ac:dyDescent="0.35">
      <c r="A16" t="s">
        <v>16</v>
      </c>
      <c r="B16" s="6">
        <v>409428</v>
      </c>
      <c r="C16" s="6">
        <v>417456</v>
      </c>
      <c r="D16" s="6">
        <v>413442</v>
      </c>
    </row>
    <row r="17" spans="1:4" x14ac:dyDescent="0.35">
      <c r="A17" t="s">
        <v>17</v>
      </c>
      <c r="B17" s="6">
        <v>409428</v>
      </c>
      <c r="C17" s="6">
        <v>417456</v>
      </c>
      <c r="D17" s="6">
        <v>413442</v>
      </c>
    </row>
    <row r="18" spans="1:4" x14ac:dyDescent="0.35">
      <c r="A18" t="s">
        <v>18</v>
      </c>
      <c r="B18" s="6">
        <v>409428</v>
      </c>
      <c r="C18" s="6">
        <v>417456</v>
      </c>
      <c r="D18" s="6">
        <v>413442</v>
      </c>
    </row>
    <row r="19" spans="1:4" x14ac:dyDescent="0.35">
      <c r="A19" t="s">
        <v>19</v>
      </c>
      <c r="B19" s="6">
        <v>409428</v>
      </c>
      <c r="C19" s="6">
        <v>417456</v>
      </c>
      <c r="D19" s="6">
        <v>413442</v>
      </c>
    </row>
    <row r="20" spans="1:4" x14ac:dyDescent="0.35">
      <c r="A20" t="s">
        <v>20</v>
      </c>
      <c r="B20" s="6">
        <v>409428</v>
      </c>
      <c r="C20" s="6">
        <v>417456</v>
      </c>
      <c r="D20" s="6">
        <v>413442</v>
      </c>
    </row>
    <row r="21" spans="1:4" x14ac:dyDescent="0.35">
      <c r="A21" t="s">
        <v>21</v>
      </c>
      <c r="B21" s="6">
        <v>409428</v>
      </c>
      <c r="C21" s="6">
        <v>417456</v>
      </c>
      <c r="D21" s="6">
        <v>413442</v>
      </c>
    </row>
    <row r="22" spans="1:4" x14ac:dyDescent="0.35">
      <c r="A22" t="s">
        <v>22</v>
      </c>
      <c r="B22" s="6">
        <v>409428</v>
      </c>
      <c r="C22" s="6">
        <v>417456</v>
      </c>
      <c r="D22" s="6">
        <v>413442</v>
      </c>
    </row>
  </sheetData>
  <mergeCells count="2">
    <mergeCell ref="A1:F1"/>
    <mergeCell ref="A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04F1A-F16A-4611-8385-8A326FB038B6}">
  <dimension ref="A1:I41"/>
  <sheetViews>
    <sheetView workbookViewId="0">
      <selection sqref="A1:N1"/>
    </sheetView>
  </sheetViews>
  <sheetFormatPr defaultRowHeight="14.5" x14ac:dyDescent="0.35"/>
  <cols>
    <col min="1" max="1" width="40" customWidth="1"/>
    <col min="2" max="2" width="38.1796875" customWidth="1"/>
    <col min="3" max="3" width="40" customWidth="1"/>
    <col min="5" max="5" width="8.1796875" bestFit="1" customWidth="1"/>
    <col min="6" max="6" width="8.54296875" bestFit="1" customWidth="1"/>
    <col min="7" max="7" width="8.90625" bestFit="1" customWidth="1"/>
    <col min="9" max="9" width="8.90625" bestFit="1" customWidth="1"/>
  </cols>
  <sheetData>
    <row r="1" spans="1:9" ht="26" x14ac:dyDescent="0.6">
      <c r="A1" s="4" t="s">
        <v>87</v>
      </c>
      <c r="B1" s="2"/>
      <c r="C1" s="2"/>
      <c r="D1" s="2"/>
      <c r="E1" s="2"/>
      <c r="F1" s="2"/>
      <c r="G1" s="2"/>
      <c r="H1" s="2"/>
      <c r="I1" s="2"/>
    </row>
    <row r="2" spans="1:9" x14ac:dyDescent="0.35">
      <c r="A2" s="2" t="s">
        <v>88</v>
      </c>
      <c r="B2" s="2"/>
      <c r="C2" s="2"/>
      <c r="D2" s="2"/>
      <c r="E2" s="2"/>
      <c r="F2" s="2"/>
      <c r="G2" s="2"/>
      <c r="H2" s="2"/>
      <c r="I2" s="2"/>
    </row>
    <row r="4" spans="1:9" ht="43.5" x14ac:dyDescent="0.35">
      <c r="A4" s="5" t="s">
        <v>4</v>
      </c>
      <c r="B4" s="5" t="s">
        <v>81</v>
      </c>
      <c r="C4" s="5" t="s">
        <v>89</v>
      </c>
      <c r="D4" s="5" t="s">
        <v>90</v>
      </c>
      <c r="E4" s="5" t="s">
        <v>91</v>
      </c>
      <c r="F4" s="5" t="s">
        <v>92</v>
      </c>
      <c r="G4" s="5" t="s">
        <v>93</v>
      </c>
    </row>
    <row r="5" spans="1:9" x14ac:dyDescent="0.35">
      <c r="A5" t="s">
        <v>15</v>
      </c>
      <c r="B5" s="18">
        <v>230</v>
      </c>
      <c r="C5" s="18">
        <v>185</v>
      </c>
      <c r="D5" s="18">
        <v>245</v>
      </c>
      <c r="E5" s="18">
        <v>185</v>
      </c>
      <c r="F5" s="18">
        <v>245</v>
      </c>
      <c r="G5" s="18">
        <v>185</v>
      </c>
    </row>
    <row r="6" spans="1:9" x14ac:dyDescent="0.35">
      <c r="A6" t="s">
        <v>16</v>
      </c>
      <c r="B6" s="18">
        <v>230</v>
      </c>
      <c r="C6" s="18">
        <v>185</v>
      </c>
      <c r="D6" s="18">
        <v>245</v>
      </c>
      <c r="E6" s="18">
        <v>185</v>
      </c>
      <c r="F6" s="18">
        <v>245</v>
      </c>
      <c r="G6" s="18">
        <v>185</v>
      </c>
    </row>
    <row r="7" spans="1:9" x14ac:dyDescent="0.35">
      <c r="A7" t="s">
        <v>17</v>
      </c>
      <c r="B7" s="18">
        <v>230</v>
      </c>
      <c r="C7" s="18">
        <v>185</v>
      </c>
      <c r="D7" s="18">
        <v>245</v>
      </c>
      <c r="E7" s="18">
        <v>185</v>
      </c>
      <c r="F7" s="18">
        <v>245</v>
      </c>
      <c r="G7" s="18">
        <v>185</v>
      </c>
    </row>
    <row r="8" spans="1:9" x14ac:dyDescent="0.35">
      <c r="A8" t="s">
        <v>18</v>
      </c>
      <c r="B8" s="18">
        <v>230</v>
      </c>
      <c r="C8" s="18">
        <v>185</v>
      </c>
      <c r="D8" s="18">
        <v>245</v>
      </c>
      <c r="E8" s="18">
        <v>185</v>
      </c>
      <c r="F8" s="18">
        <v>245</v>
      </c>
      <c r="G8" s="18">
        <v>185</v>
      </c>
    </row>
    <row r="9" spans="1:9" x14ac:dyDescent="0.35">
      <c r="A9" t="s">
        <v>19</v>
      </c>
      <c r="B9" s="18">
        <v>230</v>
      </c>
      <c r="C9" s="18">
        <v>185</v>
      </c>
      <c r="D9" s="18">
        <v>245</v>
      </c>
      <c r="E9" s="18">
        <v>185</v>
      </c>
      <c r="F9" s="18">
        <v>245</v>
      </c>
      <c r="G9" s="18">
        <v>185</v>
      </c>
    </row>
    <row r="10" spans="1:9" x14ac:dyDescent="0.35">
      <c r="A10" t="s">
        <v>20</v>
      </c>
      <c r="B10" s="18">
        <v>230</v>
      </c>
      <c r="C10" s="18">
        <v>185</v>
      </c>
      <c r="D10" s="18">
        <v>245</v>
      </c>
      <c r="E10" s="18">
        <v>185</v>
      </c>
      <c r="F10" s="18">
        <v>245</v>
      </c>
      <c r="G10" s="18">
        <v>185</v>
      </c>
    </row>
    <row r="11" spans="1:9" x14ac:dyDescent="0.35">
      <c r="A11" t="s">
        <v>21</v>
      </c>
      <c r="B11" s="18">
        <v>230</v>
      </c>
      <c r="C11" s="18">
        <v>185</v>
      </c>
      <c r="D11" s="18">
        <v>245</v>
      </c>
      <c r="E11" s="18">
        <v>185</v>
      </c>
      <c r="F11" s="18">
        <v>245</v>
      </c>
      <c r="G11" s="18">
        <v>185</v>
      </c>
    </row>
    <row r="12" spans="1:9" x14ac:dyDescent="0.35">
      <c r="A12" t="s">
        <v>22</v>
      </c>
      <c r="B12" s="18">
        <v>230</v>
      </c>
      <c r="C12" s="18">
        <v>185</v>
      </c>
      <c r="D12" s="18">
        <v>245</v>
      </c>
      <c r="E12" s="18">
        <v>185</v>
      </c>
      <c r="F12" s="18">
        <v>245</v>
      </c>
      <c r="G12" s="18">
        <v>185</v>
      </c>
    </row>
    <row r="15" spans="1:9" ht="43.5" x14ac:dyDescent="0.35">
      <c r="A15" s="5" t="s">
        <v>23</v>
      </c>
      <c r="B15" s="5" t="s">
        <v>81</v>
      </c>
      <c r="C15" s="5" t="s">
        <v>82</v>
      </c>
      <c r="D15" s="5" t="s">
        <v>90</v>
      </c>
      <c r="E15" s="5" t="s">
        <v>91</v>
      </c>
      <c r="F15" s="5" t="s">
        <v>92</v>
      </c>
      <c r="G15" s="5" t="s">
        <v>93</v>
      </c>
    </row>
    <row r="16" spans="1:9" x14ac:dyDescent="0.35">
      <c r="A16" t="s">
        <v>29</v>
      </c>
      <c r="B16" s="18">
        <v>46</v>
      </c>
      <c r="C16" s="18">
        <v>37</v>
      </c>
      <c r="D16" s="18">
        <v>49</v>
      </c>
      <c r="E16" s="18">
        <v>37</v>
      </c>
      <c r="F16" s="18">
        <v>49</v>
      </c>
      <c r="G16" s="18">
        <v>37</v>
      </c>
    </row>
    <row r="17" spans="1:9" x14ac:dyDescent="0.35">
      <c r="A17" t="s">
        <v>30</v>
      </c>
      <c r="B17" s="18">
        <v>46</v>
      </c>
      <c r="C17" s="18">
        <v>37</v>
      </c>
      <c r="D17" s="18">
        <v>49</v>
      </c>
      <c r="E17" s="18">
        <v>37</v>
      </c>
      <c r="F17" s="18">
        <v>49</v>
      </c>
      <c r="G17" s="18">
        <v>37</v>
      </c>
    </row>
    <row r="18" spans="1:9" x14ac:dyDescent="0.35">
      <c r="A18" t="s">
        <v>28</v>
      </c>
      <c r="B18" s="18">
        <v>46</v>
      </c>
      <c r="C18" s="18">
        <v>37</v>
      </c>
      <c r="D18" s="18">
        <v>49</v>
      </c>
      <c r="E18" s="18">
        <v>37</v>
      </c>
      <c r="F18" s="18">
        <v>49</v>
      </c>
      <c r="G18" s="18">
        <v>37</v>
      </c>
    </row>
    <row r="19" spans="1:9" x14ac:dyDescent="0.35">
      <c r="A19" t="s">
        <v>27</v>
      </c>
      <c r="B19" s="18">
        <v>46</v>
      </c>
      <c r="C19" s="18">
        <v>37</v>
      </c>
      <c r="D19" s="18">
        <v>49</v>
      </c>
      <c r="E19" s="18">
        <v>37</v>
      </c>
      <c r="F19" s="18">
        <v>49</v>
      </c>
      <c r="G19" s="18">
        <v>37</v>
      </c>
    </row>
    <row r="20" spans="1:9" x14ac:dyDescent="0.35">
      <c r="A20" t="s">
        <v>26</v>
      </c>
      <c r="B20" s="18">
        <v>23</v>
      </c>
      <c r="C20" s="18">
        <v>18.5</v>
      </c>
      <c r="D20" s="18">
        <v>24.5</v>
      </c>
      <c r="E20" s="18">
        <v>18.5</v>
      </c>
      <c r="F20" s="18">
        <v>24.5</v>
      </c>
      <c r="G20" s="18">
        <v>18.5</v>
      </c>
    </row>
    <row r="21" spans="1:9" x14ac:dyDescent="0.35">
      <c r="A21" t="s">
        <v>25</v>
      </c>
      <c r="B21" s="18">
        <v>23</v>
      </c>
      <c r="C21" s="18">
        <v>18.5</v>
      </c>
      <c r="D21" s="18">
        <v>24.5</v>
      </c>
      <c r="E21" s="18">
        <v>18.5</v>
      </c>
      <c r="F21" s="18">
        <v>24.5</v>
      </c>
      <c r="G21" s="18">
        <v>18.5</v>
      </c>
    </row>
    <row r="24" spans="1:9" ht="29" x14ac:dyDescent="0.35">
      <c r="A24" s="5" t="s">
        <v>23</v>
      </c>
      <c r="B24" s="5" t="s">
        <v>83</v>
      </c>
      <c r="C24" s="5" t="s">
        <v>94</v>
      </c>
      <c r="D24" s="5" t="s">
        <v>95</v>
      </c>
      <c r="E24" s="5" t="s">
        <v>96</v>
      </c>
      <c r="F24" s="5" t="s">
        <v>97</v>
      </c>
      <c r="G24" s="5" t="s">
        <v>98</v>
      </c>
    </row>
    <row r="25" spans="1:9" x14ac:dyDescent="0.35">
      <c r="A25" t="s">
        <v>26</v>
      </c>
      <c r="B25" s="19">
        <v>165</v>
      </c>
      <c r="C25" s="19">
        <v>4950</v>
      </c>
      <c r="D25" s="19">
        <v>4207.5</v>
      </c>
      <c r="E25" s="19">
        <v>70.125</v>
      </c>
      <c r="F25" s="20">
        <v>0.85</v>
      </c>
      <c r="G25" s="6">
        <v>5736225</v>
      </c>
    </row>
    <row r="26" spans="1:9" x14ac:dyDescent="0.35">
      <c r="A26" t="s">
        <v>30</v>
      </c>
      <c r="B26" s="19">
        <v>165</v>
      </c>
      <c r="C26" s="19">
        <v>4950</v>
      </c>
      <c r="D26" s="19">
        <v>4207.5</v>
      </c>
      <c r="E26" s="19">
        <v>70.125</v>
      </c>
      <c r="F26" s="20">
        <v>0.85</v>
      </c>
      <c r="G26" s="6">
        <v>5736225</v>
      </c>
    </row>
    <row r="27" spans="1:9" x14ac:dyDescent="0.35">
      <c r="A27" t="s">
        <v>29</v>
      </c>
      <c r="B27" s="19">
        <v>165</v>
      </c>
      <c r="C27" s="19">
        <v>4950</v>
      </c>
      <c r="D27" s="19">
        <v>3739.5</v>
      </c>
      <c r="E27" s="19">
        <v>62.325000000000003</v>
      </c>
      <c r="F27" s="20">
        <v>0.75545454550000002</v>
      </c>
      <c r="G27" s="6">
        <v>3920985</v>
      </c>
    </row>
    <row r="28" spans="1:9" x14ac:dyDescent="0.35">
      <c r="A28" t="s">
        <v>27</v>
      </c>
      <c r="B28" s="19">
        <v>165</v>
      </c>
      <c r="C28" s="19">
        <v>4950</v>
      </c>
      <c r="D28" s="19">
        <v>4207.5</v>
      </c>
      <c r="E28" s="19">
        <v>70.125</v>
      </c>
      <c r="F28" s="20">
        <v>0.85</v>
      </c>
      <c r="G28" s="6">
        <v>3825318.75</v>
      </c>
    </row>
    <row r="29" spans="1:9" x14ac:dyDescent="0.35">
      <c r="A29" t="s">
        <v>25</v>
      </c>
      <c r="B29" s="19">
        <v>120</v>
      </c>
      <c r="C29" s="19">
        <v>3600</v>
      </c>
      <c r="D29" s="19">
        <v>3060</v>
      </c>
      <c r="E29" s="19">
        <v>51</v>
      </c>
      <c r="F29" s="20">
        <v>0.85</v>
      </c>
      <c r="G29" s="6">
        <v>2782050</v>
      </c>
    </row>
    <row r="32" spans="1:9" ht="29" x14ac:dyDescent="0.35">
      <c r="A32" s="5" t="s">
        <v>99</v>
      </c>
      <c r="B32" s="5" t="s">
        <v>100</v>
      </c>
      <c r="C32" s="5" t="s">
        <v>23</v>
      </c>
      <c r="D32" s="5" t="s">
        <v>83</v>
      </c>
      <c r="E32" s="5" t="s">
        <v>94</v>
      </c>
      <c r="F32" s="5" t="s">
        <v>95</v>
      </c>
      <c r="G32" s="5" t="s">
        <v>96</v>
      </c>
      <c r="H32" s="5" t="s">
        <v>84</v>
      </c>
      <c r="I32" s="5" t="s">
        <v>98</v>
      </c>
    </row>
    <row r="33" spans="1:9" x14ac:dyDescent="0.35">
      <c r="A33" t="s">
        <v>101</v>
      </c>
      <c r="B33" t="s">
        <v>102</v>
      </c>
      <c r="C33" t="s">
        <v>26</v>
      </c>
      <c r="D33" s="19">
        <v>120</v>
      </c>
      <c r="E33" s="19">
        <v>3600</v>
      </c>
      <c r="F33" s="19">
        <v>3060</v>
      </c>
      <c r="G33" s="19">
        <v>51</v>
      </c>
      <c r="H33" s="20">
        <v>0.85</v>
      </c>
      <c r="I33" s="6">
        <v>4171800</v>
      </c>
    </row>
    <row r="34" spans="1:9" x14ac:dyDescent="0.35">
      <c r="A34" t="s">
        <v>103</v>
      </c>
      <c r="B34" t="s">
        <v>104</v>
      </c>
      <c r="C34" t="s">
        <v>30</v>
      </c>
      <c r="D34" s="19">
        <v>120</v>
      </c>
      <c r="E34" s="19">
        <v>3600</v>
      </c>
      <c r="F34" s="19">
        <v>3060</v>
      </c>
      <c r="G34" s="19">
        <v>51</v>
      </c>
      <c r="H34" s="20">
        <v>0.85</v>
      </c>
      <c r="I34" s="6">
        <v>4171800</v>
      </c>
    </row>
    <row r="35" spans="1:9" x14ac:dyDescent="0.35">
      <c r="A35" t="s">
        <v>105</v>
      </c>
      <c r="B35" t="s">
        <v>106</v>
      </c>
      <c r="C35" t="s">
        <v>27</v>
      </c>
      <c r="D35" s="19">
        <v>120</v>
      </c>
      <c r="E35" s="19">
        <v>3600</v>
      </c>
      <c r="F35" s="19">
        <v>3060</v>
      </c>
      <c r="G35" s="19">
        <v>51</v>
      </c>
      <c r="H35" s="20">
        <v>0.85</v>
      </c>
      <c r="I35" s="6">
        <v>2782050</v>
      </c>
    </row>
    <row r="36" spans="1:9" x14ac:dyDescent="0.35">
      <c r="A36" t="s">
        <v>107</v>
      </c>
      <c r="B36" t="s">
        <v>108</v>
      </c>
      <c r="C36" t="s">
        <v>25</v>
      </c>
      <c r="D36" s="19">
        <v>120</v>
      </c>
      <c r="E36" s="19">
        <v>3600</v>
      </c>
      <c r="F36" s="19">
        <v>3060</v>
      </c>
      <c r="G36" s="19">
        <v>51</v>
      </c>
      <c r="H36" s="20">
        <v>0.85</v>
      </c>
      <c r="I36" s="6">
        <v>2782050</v>
      </c>
    </row>
    <row r="37" spans="1:9" x14ac:dyDescent="0.35">
      <c r="A37" t="s">
        <v>109</v>
      </c>
      <c r="B37" t="s">
        <v>110</v>
      </c>
      <c r="C37" t="s">
        <v>29</v>
      </c>
      <c r="D37" s="19">
        <v>120</v>
      </c>
      <c r="E37" s="19">
        <v>3600</v>
      </c>
      <c r="F37" s="19">
        <v>2592</v>
      </c>
      <c r="G37" s="19">
        <v>43.2</v>
      </c>
      <c r="H37" s="20">
        <v>0.72</v>
      </c>
      <c r="I37" s="6">
        <v>2356560</v>
      </c>
    </row>
    <row r="38" spans="1:9" x14ac:dyDescent="0.35">
      <c r="A38" t="s">
        <v>111</v>
      </c>
      <c r="B38" t="s">
        <v>112</v>
      </c>
      <c r="C38" t="s">
        <v>26</v>
      </c>
      <c r="D38" s="19">
        <v>45</v>
      </c>
      <c r="E38" s="19">
        <v>1350</v>
      </c>
      <c r="F38" s="19">
        <v>1147.5</v>
      </c>
      <c r="G38" s="19">
        <v>19.125</v>
      </c>
      <c r="H38" s="20">
        <v>0.85</v>
      </c>
      <c r="I38" s="6">
        <v>1564425</v>
      </c>
    </row>
    <row r="39" spans="1:9" x14ac:dyDescent="0.35">
      <c r="A39" t="s">
        <v>113</v>
      </c>
      <c r="B39" t="s">
        <v>114</v>
      </c>
      <c r="C39" t="s">
        <v>29</v>
      </c>
      <c r="D39" s="19">
        <v>45</v>
      </c>
      <c r="E39" s="19">
        <v>1350</v>
      </c>
      <c r="F39" s="19">
        <v>1147.5</v>
      </c>
      <c r="G39" s="19">
        <v>19.125</v>
      </c>
      <c r="H39" s="20">
        <v>0.85</v>
      </c>
      <c r="I39" s="6">
        <v>1564425</v>
      </c>
    </row>
    <row r="40" spans="1:9" x14ac:dyDescent="0.35">
      <c r="A40" t="s">
        <v>115</v>
      </c>
      <c r="B40" t="s">
        <v>116</v>
      </c>
      <c r="C40" t="s">
        <v>30</v>
      </c>
      <c r="D40" s="19">
        <v>45</v>
      </c>
      <c r="E40" s="19">
        <v>1350</v>
      </c>
      <c r="F40" s="19">
        <v>1147.5</v>
      </c>
      <c r="G40" s="19">
        <v>19.125</v>
      </c>
      <c r="H40" s="20">
        <v>0.85</v>
      </c>
      <c r="I40" s="6">
        <v>1564425</v>
      </c>
    </row>
    <row r="41" spans="1:9" x14ac:dyDescent="0.35">
      <c r="A41" t="s">
        <v>117</v>
      </c>
      <c r="B41" t="s">
        <v>118</v>
      </c>
      <c r="C41" t="s">
        <v>27</v>
      </c>
      <c r="D41" s="19">
        <v>45</v>
      </c>
      <c r="E41" s="19">
        <v>1350</v>
      </c>
      <c r="F41" s="19">
        <v>1147.5</v>
      </c>
      <c r="G41" s="19">
        <v>19.125</v>
      </c>
      <c r="H41" s="20">
        <v>0.85</v>
      </c>
      <c r="I41" s="6">
        <v>1043268.75</v>
      </c>
    </row>
  </sheetData>
  <mergeCells count="2">
    <mergeCell ref="A1:I1"/>
    <mergeCell ref="A2:I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E7FCB-E6FD-4404-85BC-E26FB221B7E3}">
  <dimension ref="A1:R10"/>
  <sheetViews>
    <sheetView workbookViewId="0">
      <selection sqref="A1:R1"/>
    </sheetView>
  </sheetViews>
  <sheetFormatPr defaultRowHeight="14.5" x14ac:dyDescent="0.35"/>
  <cols>
    <col min="1" max="1" width="11.08984375" bestFit="1" customWidth="1"/>
    <col min="2" max="2" width="40" customWidth="1"/>
    <col min="3" max="3" width="8.81640625" bestFit="1" customWidth="1"/>
    <col min="4" max="4" width="10.08984375" bestFit="1" customWidth="1"/>
    <col min="5" max="5" width="9.90625" bestFit="1" customWidth="1"/>
    <col min="6" max="9" width="8.90625" bestFit="1" customWidth="1"/>
    <col min="10" max="10" width="8.453125" bestFit="1" customWidth="1"/>
    <col min="11" max="12" width="8.90625" bestFit="1" customWidth="1"/>
    <col min="13" max="13" width="8.6328125" bestFit="1" customWidth="1"/>
    <col min="15" max="15" width="9" bestFit="1" customWidth="1"/>
    <col min="16" max="16" width="8.453125" bestFit="1" customWidth="1"/>
    <col min="18" max="18" width="50.90625" customWidth="1"/>
  </cols>
  <sheetData>
    <row r="1" spans="1:18" ht="26" x14ac:dyDescent="0.6">
      <c r="A1" s="4" t="s">
        <v>119</v>
      </c>
      <c r="B1" s="2"/>
      <c r="C1" s="2"/>
      <c r="D1" s="2"/>
      <c r="E1" s="2"/>
      <c r="F1" s="2"/>
      <c r="G1" s="2"/>
      <c r="H1" s="2"/>
      <c r="I1" s="2"/>
      <c r="J1" s="2"/>
      <c r="K1" s="2"/>
      <c r="L1" s="2"/>
      <c r="M1" s="2"/>
      <c r="N1" s="2"/>
      <c r="O1" s="2"/>
      <c r="P1" s="2"/>
      <c r="Q1" s="2"/>
      <c r="R1" s="2"/>
    </row>
    <row r="2" spans="1:18" x14ac:dyDescent="0.35">
      <c r="A2" s="2" t="s">
        <v>120</v>
      </c>
      <c r="B2" s="2"/>
      <c r="C2" s="2"/>
      <c r="D2" s="2"/>
      <c r="E2" s="2"/>
      <c r="F2" s="2"/>
      <c r="G2" s="2"/>
      <c r="H2" s="2"/>
      <c r="I2" s="2"/>
      <c r="J2" s="2"/>
      <c r="K2" s="2"/>
      <c r="L2" s="2"/>
      <c r="M2" s="2"/>
      <c r="N2" s="2"/>
      <c r="O2" s="2"/>
      <c r="P2" s="2"/>
      <c r="Q2" s="2"/>
      <c r="R2" s="2"/>
    </row>
    <row r="4" spans="1:18" ht="29" x14ac:dyDescent="0.35">
      <c r="A4" s="5" t="s">
        <v>121</v>
      </c>
      <c r="B4" s="5" t="s">
        <v>122</v>
      </c>
      <c r="C4" s="5" t="s">
        <v>123</v>
      </c>
      <c r="D4" s="5" t="s">
        <v>124</v>
      </c>
      <c r="E4" s="5" t="s">
        <v>125</v>
      </c>
      <c r="F4" s="5" t="s">
        <v>126</v>
      </c>
      <c r="G4" s="5" t="s">
        <v>127</v>
      </c>
      <c r="H4" s="5" t="s">
        <v>128</v>
      </c>
      <c r="I4" s="5" t="s">
        <v>129</v>
      </c>
      <c r="J4" s="5" t="s">
        <v>130</v>
      </c>
      <c r="K4" s="5" t="s">
        <v>131</v>
      </c>
      <c r="L4" s="5" t="s">
        <v>132</v>
      </c>
      <c r="M4" s="5" t="s">
        <v>133</v>
      </c>
      <c r="N4" s="5" t="s">
        <v>134</v>
      </c>
      <c r="O4" s="5" t="s">
        <v>135</v>
      </c>
      <c r="P4" s="5" t="s">
        <v>136</v>
      </c>
      <c r="Q4" s="5" t="s">
        <v>137</v>
      </c>
      <c r="R4" s="5" t="s">
        <v>138</v>
      </c>
    </row>
    <row r="5" spans="1:18" ht="116" x14ac:dyDescent="0.35">
      <c r="A5" t="s">
        <v>139</v>
      </c>
      <c r="B5" t="s">
        <v>140</v>
      </c>
      <c r="C5" t="s">
        <v>141</v>
      </c>
      <c r="D5" t="s">
        <v>142</v>
      </c>
      <c r="E5" s="6">
        <v>12000000</v>
      </c>
      <c r="F5" s="6">
        <v>4000000</v>
      </c>
      <c r="G5" s="6">
        <v>1800000</v>
      </c>
      <c r="H5" s="6">
        <v>1100000</v>
      </c>
      <c r="I5" s="6">
        <v>880000</v>
      </c>
      <c r="J5" s="6">
        <v>220000</v>
      </c>
      <c r="K5" s="6">
        <v>1680000</v>
      </c>
      <c r="L5" s="6">
        <v>1680000</v>
      </c>
      <c r="M5" s="20">
        <v>0.22</v>
      </c>
      <c r="N5" s="20">
        <v>0.65</v>
      </c>
      <c r="O5" s="20">
        <v>0.42</v>
      </c>
      <c r="P5" s="20">
        <v>-0.23</v>
      </c>
      <c r="Q5" s="21" t="s">
        <v>143</v>
      </c>
      <c r="R5" s="21" t="s">
        <v>144</v>
      </c>
    </row>
    <row r="6" spans="1:18" ht="72.5" x14ac:dyDescent="0.35">
      <c r="A6" t="s">
        <v>145</v>
      </c>
      <c r="B6" t="s">
        <v>146</v>
      </c>
      <c r="C6" t="s">
        <v>141</v>
      </c>
      <c r="D6" t="s">
        <v>142</v>
      </c>
      <c r="E6" s="6">
        <v>8500000</v>
      </c>
      <c r="F6" s="6">
        <v>2800000</v>
      </c>
      <c r="G6" s="6">
        <v>1300000</v>
      </c>
      <c r="H6" s="6">
        <v>800000</v>
      </c>
      <c r="I6" s="6">
        <v>616000</v>
      </c>
      <c r="J6" s="6">
        <v>84000</v>
      </c>
      <c r="K6" s="6">
        <v>1450000</v>
      </c>
      <c r="L6" s="6">
        <v>1450000</v>
      </c>
      <c r="M6" s="20">
        <v>0.22</v>
      </c>
      <c r="N6" s="20">
        <v>0.52</v>
      </c>
      <c r="O6" s="20">
        <v>0.51800000000000002</v>
      </c>
      <c r="P6" s="20">
        <v>-2E-3</v>
      </c>
      <c r="Q6" s="21" t="s">
        <v>147</v>
      </c>
      <c r="R6" s="21" t="s">
        <v>148</v>
      </c>
    </row>
    <row r="7" spans="1:18" ht="87" x14ac:dyDescent="0.35">
      <c r="A7" t="s">
        <v>149</v>
      </c>
      <c r="B7" t="s">
        <v>150</v>
      </c>
      <c r="C7" t="s">
        <v>141</v>
      </c>
      <c r="D7" t="s">
        <v>151</v>
      </c>
      <c r="E7" s="6">
        <v>18500000</v>
      </c>
      <c r="F7" s="6">
        <v>6200000</v>
      </c>
      <c r="G7" s="6">
        <v>2800000</v>
      </c>
      <c r="H7" s="6">
        <v>1800000</v>
      </c>
      <c r="I7" s="6">
        <v>1364000</v>
      </c>
      <c r="J7" s="6">
        <v>236000</v>
      </c>
      <c r="K7" s="6">
        <v>3100000</v>
      </c>
      <c r="L7" s="6">
        <v>3100000</v>
      </c>
      <c r="M7" s="20">
        <v>0.22</v>
      </c>
      <c r="N7" s="20">
        <v>0.5</v>
      </c>
      <c r="O7" s="20">
        <v>0.5</v>
      </c>
      <c r="P7" s="20">
        <v>0</v>
      </c>
      <c r="Q7" s="21" t="s">
        <v>147</v>
      </c>
      <c r="R7" s="21" t="s">
        <v>152</v>
      </c>
    </row>
    <row r="8" spans="1:18" ht="87" x14ac:dyDescent="0.35">
      <c r="A8" t="s">
        <v>153</v>
      </c>
      <c r="B8" t="s">
        <v>154</v>
      </c>
      <c r="C8" t="s">
        <v>141</v>
      </c>
      <c r="D8" t="s">
        <v>151</v>
      </c>
      <c r="E8" s="6">
        <v>14000000</v>
      </c>
      <c r="F8" s="6">
        <v>4500000</v>
      </c>
      <c r="G8" s="6">
        <v>2100000</v>
      </c>
      <c r="H8" s="6">
        <v>1200000</v>
      </c>
      <c r="I8" s="6">
        <v>990000</v>
      </c>
      <c r="J8" s="6">
        <v>210000</v>
      </c>
      <c r="K8" s="6">
        <v>2150000</v>
      </c>
      <c r="L8" s="6">
        <v>2150000</v>
      </c>
      <c r="M8" s="20">
        <v>0.22</v>
      </c>
      <c r="N8" s="20">
        <v>0.48</v>
      </c>
      <c r="O8" s="20">
        <v>0.47799999999999998</v>
      </c>
      <c r="P8" s="20">
        <v>-2E-3</v>
      </c>
      <c r="Q8" s="21" t="s">
        <v>147</v>
      </c>
      <c r="R8" s="21" t="s">
        <v>155</v>
      </c>
    </row>
    <row r="9" spans="1:18" ht="159.5" x14ac:dyDescent="0.35">
      <c r="A9" t="s">
        <v>156</v>
      </c>
      <c r="B9" t="s">
        <v>157</v>
      </c>
      <c r="C9" t="s">
        <v>158</v>
      </c>
      <c r="D9" t="s">
        <v>159</v>
      </c>
      <c r="E9" s="6">
        <v>3500000</v>
      </c>
      <c r="F9" s="6">
        <v>1200000</v>
      </c>
      <c r="G9" s="6">
        <v>450000</v>
      </c>
      <c r="H9" s="6">
        <v>450000</v>
      </c>
      <c r="I9" s="6">
        <v>300000</v>
      </c>
      <c r="J9" s="6">
        <v>0</v>
      </c>
      <c r="K9" s="6">
        <v>864000</v>
      </c>
      <c r="L9" s="6">
        <v>600000</v>
      </c>
      <c r="M9" s="20">
        <v>0.25</v>
      </c>
      <c r="N9" s="20">
        <v>0.5</v>
      </c>
      <c r="O9" s="20">
        <v>0.72</v>
      </c>
      <c r="P9" s="20">
        <v>0.22</v>
      </c>
      <c r="Q9" s="21" t="s">
        <v>160</v>
      </c>
      <c r="R9" s="21" t="s">
        <v>161</v>
      </c>
    </row>
    <row r="10" spans="1:18" ht="101.5" x14ac:dyDescent="0.35">
      <c r="A10" t="s">
        <v>162</v>
      </c>
      <c r="B10" t="s">
        <v>163</v>
      </c>
      <c r="C10" t="s">
        <v>158</v>
      </c>
      <c r="D10" t="s">
        <v>164</v>
      </c>
      <c r="E10" s="6">
        <v>5000000</v>
      </c>
      <c r="F10" s="6">
        <v>1800000</v>
      </c>
      <c r="G10" s="6">
        <v>750000</v>
      </c>
      <c r="H10" s="6">
        <v>550000</v>
      </c>
      <c r="I10" s="6">
        <v>450000</v>
      </c>
      <c r="J10" s="6">
        <v>50000</v>
      </c>
      <c r="K10" s="6">
        <v>890000</v>
      </c>
      <c r="L10" s="6">
        <v>890000</v>
      </c>
      <c r="M10" s="20">
        <v>0.25</v>
      </c>
      <c r="N10" s="20">
        <v>0.5</v>
      </c>
      <c r="O10" s="20">
        <v>0.49399999999999999</v>
      </c>
      <c r="P10" s="20">
        <v>-6.0000000000000001E-3</v>
      </c>
      <c r="Q10" s="21" t="s">
        <v>147</v>
      </c>
      <c r="R10" s="21" t="s">
        <v>165</v>
      </c>
    </row>
  </sheetData>
  <mergeCells count="2">
    <mergeCell ref="A1:R1"/>
    <mergeCell ref="A2:R2"/>
  </mergeCells>
  <conditionalFormatting sqref="Q5:Q10">
    <cfRule type="expression" dxfId="5" priority="1">
      <formula>LEFT($Q5,3)="RØD"</formula>
    </cfRule>
  </conditionalFormatting>
  <conditionalFormatting sqref="Q5:Q10">
    <cfRule type="expression" dxfId="4" priority="2">
      <formula>LEFT($Q5,3)="GUL"</formula>
    </cfRule>
  </conditionalFormatting>
  <conditionalFormatting sqref="Q5:Q10">
    <cfRule type="expression" dxfId="3" priority="3">
      <formula>LEFT($Q5,5)="GRØNN"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69653-E488-496B-B312-9D266574B2EA}">
  <dimension ref="A1:O10"/>
  <sheetViews>
    <sheetView workbookViewId="0">
      <selection sqref="A1:O1"/>
    </sheetView>
  </sheetViews>
  <sheetFormatPr defaultRowHeight="14.5" x14ac:dyDescent="0.35"/>
  <cols>
    <col min="1" max="1" width="7.453125" bestFit="1" customWidth="1"/>
    <col min="3" max="3" width="8" bestFit="1" customWidth="1"/>
    <col min="4" max="4" width="6" bestFit="1" customWidth="1"/>
    <col min="5" max="6" width="45.453125" customWidth="1"/>
    <col min="7" max="7" width="27.26953125" customWidth="1"/>
    <col min="8" max="9" width="8.81640625" bestFit="1" customWidth="1"/>
    <col min="10" max="11" width="8.90625" bestFit="1" customWidth="1"/>
    <col min="12" max="12" width="11.453125" bestFit="1" customWidth="1"/>
    <col min="13" max="13" width="8" bestFit="1" customWidth="1"/>
    <col min="15" max="15" width="36.36328125" customWidth="1"/>
  </cols>
  <sheetData>
    <row r="1" spans="1:15" ht="26" x14ac:dyDescent="0.6">
      <c r="A1" s="4" t="s">
        <v>166</v>
      </c>
      <c r="B1" s="2"/>
      <c r="C1" s="2"/>
      <c r="D1" s="2"/>
      <c r="E1" s="2"/>
      <c r="F1" s="2"/>
      <c r="G1" s="2"/>
      <c r="H1" s="2"/>
      <c r="I1" s="2"/>
      <c r="J1" s="2"/>
      <c r="K1" s="2"/>
      <c r="L1" s="2"/>
      <c r="M1" s="2"/>
      <c r="N1" s="2"/>
      <c r="O1" s="2"/>
    </row>
    <row r="2" spans="1:15" x14ac:dyDescent="0.35">
      <c r="A2" s="2" t="s">
        <v>167</v>
      </c>
      <c r="B2" s="2"/>
      <c r="C2" s="2"/>
      <c r="D2" s="2"/>
      <c r="E2" s="2"/>
      <c r="F2" s="2"/>
      <c r="G2" s="2"/>
      <c r="H2" s="2"/>
      <c r="I2" s="2"/>
      <c r="J2" s="2"/>
      <c r="K2" s="2"/>
      <c r="L2" s="2"/>
      <c r="M2" s="2"/>
      <c r="N2" s="2"/>
      <c r="O2" s="2"/>
    </row>
    <row r="4" spans="1:15" ht="43.5" x14ac:dyDescent="0.35">
      <c r="A4" s="5" t="s">
        <v>168</v>
      </c>
      <c r="B4" s="5" t="s">
        <v>169</v>
      </c>
      <c r="C4" s="5" t="s">
        <v>121</v>
      </c>
      <c r="D4" s="5" t="s">
        <v>170</v>
      </c>
      <c r="E4" s="5" t="s">
        <v>171</v>
      </c>
      <c r="F4" s="5" t="s">
        <v>172</v>
      </c>
      <c r="G4" s="5" t="s">
        <v>173</v>
      </c>
      <c r="H4" s="5" t="s">
        <v>174</v>
      </c>
      <c r="I4" s="5" t="s">
        <v>175</v>
      </c>
      <c r="J4" s="5" t="s">
        <v>176</v>
      </c>
      <c r="K4" s="5" t="s">
        <v>177</v>
      </c>
      <c r="L4" s="5" t="s">
        <v>178</v>
      </c>
      <c r="M4" s="5" t="s">
        <v>179</v>
      </c>
      <c r="N4" s="5" t="s">
        <v>180</v>
      </c>
      <c r="O4" s="5" t="s">
        <v>181</v>
      </c>
    </row>
    <row r="5" spans="1:15" ht="87" x14ac:dyDescent="0.35">
      <c r="A5" t="s">
        <v>182</v>
      </c>
      <c r="B5" t="s">
        <v>183</v>
      </c>
      <c r="C5" t="s">
        <v>184</v>
      </c>
      <c r="D5">
        <v>5000</v>
      </c>
      <c r="E5" s="21" t="s">
        <v>185</v>
      </c>
      <c r="F5" s="21" t="s">
        <v>186</v>
      </c>
      <c r="G5" s="21" t="s">
        <v>187</v>
      </c>
      <c r="H5">
        <v>20260401</v>
      </c>
      <c r="I5">
        <v>20261231</v>
      </c>
      <c r="J5" s="6">
        <v>850000</v>
      </c>
      <c r="K5" s="6">
        <v>420000</v>
      </c>
      <c r="L5" t="s">
        <v>188</v>
      </c>
      <c r="M5" t="s">
        <v>189</v>
      </c>
      <c r="N5" s="22">
        <v>0.85</v>
      </c>
      <c r="O5" s="21" t="s">
        <v>190</v>
      </c>
    </row>
    <row r="6" spans="1:15" ht="87" x14ac:dyDescent="0.35">
      <c r="A6" t="s">
        <v>191</v>
      </c>
      <c r="B6" t="s">
        <v>192</v>
      </c>
      <c r="C6" t="s">
        <v>193</v>
      </c>
      <c r="D6">
        <v>2080</v>
      </c>
      <c r="E6" s="21" t="s">
        <v>194</v>
      </c>
      <c r="F6" s="21" t="s">
        <v>195</v>
      </c>
      <c r="G6" s="21" t="s">
        <v>196</v>
      </c>
      <c r="H6">
        <v>20260501</v>
      </c>
      <c r="I6">
        <v>20261031</v>
      </c>
      <c r="J6" s="6">
        <v>2400000</v>
      </c>
      <c r="K6" s="6">
        <v>1800000</v>
      </c>
      <c r="L6" t="s">
        <v>197</v>
      </c>
      <c r="M6" t="s">
        <v>189</v>
      </c>
      <c r="N6" s="22">
        <v>0.9</v>
      </c>
      <c r="O6" s="21" t="s">
        <v>198</v>
      </c>
    </row>
    <row r="7" spans="1:15" ht="72.5" x14ac:dyDescent="0.35">
      <c r="A7" t="s">
        <v>199</v>
      </c>
      <c r="B7" t="s">
        <v>200</v>
      </c>
      <c r="C7" t="s">
        <v>139</v>
      </c>
      <c r="D7">
        <v>2180</v>
      </c>
      <c r="E7" s="21" t="s">
        <v>201</v>
      </c>
      <c r="F7" s="21" t="s">
        <v>202</v>
      </c>
      <c r="G7" s="21" t="s">
        <v>203</v>
      </c>
      <c r="H7">
        <v>20260301</v>
      </c>
      <c r="I7">
        <v>20260930</v>
      </c>
      <c r="J7" s="6">
        <v>600000</v>
      </c>
      <c r="K7" s="6">
        <v>300000</v>
      </c>
      <c r="L7" t="s">
        <v>188</v>
      </c>
      <c r="M7" t="s">
        <v>204</v>
      </c>
      <c r="N7" s="22">
        <v>0.75</v>
      </c>
      <c r="O7" s="21" t="s">
        <v>205</v>
      </c>
    </row>
    <row r="8" spans="1:15" ht="87" x14ac:dyDescent="0.35">
      <c r="A8" t="s">
        <v>206</v>
      </c>
      <c r="B8" t="s">
        <v>207</v>
      </c>
      <c r="C8" t="s">
        <v>156</v>
      </c>
      <c r="D8">
        <v>7790</v>
      </c>
      <c r="E8" s="21" t="s">
        <v>208</v>
      </c>
      <c r="F8" s="21" t="s">
        <v>209</v>
      </c>
      <c r="G8" s="21" t="s">
        <v>210</v>
      </c>
      <c r="H8">
        <v>20260601</v>
      </c>
      <c r="I8">
        <v>20261130</v>
      </c>
      <c r="J8" s="6">
        <v>150000</v>
      </c>
      <c r="K8" s="6">
        <v>0</v>
      </c>
      <c r="L8" t="s">
        <v>211</v>
      </c>
      <c r="M8" t="s">
        <v>189</v>
      </c>
      <c r="N8" s="22">
        <v>0.6</v>
      </c>
      <c r="O8" s="21" t="s">
        <v>212</v>
      </c>
    </row>
    <row r="9" spans="1:15" ht="87" x14ac:dyDescent="0.35">
      <c r="A9" t="s">
        <v>213</v>
      </c>
      <c r="B9" t="s">
        <v>192</v>
      </c>
      <c r="C9" t="s">
        <v>184</v>
      </c>
      <c r="D9">
        <v>6710</v>
      </c>
      <c r="E9" s="21" t="s">
        <v>214</v>
      </c>
      <c r="F9" s="21" t="s">
        <v>215</v>
      </c>
      <c r="G9" s="21" t="s">
        <v>216</v>
      </c>
      <c r="H9">
        <v>20260515</v>
      </c>
      <c r="I9">
        <v>20260831</v>
      </c>
      <c r="J9" s="6">
        <v>0</v>
      </c>
      <c r="K9" s="6">
        <v>0</v>
      </c>
      <c r="L9" t="s">
        <v>197</v>
      </c>
      <c r="M9" t="s">
        <v>189</v>
      </c>
      <c r="N9" s="22">
        <v>0.95</v>
      </c>
      <c r="O9" s="21" t="s">
        <v>217</v>
      </c>
    </row>
    <row r="10" spans="1:15" ht="87" x14ac:dyDescent="0.35">
      <c r="A10" t="s">
        <v>218</v>
      </c>
      <c r="B10" t="s">
        <v>219</v>
      </c>
      <c r="C10" t="s">
        <v>184</v>
      </c>
      <c r="D10">
        <v>5050</v>
      </c>
      <c r="E10" s="21" t="s">
        <v>220</v>
      </c>
      <c r="F10" s="21" t="s">
        <v>221</v>
      </c>
      <c r="G10" s="21" t="s">
        <v>222</v>
      </c>
      <c r="H10">
        <v>20260401</v>
      </c>
      <c r="I10">
        <v>20261231</v>
      </c>
      <c r="J10" s="6">
        <v>350000</v>
      </c>
      <c r="K10" s="6">
        <v>180000</v>
      </c>
      <c r="L10" t="s">
        <v>188</v>
      </c>
      <c r="M10" t="s">
        <v>204</v>
      </c>
      <c r="N10" s="22">
        <v>0.7</v>
      </c>
      <c r="O10" s="21" t="s">
        <v>223</v>
      </c>
    </row>
  </sheetData>
  <mergeCells count="2">
    <mergeCell ref="A1:O1"/>
    <mergeCell ref="A2:O2"/>
  </mergeCells>
  <conditionalFormatting sqref="L5:L10">
    <cfRule type="expression" dxfId="2" priority="1">
      <formula>$L5="Forsinket"</formula>
    </cfRule>
  </conditionalFormatting>
  <conditionalFormatting sqref="L5:L10">
    <cfRule type="expression" dxfId="1" priority="2">
      <formula>$L5="Pågår"</formula>
    </cfRule>
  </conditionalFormatting>
  <conditionalFormatting sqref="L5:L10">
    <cfRule type="expression" dxfId="0" priority="3">
      <formula>$L5="Gjennomført"</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6CB56-4D4B-4BC6-A3A5-D320032C8E3C}">
  <dimension ref="A1:W16"/>
  <sheetViews>
    <sheetView workbookViewId="0">
      <selection sqref="A1:W1"/>
    </sheetView>
  </sheetViews>
  <sheetFormatPr defaultRowHeight="14.5" x14ac:dyDescent="0.35"/>
  <cols>
    <col min="1" max="1" width="16.7265625" customWidth="1"/>
    <col min="2" max="2" width="16.36328125" customWidth="1"/>
    <col min="3" max="23" width="16.7265625" customWidth="1"/>
  </cols>
  <sheetData>
    <row r="1" spans="1:23" ht="26" x14ac:dyDescent="0.6">
      <c r="A1" s="4" t="s">
        <v>224</v>
      </c>
      <c r="B1" s="2"/>
      <c r="C1" s="2"/>
      <c r="D1" s="2"/>
      <c r="E1" s="2"/>
      <c r="F1" s="2"/>
      <c r="G1" s="2"/>
      <c r="H1" s="2"/>
      <c r="I1" s="2"/>
      <c r="J1" s="2"/>
      <c r="K1" s="2"/>
      <c r="L1" s="2"/>
      <c r="M1" s="2"/>
      <c r="N1" s="2"/>
      <c r="O1" s="2"/>
      <c r="P1" s="2"/>
      <c r="Q1" s="2"/>
      <c r="R1" s="2"/>
      <c r="S1" s="2"/>
      <c r="T1" s="2"/>
      <c r="U1" s="2"/>
      <c r="V1" s="2"/>
      <c r="W1" s="2"/>
    </row>
    <row r="2" spans="1:23" x14ac:dyDescent="0.35">
      <c r="A2" s="2" t="s">
        <v>225</v>
      </c>
      <c r="B2" s="2"/>
      <c r="C2" s="2"/>
      <c r="D2" s="2"/>
      <c r="E2" s="2"/>
      <c r="F2" s="2"/>
      <c r="G2" s="2"/>
      <c r="H2" s="2"/>
      <c r="I2" s="2"/>
      <c r="J2" s="2"/>
      <c r="K2" s="2"/>
      <c r="L2" s="2"/>
      <c r="M2" s="2"/>
      <c r="N2" s="2"/>
      <c r="O2" s="2"/>
      <c r="P2" s="2"/>
      <c r="Q2" s="2"/>
      <c r="R2" s="2"/>
      <c r="S2" s="2"/>
      <c r="T2" s="2"/>
      <c r="U2" s="2"/>
      <c r="V2" s="2"/>
      <c r="W2" s="2"/>
    </row>
    <row r="4" spans="1:23" ht="43.5" x14ac:dyDescent="0.35">
      <c r="A4" s="5" t="s">
        <v>226</v>
      </c>
      <c r="B4" s="5" t="s">
        <v>227</v>
      </c>
      <c r="C4" s="5" t="s">
        <v>228</v>
      </c>
      <c r="D4" s="5" t="s">
        <v>229</v>
      </c>
      <c r="E4" s="5" t="s">
        <v>230</v>
      </c>
      <c r="F4" s="5" t="s">
        <v>231</v>
      </c>
      <c r="G4" s="5" t="s">
        <v>232</v>
      </c>
      <c r="H4" s="5" t="s">
        <v>233</v>
      </c>
      <c r="I4" s="5" t="s">
        <v>234</v>
      </c>
      <c r="J4" s="5" t="s">
        <v>235</v>
      </c>
      <c r="K4" s="5" t="s">
        <v>236</v>
      </c>
      <c r="L4" s="5" t="s">
        <v>237</v>
      </c>
      <c r="M4" s="5" t="s">
        <v>238</v>
      </c>
      <c r="N4" s="5" t="s">
        <v>239</v>
      </c>
      <c r="O4" s="5" t="s">
        <v>240</v>
      </c>
      <c r="P4" s="5" t="s">
        <v>241</v>
      </c>
      <c r="Q4" s="5" t="s">
        <v>242</v>
      </c>
      <c r="R4" s="5" t="s">
        <v>243</v>
      </c>
      <c r="S4" s="5" t="s">
        <v>244</v>
      </c>
      <c r="T4" s="5" t="s">
        <v>245</v>
      </c>
      <c r="U4" s="5" t="s">
        <v>246</v>
      </c>
      <c r="V4" s="5" t="s">
        <v>247</v>
      </c>
      <c r="W4" s="5" t="s">
        <v>248</v>
      </c>
    </row>
    <row r="5" spans="1:23" x14ac:dyDescent="0.35">
      <c r="A5">
        <v>1</v>
      </c>
      <c r="B5" t="s">
        <v>249</v>
      </c>
      <c r="C5" s="18">
        <v>102.8</v>
      </c>
      <c r="D5" s="18">
        <v>8.5</v>
      </c>
      <c r="E5" s="18">
        <v>5.8</v>
      </c>
      <c r="F5" s="18">
        <v>76.5</v>
      </c>
      <c r="G5" s="18">
        <v>27.5</v>
      </c>
      <c r="H5" s="18">
        <v>10.5</v>
      </c>
      <c r="I5" s="18">
        <v>121</v>
      </c>
      <c r="J5" s="18">
        <v>111</v>
      </c>
      <c r="K5" s="18">
        <v>114.5</v>
      </c>
      <c r="L5" s="18">
        <v>117.1</v>
      </c>
      <c r="M5" s="18">
        <v>114.5</v>
      </c>
      <c r="N5" s="18">
        <v>2.6</v>
      </c>
      <c r="O5" s="18">
        <v>117.1</v>
      </c>
      <c r="P5" s="18">
        <v>114.5</v>
      </c>
      <c r="Q5" s="18">
        <v>121</v>
      </c>
      <c r="R5" s="18">
        <v>111</v>
      </c>
      <c r="S5" s="18">
        <v>114.5</v>
      </c>
      <c r="T5" s="23">
        <v>0.96899999999999997</v>
      </c>
      <c r="U5" s="23">
        <v>0.91700000000000004</v>
      </c>
      <c r="V5" s="18">
        <v>-3.5</v>
      </c>
      <c r="W5" s="18">
        <v>-10</v>
      </c>
    </row>
    <row r="6" spans="1:23" x14ac:dyDescent="0.35">
      <c r="A6">
        <v>2</v>
      </c>
      <c r="B6" t="s">
        <v>250</v>
      </c>
      <c r="C6" s="18">
        <v>102.8</v>
      </c>
      <c r="D6" s="18">
        <v>9.1999999999999993</v>
      </c>
      <c r="E6" s="18">
        <v>7.5</v>
      </c>
      <c r="F6" s="18">
        <v>77</v>
      </c>
      <c r="G6" s="18">
        <v>26.5</v>
      </c>
      <c r="H6" s="18">
        <v>11</v>
      </c>
      <c r="I6" s="18">
        <v>122</v>
      </c>
      <c r="J6" s="18">
        <v>112</v>
      </c>
      <c r="K6" s="18">
        <v>114.5</v>
      </c>
      <c r="L6" s="18">
        <v>119.5</v>
      </c>
      <c r="M6" s="18">
        <v>114.5</v>
      </c>
      <c r="N6" s="18">
        <v>5</v>
      </c>
      <c r="O6" s="18">
        <v>236.6</v>
      </c>
      <c r="P6" s="18">
        <v>229</v>
      </c>
      <c r="Q6" s="18">
        <v>243</v>
      </c>
      <c r="R6" s="18">
        <v>223</v>
      </c>
      <c r="S6" s="18">
        <v>229</v>
      </c>
      <c r="T6" s="23">
        <v>0.97399999999999998</v>
      </c>
      <c r="U6" s="23">
        <v>0.91800000000000004</v>
      </c>
      <c r="V6" s="18">
        <v>-6</v>
      </c>
      <c r="W6" s="18">
        <v>-20</v>
      </c>
    </row>
    <row r="7" spans="1:23" x14ac:dyDescent="0.35">
      <c r="A7">
        <v>3</v>
      </c>
      <c r="B7" t="s">
        <v>251</v>
      </c>
      <c r="C7" s="18">
        <v>102.8</v>
      </c>
      <c r="D7" s="18">
        <v>10.1</v>
      </c>
      <c r="E7" s="18">
        <v>6.2</v>
      </c>
      <c r="F7" s="18">
        <v>78.5</v>
      </c>
      <c r="G7" s="18">
        <v>30</v>
      </c>
      <c r="H7" s="18">
        <v>12.5</v>
      </c>
      <c r="I7" s="18">
        <v>128</v>
      </c>
      <c r="J7" s="18">
        <v>118</v>
      </c>
      <c r="K7" s="18">
        <v>121</v>
      </c>
      <c r="L7" s="18">
        <v>119.1</v>
      </c>
      <c r="M7" s="18">
        <v>121</v>
      </c>
      <c r="N7" s="18">
        <v>-1.9</v>
      </c>
      <c r="O7" s="18">
        <v>355.7</v>
      </c>
      <c r="P7" s="18">
        <v>350</v>
      </c>
      <c r="Q7" s="18">
        <v>371</v>
      </c>
      <c r="R7" s="18">
        <v>341</v>
      </c>
      <c r="S7" s="18">
        <v>350</v>
      </c>
      <c r="T7" s="23">
        <v>0.97399999999999998</v>
      </c>
      <c r="U7" s="23">
        <v>0.91900000000000004</v>
      </c>
      <c r="V7" s="18">
        <v>-9</v>
      </c>
      <c r="W7" s="18">
        <v>-30</v>
      </c>
    </row>
    <row r="8" spans="1:23" x14ac:dyDescent="0.35">
      <c r="A8">
        <v>4</v>
      </c>
      <c r="B8" t="s">
        <v>252</v>
      </c>
      <c r="C8" s="18">
        <v>102.8</v>
      </c>
      <c r="D8" s="18">
        <v>10.5</v>
      </c>
      <c r="E8" s="18">
        <v>6.4</v>
      </c>
      <c r="F8" s="18">
        <v>78</v>
      </c>
      <c r="G8" s="18">
        <v>28.5</v>
      </c>
      <c r="H8" s="18">
        <v>13</v>
      </c>
      <c r="I8" s="18">
        <v>127</v>
      </c>
      <c r="J8" s="18">
        <v>117</v>
      </c>
      <c r="K8" s="18">
        <v>119.5</v>
      </c>
      <c r="L8" s="18">
        <v>119.7</v>
      </c>
      <c r="M8" s="18">
        <v>119.5</v>
      </c>
      <c r="N8" s="18">
        <v>0.2</v>
      </c>
      <c r="O8" s="18">
        <v>475.4</v>
      </c>
      <c r="P8" s="18">
        <v>469.5</v>
      </c>
      <c r="Q8" s="18">
        <v>498</v>
      </c>
      <c r="R8" s="18">
        <v>458</v>
      </c>
      <c r="S8" s="18">
        <v>469.5</v>
      </c>
      <c r="T8" s="23">
        <v>0.97599999999999998</v>
      </c>
      <c r="U8" s="23">
        <v>0.92</v>
      </c>
      <c r="V8" s="18">
        <v>-11.5</v>
      </c>
      <c r="W8" s="18">
        <v>-40</v>
      </c>
    </row>
    <row r="9" spans="1:23" x14ac:dyDescent="0.35">
      <c r="A9">
        <v>5</v>
      </c>
      <c r="B9" t="s">
        <v>253</v>
      </c>
      <c r="C9" s="18">
        <v>102.9</v>
      </c>
      <c r="D9" s="18">
        <v>11.2</v>
      </c>
      <c r="E9" s="18">
        <v>6.5</v>
      </c>
      <c r="F9" s="18">
        <v>79.5</v>
      </c>
      <c r="G9" s="18">
        <v>30.5</v>
      </c>
      <c r="H9" s="18">
        <v>14</v>
      </c>
      <c r="I9" s="18">
        <v>131</v>
      </c>
      <c r="J9" s="18">
        <v>120</v>
      </c>
      <c r="K9" s="18">
        <v>124</v>
      </c>
      <c r="L9" s="18">
        <v>120.6</v>
      </c>
      <c r="M9" s="18">
        <v>124</v>
      </c>
      <c r="N9" s="18">
        <v>-3.4</v>
      </c>
      <c r="O9" s="18">
        <v>596</v>
      </c>
      <c r="P9" s="18">
        <v>593.5</v>
      </c>
      <c r="Q9" s="18">
        <v>629</v>
      </c>
      <c r="R9" s="18">
        <v>578</v>
      </c>
      <c r="S9" s="18">
        <v>593.5</v>
      </c>
      <c r="T9" s="23">
        <v>0.97399999999999998</v>
      </c>
      <c r="U9" s="23">
        <v>0.91900000000000004</v>
      </c>
      <c r="V9" s="18">
        <v>-15.5</v>
      </c>
      <c r="W9" s="18">
        <v>-51</v>
      </c>
    </row>
    <row r="10" spans="1:23" x14ac:dyDescent="0.35">
      <c r="A10">
        <v>6</v>
      </c>
      <c r="B10" t="s">
        <v>254</v>
      </c>
      <c r="C10" s="18">
        <v>102.9</v>
      </c>
      <c r="D10" s="18">
        <v>11.5</v>
      </c>
      <c r="E10" s="18">
        <v>6.8</v>
      </c>
      <c r="F10" s="18">
        <v>116</v>
      </c>
      <c r="G10" s="18">
        <v>33</v>
      </c>
      <c r="H10" s="18">
        <v>16</v>
      </c>
      <c r="I10" s="18">
        <v>145</v>
      </c>
      <c r="J10" s="18">
        <v>133</v>
      </c>
      <c r="K10" s="18">
        <v>165</v>
      </c>
      <c r="L10" s="18">
        <v>121.2</v>
      </c>
      <c r="M10" s="18">
        <v>165</v>
      </c>
      <c r="N10" s="18">
        <v>-43.8</v>
      </c>
      <c r="O10" s="18">
        <v>717.2</v>
      </c>
      <c r="P10" s="18">
        <v>758.5</v>
      </c>
      <c r="Q10" s="18">
        <v>774</v>
      </c>
      <c r="R10" s="18">
        <v>711</v>
      </c>
      <c r="S10" s="18">
        <v>758.5</v>
      </c>
      <c r="T10" s="23">
        <v>0.93700000000000006</v>
      </c>
      <c r="U10" s="23">
        <v>0.91900000000000004</v>
      </c>
      <c r="V10" s="18">
        <v>-47.5</v>
      </c>
      <c r="W10" s="18">
        <v>-63</v>
      </c>
    </row>
    <row r="11" spans="1:23" x14ac:dyDescent="0.35">
      <c r="A11">
        <v>7</v>
      </c>
      <c r="B11" t="s">
        <v>255</v>
      </c>
      <c r="C11" s="18">
        <v>102.8</v>
      </c>
      <c r="D11" s="18">
        <v>6.2</v>
      </c>
      <c r="E11" s="18">
        <v>4.2</v>
      </c>
      <c r="F11" s="18">
        <v>60.5</v>
      </c>
      <c r="G11" s="18">
        <v>20</v>
      </c>
      <c r="H11" s="18">
        <v>9</v>
      </c>
      <c r="I11" s="18">
        <v>95</v>
      </c>
      <c r="J11" s="18">
        <v>88</v>
      </c>
      <c r="K11" s="18">
        <v>89.5</v>
      </c>
      <c r="L11" s="18">
        <v>113.2</v>
      </c>
      <c r="M11" s="18">
        <v>89.5</v>
      </c>
      <c r="N11" s="18">
        <v>23.7</v>
      </c>
      <c r="O11" s="18">
        <v>830.4</v>
      </c>
      <c r="P11" s="18">
        <v>848</v>
      </c>
      <c r="Q11" s="18">
        <v>869</v>
      </c>
      <c r="R11" s="18">
        <v>799</v>
      </c>
      <c r="S11" s="18">
        <v>848</v>
      </c>
      <c r="T11" s="23">
        <v>0.94199999999999995</v>
      </c>
      <c r="U11" s="23">
        <v>0.91900000000000004</v>
      </c>
      <c r="V11" s="18">
        <v>-49</v>
      </c>
      <c r="W11" s="18">
        <v>-70</v>
      </c>
    </row>
    <row r="12" spans="1:23" x14ac:dyDescent="0.35">
      <c r="A12">
        <v>8</v>
      </c>
      <c r="B12" t="s">
        <v>256</v>
      </c>
      <c r="C12" s="18">
        <v>102.8</v>
      </c>
      <c r="D12" s="18">
        <v>9.8000000000000007</v>
      </c>
      <c r="E12" s="18">
        <v>6.6</v>
      </c>
      <c r="F12" s="18">
        <v>77</v>
      </c>
      <c r="G12" s="18">
        <v>27</v>
      </c>
      <c r="H12" s="18">
        <v>14</v>
      </c>
      <c r="I12" s="18">
        <v>123</v>
      </c>
      <c r="J12" s="18">
        <v>113</v>
      </c>
      <c r="K12" s="18">
        <v>118</v>
      </c>
      <c r="L12" s="18">
        <v>119.2</v>
      </c>
      <c r="M12" s="18">
        <v>118</v>
      </c>
      <c r="N12" s="18">
        <v>1.2</v>
      </c>
      <c r="O12" s="18">
        <v>949.6</v>
      </c>
      <c r="P12" s="18">
        <v>966</v>
      </c>
      <c r="Q12" s="18">
        <v>992</v>
      </c>
      <c r="R12" s="18">
        <v>912</v>
      </c>
      <c r="S12" s="18">
        <v>966</v>
      </c>
      <c r="T12" s="23">
        <v>0.94399999999999995</v>
      </c>
      <c r="U12" s="23">
        <v>0.91900000000000004</v>
      </c>
      <c r="V12" s="18">
        <v>-54</v>
      </c>
      <c r="W12" s="18">
        <v>-80</v>
      </c>
    </row>
    <row r="13" spans="1:23" x14ac:dyDescent="0.35">
      <c r="A13">
        <v>9</v>
      </c>
      <c r="B13" t="s">
        <v>257</v>
      </c>
      <c r="C13" s="18">
        <v>102.9</v>
      </c>
      <c r="D13" s="18">
        <v>11.4</v>
      </c>
      <c r="E13" s="18">
        <v>8.1999999999999993</v>
      </c>
      <c r="F13" s="18">
        <v>79.5</v>
      </c>
      <c r="G13" s="18">
        <v>31.5</v>
      </c>
      <c r="H13" s="18">
        <v>15</v>
      </c>
      <c r="I13" s="18">
        <v>132</v>
      </c>
      <c r="J13" s="18">
        <v>122</v>
      </c>
      <c r="K13" s="18">
        <v>126</v>
      </c>
      <c r="L13" s="18">
        <v>122.5</v>
      </c>
      <c r="M13" s="18">
        <v>126</v>
      </c>
      <c r="N13" s="18">
        <v>-3.5</v>
      </c>
      <c r="O13" s="18">
        <v>1072.0999999999999</v>
      </c>
      <c r="P13" s="18">
        <v>1092</v>
      </c>
      <c r="Q13" s="18">
        <v>1124</v>
      </c>
      <c r="R13" s="18">
        <v>1034</v>
      </c>
      <c r="S13" s="18">
        <v>1092</v>
      </c>
      <c r="T13" s="23">
        <v>0.94699999999999995</v>
      </c>
      <c r="U13" s="23">
        <v>0.92</v>
      </c>
      <c r="V13" s="18">
        <v>-58</v>
      </c>
      <c r="W13" s="18">
        <v>-90</v>
      </c>
    </row>
    <row r="14" spans="1:23" x14ac:dyDescent="0.35">
      <c r="A14">
        <v>10</v>
      </c>
      <c r="B14" t="s">
        <v>258</v>
      </c>
      <c r="C14" s="18">
        <v>102.8</v>
      </c>
      <c r="D14" s="18">
        <v>11.8</v>
      </c>
      <c r="E14" s="18">
        <v>6.5</v>
      </c>
      <c r="F14" s="18">
        <v>79</v>
      </c>
      <c r="G14" s="18">
        <v>31.5</v>
      </c>
      <c r="H14" s="18">
        <v>16</v>
      </c>
      <c r="I14" s="18">
        <v>132</v>
      </c>
      <c r="J14" s="18">
        <v>121.5</v>
      </c>
      <c r="K14" s="18">
        <v>126.5</v>
      </c>
      <c r="L14" s="18">
        <v>121.1</v>
      </c>
      <c r="M14" s="18">
        <v>126.5</v>
      </c>
      <c r="N14" s="18">
        <v>-5.4</v>
      </c>
      <c r="O14" s="18">
        <v>1193.2</v>
      </c>
      <c r="P14" s="18">
        <v>1218.5</v>
      </c>
      <c r="Q14" s="18">
        <v>1256</v>
      </c>
      <c r="R14" s="18">
        <v>1155.5</v>
      </c>
      <c r="S14" s="18">
        <v>1218.5</v>
      </c>
      <c r="T14" s="23">
        <v>0.94799999999999995</v>
      </c>
      <c r="U14" s="23">
        <v>0.92</v>
      </c>
      <c r="V14" s="18">
        <v>-63</v>
      </c>
      <c r="W14" s="18">
        <v>-100.5</v>
      </c>
    </row>
    <row r="15" spans="1:23" x14ac:dyDescent="0.35">
      <c r="A15">
        <v>11</v>
      </c>
      <c r="B15" t="s">
        <v>259</v>
      </c>
      <c r="C15" s="18">
        <v>102.8</v>
      </c>
      <c r="D15" s="18">
        <v>11.6</v>
      </c>
      <c r="E15" s="18">
        <v>6</v>
      </c>
      <c r="F15" s="18">
        <v>78.5</v>
      </c>
      <c r="G15" s="18">
        <v>31</v>
      </c>
      <c r="H15" s="18">
        <v>16</v>
      </c>
      <c r="I15" s="18">
        <v>131.80000000000001</v>
      </c>
      <c r="J15" s="18">
        <v>121.3</v>
      </c>
      <c r="K15" s="18">
        <v>125.5</v>
      </c>
      <c r="L15" s="18">
        <v>120.4</v>
      </c>
      <c r="M15" s="18">
        <v>125.5</v>
      </c>
      <c r="N15" s="18">
        <v>-5.0999999999999996</v>
      </c>
      <c r="O15" s="18">
        <v>1313.6</v>
      </c>
      <c r="P15" s="18">
        <v>1344</v>
      </c>
      <c r="Q15" s="18">
        <v>1387.8</v>
      </c>
      <c r="R15" s="18">
        <v>1276.8</v>
      </c>
      <c r="S15" s="18">
        <v>1344</v>
      </c>
      <c r="T15" s="23">
        <v>0.95</v>
      </c>
      <c r="U15" s="23">
        <v>0.92</v>
      </c>
      <c r="V15" s="18">
        <v>-67.2</v>
      </c>
      <c r="W15" s="18">
        <v>-111</v>
      </c>
    </row>
    <row r="16" spans="1:23" x14ac:dyDescent="0.35">
      <c r="A16">
        <v>12</v>
      </c>
      <c r="B16" t="s">
        <v>260</v>
      </c>
      <c r="C16" s="18">
        <v>102.9</v>
      </c>
      <c r="D16" s="18">
        <v>11.2</v>
      </c>
      <c r="E16" s="18">
        <v>5.3</v>
      </c>
      <c r="F16" s="18">
        <v>64</v>
      </c>
      <c r="G16" s="18">
        <v>23</v>
      </c>
      <c r="H16" s="18">
        <v>13</v>
      </c>
      <c r="I16" s="18">
        <v>120</v>
      </c>
      <c r="J16" s="18">
        <v>67.2</v>
      </c>
      <c r="K16" s="18">
        <v>100</v>
      </c>
      <c r="L16" s="18">
        <v>119.4</v>
      </c>
      <c r="M16" s="18">
        <v>100</v>
      </c>
      <c r="N16" s="18">
        <v>19.399999999999999</v>
      </c>
      <c r="O16" s="18">
        <v>1433</v>
      </c>
      <c r="P16" s="18">
        <v>1444</v>
      </c>
      <c r="Q16" s="18">
        <v>1507.8</v>
      </c>
      <c r="R16" s="18">
        <v>1344</v>
      </c>
      <c r="S16" s="18">
        <v>1444</v>
      </c>
      <c r="T16" s="23">
        <v>0.93100000000000005</v>
      </c>
      <c r="U16" s="23">
        <v>0.89100000000000001</v>
      </c>
      <c r="V16" s="18">
        <v>-100</v>
      </c>
      <c r="W16" s="18">
        <v>-163.80000000000001</v>
      </c>
    </row>
  </sheetData>
  <mergeCells count="2">
    <mergeCell ref="A1:W1"/>
    <mergeCell ref="A2:W2"/>
  </mergeCells>
  <conditionalFormatting sqref="T5:U16">
    <cfRule type="colorScale" priority="1">
      <colorScale>
        <cfvo type="min"/>
        <cfvo type="num" val="1"/>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3103-51D0-4055-A253-E4AF07B24D29}">
  <dimension ref="A1:I64"/>
  <sheetViews>
    <sheetView workbookViewId="0">
      <selection sqref="A1:N1"/>
    </sheetView>
  </sheetViews>
  <sheetFormatPr defaultRowHeight="14.5" x14ac:dyDescent="0.35"/>
  <cols>
    <col min="1" max="1" width="10" customWidth="1"/>
    <col min="2" max="2" width="23.6328125" customWidth="1"/>
    <col min="3" max="4" width="31.81640625" customWidth="1"/>
    <col min="5" max="6" width="54.54296875" customWidth="1"/>
    <col min="7" max="7" width="45.453125" customWidth="1"/>
    <col min="8" max="9" width="25.453125" customWidth="1"/>
  </cols>
  <sheetData>
    <row r="1" spans="1:9" ht="26" x14ac:dyDescent="0.6">
      <c r="A1" s="4" t="s">
        <v>320</v>
      </c>
      <c r="B1" s="2"/>
      <c r="C1" s="2"/>
      <c r="D1" s="2"/>
      <c r="E1" s="2"/>
      <c r="F1" s="2"/>
      <c r="G1" s="2"/>
      <c r="H1" s="2"/>
      <c r="I1" s="2"/>
    </row>
    <row r="2" spans="1:9" x14ac:dyDescent="0.35">
      <c r="A2" s="2" t="s">
        <v>321</v>
      </c>
      <c r="B2" s="2"/>
      <c r="C2" s="2"/>
      <c r="D2" s="2"/>
      <c r="E2" s="2"/>
      <c r="F2" s="2"/>
      <c r="G2" s="2"/>
      <c r="H2" s="2"/>
      <c r="I2" s="2"/>
    </row>
    <row r="4" spans="1:9" ht="29" x14ac:dyDescent="0.35">
      <c r="A4" s="5" t="s">
        <v>322</v>
      </c>
      <c r="B4" s="5" t="s">
        <v>323</v>
      </c>
      <c r="C4" s="5" t="s">
        <v>324</v>
      </c>
      <c r="D4" s="5" t="s">
        <v>325</v>
      </c>
      <c r="E4" s="5" t="s">
        <v>326</v>
      </c>
      <c r="F4" s="5" t="s">
        <v>327</v>
      </c>
      <c r="G4" s="5" t="s">
        <v>328</v>
      </c>
      <c r="H4" s="5" t="s">
        <v>329</v>
      </c>
      <c r="I4" s="5" t="s">
        <v>330</v>
      </c>
    </row>
    <row r="5" spans="1:9" ht="203" x14ac:dyDescent="0.35">
      <c r="A5" s="21">
        <v>1</v>
      </c>
      <c r="B5" s="21" t="s">
        <v>331</v>
      </c>
      <c r="C5" s="21" t="s">
        <v>332</v>
      </c>
      <c r="D5" s="21" t="s">
        <v>333</v>
      </c>
      <c r="E5" s="21" t="s">
        <v>334</v>
      </c>
      <c r="F5" s="21" t="s">
        <v>335</v>
      </c>
      <c r="G5" s="21" t="s">
        <v>336</v>
      </c>
      <c r="H5" s="21" t="s">
        <v>337</v>
      </c>
      <c r="I5" s="21" t="s">
        <v>338</v>
      </c>
    </row>
    <row r="6" spans="1:9" ht="232" x14ac:dyDescent="0.35">
      <c r="A6" s="21">
        <v>2</v>
      </c>
      <c r="B6" s="21" t="s">
        <v>339</v>
      </c>
      <c r="C6" s="21" t="s">
        <v>340</v>
      </c>
      <c r="D6" s="21" t="s">
        <v>333</v>
      </c>
      <c r="E6" s="21" t="s">
        <v>341</v>
      </c>
      <c r="F6" s="21" t="s">
        <v>342</v>
      </c>
      <c r="G6" s="21" t="s">
        <v>343</v>
      </c>
      <c r="H6" s="21" t="s">
        <v>344</v>
      </c>
      <c r="I6" s="21" t="s">
        <v>338</v>
      </c>
    </row>
    <row r="7" spans="1:9" ht="159.5" x14ac:dyDescent="0.35">
      <c r="A7" s="21">
        <v>3</v>
      </c>
      <c r="B7" s="21" t="s">
        <v>345</v>
      </c>
      <c r="C7" s="21" t="s">
        <v>346</v>
      </c>
      <c r="D7" s="21" t="s">
        <v>333</v>
      </c>
      <c r="E7" s="21" t="s">
        <v>347</v>
      </c>
      <c r="F7" s="21" t="s">
        <v>348</v>
      </c>
      <c r="G7" s="21" t="s">
        <v>349</v>
      </c>
      <c r="H7" s="21" t="s">
        <v>350</v>
      </c>
      <c r="I7" s="21" t="s">
        <v>351</v>
      </c>
    </row>
    <row r="8" spans="1:9" ht="217.5" x14ac:dyDescent="0.35">
      <c r="A8" s="21">
        <v>4</v>
      </c>
      <c r="B8" s="21" t="s">
        <v>352</v>
      </c>
      <c r="C8" s="21" t="s">
        <v>353</v>
      </c>
      <c r="D8" s="21" t="s">
        <v>354</v>
      </c>
      <c r="E8" s="21" t="s">
        <v>355</v>
      </c>
      <c r="F8" s="21" t="s">
        <v>356</v>
      </c>
      <c r="G8" s="21" t="s">
        <v>357</v>
      </c>
      <c r="H8" s="21" t="s">
        <v>337</v>
      </c>
      <c r="I8" s="21" t="s">
        <v>338</v>
      </c>
    </row>
    <row r="9" spans="1:9" ht="203" x14ac:dyDescent="0.35">
      <c r="A9" s="21">
        <v>5</v>
      </c>
      <c r="B9" s="21" t="s">
        <v>358</v>
      </c>
      <c r="C9" s="21" t="s">
        <v>359</v>
      </c>
      <c r="D9" s="21" t="s">
        <v>360</v>
      </c>
      <c r="E9" s="21" t="s">
        <v>361</v>
      </c>
      <c r="F9" s="21" t="s">
        <v>362</v>
      </c>
      <c r="G9" s="21" t="s">
        <v>363</v>
      </c>
      <c r="H9" s="21" t="s">
        <v>364</v>
      </c>
      <c r="I9" s="21" t="s">
        <v>338</v>
      </c>
    </row>
    <row r="10" spans="1:9" ht="174" x14ac:dyDescent="0.35">
      <c r="A10" s="21">
        <v>6</v>
      </c>
      <c r="B10" s="21" t="s">
        <v>365</v>
      </c>
      <c r="C10" s="21" t="s">
        <v>366</v>
      </c>
      <c r="D10" s="21" t="s">
        <v>367</v>
      </c>
      <c r="E10" s="21" t="s">
        <v>368</v>
      </c>
      <c r="F10" s="21" t="s">
        <v>369</v>
      </c>
      <c r="G10" s="21" t="s">
        <v>370</v>
      </c>
      <c r="H10" s="21" t="s">
        <v>371</v>
      </c>
      <c r="I10" s="21" t="s">
        <v>372</v>
      </c>
    </row>
    <row r="11" spans="1:9" ht="188.5" x14ac:dyDescent="0.35">
      <c r="A11" s="21">
        <v>7</v>
      </c>
      <c r="B11" s="21" t="s">
        <v>373</v>
      </c>
      <c r="C11" s="21" t="s">
        <v>374</v>
      </c>
      <c r="D11" s="21" t="s">
        <v>333</v>
      </c>
      <c r="E11" s="21" t="s">
        <v>375</v>
      </c>
      <c r="F11" s="21" t="s">
        <v>376</v>
      </c>
      <c r="G11" s="21" t="s">
        <v>377</v>
      </c>
      <c r="H11" s="21" t="s">
        <v>378</v>
      </c>
      <c r="I11" s="21" t="s">
        <v>379</v>
      </c>
    </row>
    <row r="12" spans="1:9" ht="174" x14ac:dyDescent="0.35">
      <c r="A12" s="21">
        <v>8</v>
      </c>
      <c r="B12" s="21" t="s">
        <v>380</v>
      </c>
      <c r="C12" s="21" t="s">
        <v>381</v>
      </c>
      <c r="D12" s="21" t="s">
        <v>333</v>
      </c>
      <c r="E12" s="21" t="s">
        <v>382</v>
      </c>
      <c r="F12" s="21" t="s">
        <v>383</v>
      </c>
      <c r="G12" s="21" t="s">
        <v>384</v>
      </c>
      <c r="H12" s="21" t="s">
        <v>337</v>
      </c>
      <c r="I12" s="21" t="s">
        <v>351</v>
      </c>
    </row>
    <row r="13" spans="1:9" ht="188.5" x14ac:dyDescent="0.35">
      <c r="A13" s="21">
        <v>9</v>
      </c>
      <c r="B13" s="21" t="s">
        <v>141</v>
      </c>
      <c r="C13" s="21" t="s">
        <v>385</v>
      </c>
      <c r="D13" s="21" t="s">
        <v>333</v>
      </c>
      <c r="E13" s="21" t="s">
        <v>386</v>
      </c>
      <c r="F13" s="21" t="s">
        <v>387</v>
      </c>
      <c r="G13" s="21" t="s">
        <v>388</v>
      </c>
      <c r="H13" s="21" t="s">
        <v>389</v>
      </c>
      <c r="I13" s="21" t="s">
        <v>390</v>
      </c>
    </row>
    <row r="14" spans="1:9" ht="203" x14ac:dyDescent="0.35">
      <c r="A14" s="21">
        <v>10</v>
      </c>
      <c r="B14" s="21" t="s">
        <v>391</v>
      </c>
      <c r="C14" s="21" t="s">
        <v>392</v>
      </c>
      <c r="D14" s="21" t="s">
        <v>333</v>
      </c>
      <c r="E14" s="21" t="s">
        <v>393</v>
      </c>
      <c r="F14" s="21" t="s">
        <v>394</v>
      </c>
      <c r="G14" s="21" t="s">
        <v>395</v>
      </c>
      <c r="H14" s="21" t="s">
        <v>389</v>
      </c>
      <c r="I14" s="21" t="s">
        <v>390</v>
      </c>
    </row>
    <row r="15" spans="1:9" ht="188.5" x14ac:dyDescent="0.35">
      <c r="A15" s="21">
        <v>11</v>
      </c>
      <c r="B15" s="21" t="s">
        <v>396</v>
      </c>
      <c r="C15" s="21" t="s">
        <v>397</v>
      </c>
      <c r="D15" s="21" t="s">
        <v>333</v>
      </c>
      <c r="E15" s="21" t="s">
        <v>398</v>
      </c>
      <c r="F15" s="21" t="s">
        <v>399</v>
      </c>
      <c r="G15" s="21" t="s">
        <v>400</v>
      </c>
      <c r="H15" s="21" t="s">
        <v>378</v>
      </c>
      <c r="I15" s="21" t="s">
        <v>379</v>
      </c>
    </row>
    <row r="16" spans="1:9" ht="145" x14ac:dyDescent="0.35">
      <c r="A16" s="21">
        <v>12</v>
      </c>
      <c r="B16" s="21" t="s">
        <v>401</v>
      </c>
      <c r="C16" s="21" t="s">
        <v>402</v>
      </c>
      <c r="D16" s="21" t="s">
        <v>333</v>
      </c>
      <c r="E16" s="21" t="s">
        <v>403</v>
      </c>
      <c r="F16" s="21" t="s">
        <v>404</v>
      </c>
      <c r="G16" s="21" t="s">
        <v>405</v>
      </c>
      <c r="H16" s="21" t="s">
        <v>337</v>
      </c>
      <c r="I16" s="21" t="s">
        <v>351</v>
      </c>
    </row>
    <row r="17" spans="1:9" ht="203" x14ac:dyDescent="0.35">
      <c r="A17" s="21">
        <v>13</v>
      </c>
      <c r="B17" s="21" t="s">
        <v>406</v>
      </c>
      <c r="C17" s="21" t="s">
        <v>407</v>
      </c>
      <c r="D17" s="21" t="s">
        <v>408</v>
      </c>
      <c r="E17" s="21" t="s">
        <v>409</v>
      </c>
      <c r="F17" s="21" t="s">
        <v>410</v>
      </c>
      <c r="G17" s="21" t="s">
        <v>411</v>
      </c>
      <c r="H17" s="21" t="s">
        <v>344</v>
      </c>
      <c r="I17" s="21" t="s">
        <v>338</v>
      </c>
    </row>
    <row r="18" spans="1:9" ht="246.5" x14ac:dyDescent="0.35">
      <c r="A18" s="21">
        <v>14</v>
      </c>
      <c r="B18" s="21" t="s">
        <v>412</v>
      </c>
      <c r="C18" s="21" t="s">
        <v>413</v>
      </c>
      <c r="D18" s="21" t="s">
        <v>360</v>
      </c>
      <c r="E18" s="21" t="s">
        <v>414</v>
      </c>
      <c r="F18" s="21" t="s">
        <v>415</v>
      </c>
      <c r="G18" s="21" t="s">
        <v>416</v>
      </c>
      <c r="H18" s="21" t="s">
        <v>337</v>
      </c>
      <c r="I18" s="21" t="s">
        <v>417</v>
      </c>
    </row>
    <row r="19" spans="1:9" ht="188.5" x14ac:dyDescent="0.35">
      <c r="A19" s="21">
        <v>15</v>
      </c>
      <c r="B19" s="21" t="s">
        <v>418</v>
      </c>
      <c r="C19" s="21" t="s">
        <v>419</v>
      </c>
      <c r="D19" s="21" t="s">
        <v>408</v>
      </c>
      <c r="E19" s="21" t="s">
        <v>420</v>
      </c>
      <c r="F19" s="21" t="s">
        <v>421</v>
      </c>
      <c r="G19" s="21" t="s">
        <v>422</v>
      </c>
      <c r="H19" s="21" t="s">
        <v>423</v>
      </c>
      <c r="I19" s="21" t="s">
        <v>424</v>
      </c>
    </row>
    <row r="20" spans="1:9" ht="174" x14ac:dyDescent="0.35">
      <c r="A20" s="21">
        <v>16</v>
      </c>
      <c r="B20" s="21" t="s">
        <v>425</v>
      </c>
      <c r="C20" s="21" t="s">
        <v>426</v>
      </c>
      <c r="D20" s="21" t="s">
        <v>408</v>
      </c>
      <c r="E20" s="21" t="s">
        <v>427</v>
      </c>
      <c r="F20" s="21" t="s">
        <v>428</v>
      </c>
      <c r="G20" s="21" t="s">
        <v>429</v>
      </c>
      <c r="H20" s="21" t="s">
        <v>425</v>
      </c>
      <c r="I20" s="21" t="s">
        <v>430</v>
      </c>
    </row>
    <row r="21" spans="1:9" ht="174" x14ac:dyDescent="0.35">
      <c r="A21" s="21">
        <v>17</v>
      </c>
      <c r="B21" s="21" t="s">
        <v>431</v>
      </c>
      <c r="C21" s="21" t="s">
        <v>432</v>
      </c>
      <c r="D21" s="21" t="s">
        <v>333</v>
      </c>
      <c r="E21" s="21" t="s">
        <v>433</v>
      </c>
      <c r="F21" s="21" t="s">
        <v>434</v>
      </c>
      <c r="G21" s="21" t="s">
        <v>435</v>
      </c>
      <c r="H21" s="21" t="s">
        <v>344</v>
      </c>
      <c r="I21" s="21" t="s">
        <v>338</v>
      </c>
    </row>
    <row r="22" spans="1:9" ht="159.5" x14ac:dyDescent="0.35">
      <c r="A22" s="21">
        <v>18</v>
      </c>
      <c r="B22" s="21" t="s">
        <v>267</v>
      </c>
      <c r="C22" s="21" t="s">
        <v>436</v>
      </c>
      <c r="D22" s="21" t="s">
        <v>408</v>
      </c>
      <c r="E22" s="21" t="s">
        <v>437</v>
      </c>
      <c r="F22" s="21" t="s">
        <v>438</v>
      </c>
      <c r="G22" s="21" t="s">
        <v>439</v>
      </c>
      <c r="H22" s="21" t="s">
        <v>344</v>
      </c>
      <c r="I22" s="21" t="s">
        <v>338</v>
      </c>
    </row>
    <row r="23" spans="1:9" ht="159.5" x14ac:dyDescent="0.35">
      <c r="A23" s="21">
        <v>19</v>
      </c>
      <c r="B23" s="21" t="s">
        <v>277</v>
      </c>
      <c r="C23" s="21" t="s">
        <v>440</v>
      </c>
      <c r="D23" s="21" t="s">
        <v>408</v>
      </c>
      <c r="E23" s="21" t="s">
        <v>441</v>
      </c>
      <c r="F23" s="21" t="s">
        <v>442</v>
      </c>
      <c r="G23" s="21" t="s">
        <v>443</v>
      </c>
      <c r="H23" s="21" t="s">
        <v>337</v>
      </c>
      <c r="I23" s="21" t="s">
        <v>444</v>
      </c>
    </row>
    <row r="24" spans="1:9" ht="174" x14ac:dyDescent="0.35">
      <c r="A24" s="21">
        <v>20</v>
      </c>
      <c r="B24" s="21" t="s">
        <v>445</v>
      </c>
      <c r="C24" s="21" t="s">
        <v>446</v>
      </c>
      <c r="D24" s="21" t="s">
        <v>408</v>
      </c>
      <c r="E24" s="21" t="s">
        <v>447</v>
      </c>
      <c r="F24" s="21" t="s">
        <v>448</v>
      </c>
      <c r="G24" s="21" t="s">
        <v>449</v>
      </c>
      <c r="H24" s="21" t="s">
        <v>337</v>
      </c>
      <c r="I24" s="21" t="s">
        <v>351</v>
      </c>
    </row>
    <row r="25" spans="1:9" ht="159.5" x14ac:dyDescent="0.35">
      <c r="A25" s="21">
        <v>21</v>
      </c>
      <c r="B25" s="21" t="s">
        <v>450</v>
      </c>
      <c r="C25" s="21" t="s">
        <v>451</v>
      </c>
      <c r="D25" s="21" t="s">
        <v>408</v>
      </c>
      <c r="E25" s="21" t="s">
        <v>452</v>
      </c>
      <c r="F25" s="21" t="s">
        <v>453</v>
      </c>
      <c r="G25" s="21" t="s">
        <v>454</v>
      </c>
      <c r="H25" s="21" t="s">
        <v>337</v>
      </c>
      <c r="I25" s="21" t="s">
        <v>455</v>
      </c>
    </row>
    <row r="26" spans="1:9" ht="217.5" x14ac:dyDescent="0.35">
      <c r="A26" s="21">
        <v>22</v>
      </c>
      <c r="B26" s="21" t="s">
        <v>456</v>
      </c>
      <c r="C26" s="21" t="s">
        <v>457</v>
      </c>
      <c r="D26" s="21" t="s">
        <v>367</v>
      </c>
      <c r="E26" s="21" t="s">
        <v>458</v>
      </c>
      <c r="F26" s="21" t="s">
        <v>459</v>
      </c>
      <c r="G26" s="21" t="s">
        <v>460</v>
      </c>
      <c r="H26" s="21" t="s">
        <v>337</v>
      </c>
      <c r="I26" s="21" t="s">
        <v>351</v>
      </c>
    </row>
    <row r="27" spans="1:9" ht="145" x14ac:dyDescent="0.35">
      <c r="A27" s="21">
        <v>23</v>
      </c>
      <c r="B27" s="21" t="s">
        <v>461</v>
      </c>
      <c r="C27" s="21" t="s">
        <v>462</v>
      </c>
      <c r="D27" s="21" t="s">
        <v>367</v>
      </c>
      <c r="E27" s="21" t="s">
        <v>463</v>
      </c>
      <c r="F27" s="21" t="s">
        <v>464</v>
      </c>
      <c r="G27" s="21" t="s">
        <v>465</v>
      </c>
      <c r="H27" s="21" t="s">
        <v>466</v>
      </c>
      <c r="I27" s="21" t="s">
        <v>372</v>
      </c>
    </row>
    <row r="28" spans="1:9" ht="188.5" x14ac:dyDescent="0.35">
      <c r="A28" s="21">
        <v>24</v>
      </c>
      <c r="B28" s="21" t="s">
        <v>467</v>
      </c>
      <c r="C28" s="21" t="s">
        <v>468</v>
      </c>
      <c r="D28" s="21" t="s">
        <v>333</v>
      </c>
      <c r="E28" s="21" t="s">
        <v>469</v>
      </c>
      <c r="F28" s="21" t="s">
        <v>470</v>
      </c>
      <c r="G28" s="21" t="s">
        <v>471</v>
      </c>
      <c r="H28" s="21" t="s">
        <v>187</v>
      </c>
      <c r="I28" s="21" t="s">
        <v>390</v>
      </c>
    </row>
    <row r="29" spans="1:9" ht="188.5" x14ac:dyDescent="0.35">
      <c r="A29" s="21">
        <v>25</v>
      </c>
      <c r="B29" s="21" t="s">
        <v>472</v>
      </c>
      <c r="C29" s="21" t="s">
        <v>473</v>
      </c>
      <c r="D29" s="21" t="s">
        <v>367</v>
      </c>
      <c r="E29" s="21" t="s">
        <v>474</v>
      </c>
      <c r="F29" s="21" t="s">
        <v>475</v>
      </c>
      <c r="G29" s="21" t="s">
        <v>476</v>
      </c>
      <c r="H29" s="21" t="s">
        <v>466</v>
      </c>
      <c r="I29" s="21" t="s">
        <v>372</v>
      </c>
    </row>
    <row r="30" spans="1:9" ht="217.5" x14ac:dyDescent="0.35">
      <c r="A30" s="21">
        <v>26</v>
      </c>
      <c r="B30" s="21" t="s">
        <v>477</v>
      </c>
      <c r="C30" s="21" t="s">
        <v>478</v>
      </c>
      <c r="D30" s="21" t="s">
        <v>360</v>
      </c>
      <c r="E30" s="21" t="s">
        <v>479</v>
      </c>
      <c r="F30" s="21" t="s">
        <v>480</v>
      </c>
      <c r="G30" s="21" t="s">
        <v>481</v>
      </c>
      <c r="H30" s="21" t="s">
        <v>466</v>
      </c>
      <c r="I30" s="21" t="s">
        <v>372</v>
      </c>
    </row>
    <row r="31" spans="1:9" ht="174" x14ac:dyDescent="0.35">
      <c r="A31" s="21">
        <v>27</v>
      </c>
      <c r="B31" s="21" t="s">
        <v>287</v>
      </c>
      <c r="C31" s="21" t="s">
        <v>482</v>
      </c>
      <c r="D31" s="21" t="s">
        <v>483</v>
      </c>
      <c r="E31" s="21" t="s">
        <v>484</v>
      </c>
      <c r="F31" s="21" t="s">
        <v>485</v>
      </c>
      <c r="G31" s="21" t="s">
        <v>486</v>
      </c>
      <c r="H31" s="21" t="s">
        <v>487</v>
      </c>
      <c r="I31" s="21" t="s">
        <v>488</v>
      </c>
    </row>
    <row r="32" spans="1:9" ht="159.5" x14ac:dyDescent="0.35">
      <c r="A32" s="21">
        <v>28</v>
      </c>
      <c r="B32" s="21" t="s">
        <v>289</v>
      </c>
      <c r="C32" s="21" t="s">
        <v>489</v>
      </c>
      <c r="D32" s="21" t="s">
        <v>333</v>
      </c>
      <c r="E32" s="21" t="s">
        <v>490</v>
      </c>
      <c r="F32" s="21" t="s">
        <v>491</v>
      </c>
      <c r="G32" s="21" t="s">
        <v>492</v>
      </c>
      <c r="H32" s="21" t="s">
        <v>344</v>
      </c>
      <c r="I32" s="21" t="s">
        <v>338</v>
      </c>
    </row>
    <row r="33" spans="1:9" ht="145" x14ac:dyDescent="0.35">
      <c r="A33" s="21">
        <v>29</v>
      </c>
      <c r="B33" s="21" t="s">
        <v>293</v>
      </c>
      <c r="C33" s="21" t="s">
        <v>493</v>
      </c>
      <c r="D33" s="21" t="s">
        <v>354</v>
      </c>
      <c r="E33" s="21" t="s">
        <v>494</v>
      </c>
      <c r="F33" s="21" t="s">
        <v>495</v>
      </c>
      <c r="G33" s="21" t="s">
        <v>496</v>
      </c>
      <c r="H33" s="21" t="s">
        <v>497</v>
      </c>
      <c r="I33" s="21" t="s">
        <v>351</v>
      </c>
    </row>
    <row r="34" spans="1:9" ht="174" x14ac:dyDescent="0.35">
      <c r="A34" s="21">
        <v>30</v>
      </c>
      <c r="B34" s="21" t="s">
        <v>291</v>
      </c>
      <c r="C34" s="21" t="s">
        <v>498</v>
      </c>
      <c r="D34" s="21" t="s">
        <v>499</v>
      </c>
      <c r="E34" s="21" t="s">
        <v>500</v>
      </c>
      <c r="F34" s="21" t="s">
        <v>501</v>
      </c>
      <c r="G34" s="21" t="s">
        <v>502</v>
      </c>
      <c r="H34" s="21" t="s">
        <v>503</v>
      </c>
      <c r="I34" s="21" t="s">
        <v>504</v>
      </c>
    </row>
    <row r="35" spans="1:9" ht="174" x14ac:dyDescent="0.35">
      <c r="A35" s="21">
        <v>31</v>
      </c>
      <c r="B35" s="21" t="s">
        <v>295</v>
      </c>
      <c r="C35" s="21" t="s">
        <v>505</v>
      </c>
      <c r="D35" s="21" t="s">
        <v>333</v>
      </c>
      <c r="E35" s="21" t="s">
        <v>506</v>
      </c>
      <c r="F35" s="21" t="s">
        <v>507</v>
      </c>
      <c r="G35" s="21" t="s">
        <v>508</v>
      </c>
      <c r="H35" s="21" t="s">
        <v>344</v>
      </c>
      <c r="I35" s="21" t="s">
        <v>509</v>
      </c>
    </row>
    <row r="36" spans="1:9" ht="203" x14ac:dyDescent="0.35">
      <c r="A36" s="21">
        <v>32</v>
      </c>
      <c r="B36" s="21" t="s">
        <v>299</v>
      </c>
      <c r="C36" s="21" t="s">
        <v>510</v>
      </c>
      <c r="D36" s="21" t="s">
        <v>511</v>
      </c>
      <c r="E36" s="21" t="s">
        <v>512</v>
      </c>
      <c r="F36" s="21" t="s">
        <v>513</v>
      </c>
      <c r="G36" s="21" t="s">
        <v>514</v>
      </c>
      <c r="H36" s="21" t="s">
        <v>515</v>
      </c>
      <c r="I36" s="21" t="s">
        <v>516</v>
      </c>
    </row>
    <row r="37" spans="1:9" ht="203" x14ac:dyDescent="0.35">
      <c r="A37" s="21">
        <v>33</v>
      </c>
      <c r="B37" s="21" t="s">
        <v>517</v>
      </c>
      <c r="C37" s="21" t="s">
        <v>518</v>
      </c>
      <c r="D37" s="21" t="s">
        <v>499</v>
      </c>
      <c r="E37" s="21" t="s">
        <v>519</v>
      </c>
      <c r="F37" s="21" t="s">
        <v>520</v>
      </c>
      <c r="G37" s="21" t="s">
        <v>521</v>
      </c>
      <c r="H37" s="21" t="s">
        <v>522</v>
      </c>
      <c r="I37" s="21" t="s">
        <v>430</v>
      </c>
    </row>
    <row r="38" spans="1:9" ht="203" x14ac:dyDescent="0.35">
      <c r="A38" s="21">
        <v>34</v>
      </c>
      <c r="B38" s="21" t="s">
        <v>523</v>
      </c>
      <c r="C38" s="21" t="s">
        <v>524</v>
      </c>
      <c r="D38" s="21" t="s">
        <v>354</v>
      </c>
      <c r="E38" s="21" t="s">
        <v>525</v>
      </c>
      <c r="F38" s="21" t="s">
        <v>526</v>
      </c>
      <c r="G38" s="21" t="s">
        <v>527</v>
      </c>
      <c r="H38" s="21" t="s">
        <v>497</v>
      </c>
      <c r="I38" s="21" t="s">
        <v>351</v>
      </c>
    </row>
    <row r="39" spans="1:9" ht="203" x14ac:dyDescent="0.35">
      <c r="A39" s="21">
        <v>35</v>
      </c>
      <c r="B39" s="21" t="s">
        <v>528</v>
      </c>
      <c r="C39" s="21" t="s">
        <v>529</v>
      </c>
      <c r="D39" s="21" t="s">
        <v>354</v>
      </c>
      <c r="E39" s="21" t="s">
        <v>530</v>
      </c>
      <c r="F39" s="21" t="s">
        <v>531</v>
      </c>
      <c r="G39" s="21" t="s">
        <v>532</v>
      </c>
      <c r="H39" s="21" t="s">
        <v>337</v>
      </c>
      <c r="I39" s="21" t="s">
        <v>351</v>
      </c>
    </row>
    <row r="40" spans="1:9" ht="203" x14ac:dyDescent="0.35">
      <c r="A40" s="21">
        <v>36</v>
      </c>
      <c r="B40" s="21" t="s">
        <v>533</v>
      </c>
      <c r="C40" s="21" t="s">
        <v>534</v>
      </c>
      <c r="D40" s="21" t="s">
        <v>360</v>
      </c>
      <c r="E40" s="21" t="s">
        <v>535</v>
      </c>
      <c r="F40" s="21" t="s">
        <v>536</v>
      </c>
      <c r="G40" s="21" t="s">
        <v>537</v>
      </c>
      <c r="H40" s="21" t="s">
        <v>378</v>
      </c>
      <c r="I40" s="21" t="s">
        <v>351</v>
      </c>
    </row>
    <row r="41" spans="1:9" ht="203" x14ac:dyDescent="0.35">
      <c r="A41" s="21">
        <v>37</v>
      </c>
      <c r="B41" s="21" t="s">
        <v>538</v>
      </c>
      <c r="C41" s="21" t="s">
        <v>539</v>
      </c>
      <c r="D41" s="21" t="s">
        <v>499</v>
      </c>
      <c r="E41" s="21" t="s">
        <v>540</v>
      </c>
      <c r="F41" s="21" t="s">
        <v>541</v>
      </c>
      <c r="G41" s="21" t="s">
        <v>542</v>
      </c>
      <c r="H41" s="21" t="s">
        <v>543</v>
      </c>
      <c r="I41" s="21" t="s">
        <v>504</v>
      </c>
    </row>
    <row r="42" spans="1:9" ht="188.5" x14ac:dyDescent="0.35">
      <c r="A42" s="21">
        <v>38</v>
      </c>
      <c r="B42" s="21" t="s">
        <v>544</v>
      </c>
      <c r="C42" s="21" t="s">
        <v>545</v>
      </c>
      <c r="D42" s="21" t="s">
        <v>408</v>
      </c>
      <c r="E42" s="21" t="s">
        <v>546</v>
      </c>
      <c r="F42" s="21" t="s">
        <v>547</v>
      </c>
      <c r="G42" s="21" t="s">
        <v>548</v>
      </c>
      <c r="H42" s="21" t="s">
        <v>544</v>
      </c>
      <c r="I42" s="21" t="s">
        <v>444</v>
      </c>
    </row>
    <row r="43" spans="1:9" ht="174" x14ac:dyDescent="0.35">
      <c r="A43" s="21">
        <v>39</v>
      </c>
      <c r="B43" s="21" t="s">
        <v>549</v>
      </c>
      <c r="C43" s="21" t="s">
        <v>550</v>
      </c>
      <c r="D43" s="21" t="s">
        <v>333</v>
      </c>
      <c r="E43" s="21" t="s">
        <v>551</v>
      </c>
      <c r="F43" s="21" t="s">
        <v>552</v>
      </c>
      <c r="G43" s="21" t="s">
        <v>553</v>
      </c>
      <c r="H43" s="21" t="s">
        <v>378</v>
      </c>
      <c r="I43" s="21" t="s">
        <v>379</v>
      </c>
    </row>
    <row r="44" spans="1:9" ht="217.5" x14ac:dyDescent="0.35">
      <c r="A44" s="21">
        <v>40</v>
      </c>
      <c r="B44" s="21" t="s">
        <v>554</v>
      </c>
      <c r="C44" s="21" t="s">
        <v>555</v>
      </c>
      <c r="D44" s="21" t="s">
        <v>511</v>
      </c>
      <c r="E44" s="21" t="s">
        <v>556</v>
      </c>
      <c r="F44" s="21" t="s">
        <v>557</v>
      </c>
      <c r="G44" s="21" t="s">
        <v>558</v>
      </c>
      <c r="H44" s="21" t="s">
        <v>559</v>
      </c>
      <c r="I44" s="21" t="s">
        <v>516</v>
      </c>
    </row>
    <row r="45" spans="1:9" ht="188.5" x14ac:dyDescent="0.35">
      <c r="A45" s="21">
        <v>41</v>
      </c>
      <c r="B45" s="21" t="s">
        <v>560</v>
      </c>
      <c r="C45" s="21" t="s">
        <v>561</v>
      </c>
      <c r="D45" s="21" t="s">
        <v>354</v>
      </c>
      <c r="E45" s="21" t="s">
        <v>562</v>
      </c>
      <c r="F45" s="21" t="s">
        <v>563</v>
      </c>
      <c r="G45" s="21" t="s">
        <v>564</v>
      </c>
      <c r="H45" s="21" t="s">
        <v>337</v>
      </c>
      <c r="I45" s="21" t="s">
        <v>351</v>
      </c>
    </row>
    <row r="46" spans="1:9" ht="159.5" x14ac:dyDescent="0.35">
      <c r="A46" s="21">
        <v>42</v>
      </c>
      <c r="B46" s="21" t="s">
        <v>565</v>
      </c>
      <c r="C46" s="21" t="s">
        <v>566</v>
      </c>
      <c r="D46" s="21" t="s">
        <v>499</v>
      </c>
      <c r="E46" s="21" t="s">
        <v>567</v>
      </c>
      <c r="F46" s="21" t="s">
        <v>568</v>
      </c>
      <c r="G46" s="21" t="s">
        <v>569</v>
      </c>
      <c r="H46" s="21" t="s">
        <v>570</v>
      </c>
      <c r="I46" s="21" t="s">
        <v>430</v>
      </c>
    </row>
    <row r="47" spans="1:9" ht="159.5" x14ac:dyDescent="0.35">
      <c r="A47" s="21">
        <v>43</v>
      </c>
      <c r="B47" s="21" t="s">
        <v>142</v>
      </c>
      <c r="C47" s="21" t="s">
        <v>571</v>
      </c>
      <c r="D47" s="21" t="s">
        <v>333</v>
      </c>
      <c r="E47" s="21" t="s">
        <v>572</v>
      </c>
      <c r="F47" s="21" t="s">
        <v>573</v>
      </c>
      <c r="G47" s="21" t="s">
        <v>574</v>
      </c>
      <c r="H47" s="21" t="s">
        <v>389</v>
      </c>
      <c r="I47" s="21" t="s">
        <v>390</v>
      </c>
    </row>
    <row r="48" spans="1:9" ht="188.5" x14ac:dyDescent="0.35">
      <c r="A48" s="21">
        <v>44</v>
      </c>
      <c r="B48" s="21" t="s">
        <v>158</v>
      </c>
      <c r="C48" s="21" t="s">
        <v>575</v>
      </c>
      <c r="D48" s="21" t="s">
        <v>333</v>
      </c>
      <c r="E48" s="21" t="s">
        <v>576</v>
      </c>
      <c r="F48" s="21" t="s">
        <v>577</v>
      </c>
      <c r="G48" s="21" t="s">
        <v>578</v>
      </c>
      <c r="H48" s="21" t="s">
        <v>389</v>
      </c>
      <c r="I48" s="21" t="s">
        <v>390</v>
      </c>
    </row>
    <row r="49" spans="1:9" ht="188.5" x14ac:dyDescent="0.35">
      <c r="A49" s="21">
        <v>45</v>
      </c>
      <c r="B49" s="21" t="s">
        <v>579</v>
      </c>
      <c r="C49" s="21" t="s">
        <v>580</v>
      </c>
      <c r="D49" s="21" t="s">
        <v>408</v>
      </c>
      <c r="E49" s="21" t="s">
        <v>581</v>
      </c>
      <c r="F49" s="21" t="s">
        <v>582</v>
      </c>
      <c r="G49" s="21" t="s">
        <v>583</v>
      </c>
      <c r="H49" s="21" t="s">
        <v>584</v>
      </c>
      <c r="I49" s="21" t="s">
        <v>585</v>
      </c>
    </row>
    <row r="50" spans="1:9" ht="159.5" x14ac:dyDescent="0.35">
      <c r="A50" s="21">
        <v>46</v>
      </c>
      <c r="B50" s="21" t="s">
        <v>586</v>
      </c>
      <c r="C50" s="21" t="s">
        <v>587</v>
      </c>
      <c r="D50" s="21" t="s">
        <v>408</v>
      </c>
      <c r="E50" s="21" t="s">
        <v>588</v>
      </c>
      <c r="F50" s="21" t="s">
        <v>589</v>
      </c>
      <c r="G50" s="21" t="s">
        <v>590</v>
      </c>
      <c r="H50" s="21" t="s">
        <v>584</v>
      </c>
      <c r="I50" s="21" t="s">
        <v>591</v>
      </c>
    </row>
    <row r="51" spans="1:9" ht="174" x14ac:dyDescent="0.35">
      <c r="A51" s="21">
        <v>47</v>
      </c>
      <c r="B51" s="21" t="s">
        <v>592</v>
      </c>
      <c r="C51" s="21" t="s">
        <v>593</v>
      </c>
      <c r="D51" s="21" t="s">
        <v>360</v>
      </c>
      <c r="E51" s="21" t="s">
        <v>594</v>
      </c>
      <c r="F51" s="21" t="s">
        <v>595</v>
      </c>
      <c r="G51" s="21" t="s">
        <v>596</v>
      </c>
      <c r="H51" s="21" t="s">
        <v>337</v>
      </c>
      <c r="I51" s="21" t="s">
        <v>417</v>
      </c>
    </row>
    <row r="52" spans="1:9" ht="159.5" x14ac:dyDescent="0.35">
      <c r="A52" s="21">
        <v>48</v>
      </c>
      <c r="B52" s="21" t="s">
        <v>597</v>
      </c>
      <c r="C52" s="21" t="s">
        <v>598</v>
      </c>
      <c r="D52" s="21" t="s">
        <v>483</v>
      </c>
      <c r="E52" s="21" t="s">
        <v>599</v>
      </c>
      <c r="F52" s="21" t="s">
        <v>600</v>
      </c>
      <c r="G52" s="21" t="s">
        <v>601</v>
      </c>
      <c r="H52" s="21" t="s">
        <v>350</v>
      </c>
      <c r="I52" s="21" t="s">
        <v>488</v>
      </c>
    </row>
    <row r="53" spans="1:9" ht="188.5" x14ac:dyDescent="0.35">
      <c r="A53" s="21">
        <v>49</v>
      </c>
      <c r="B53" s="21" t="s">
        <v>602</v>
      </c>
      <c r="C53" s="21" t="s">
        <v>603</v>
      </c>
      <c r="D53" s="21" t="s">
        <v>483</v>
      </c>
      <c r="E53" s="21" t="s">
        <v>604</v>
      </c>
      <c r="F53" s="21" t="s">
        <v>605</v>
      </c>
      <c r="G53" s="21" t="s">
        <v>606</v>
      </c>
      <c r="H53" s="21" t="s">
        <v>378</v>
      </c>
      <c r="I53" s="21" t="s">
        <v>351</v>
      </c>
    </row>
    <row r="54" spans="1:9" ht="159.5" x14ac:dyDescent="0.35">
      <c r="A54" s="21">
        <v>50</v>
      </c>
      <c r="B54" s="21" t="s">
        <v>96</v>
      </c>
      <c r="C54" s="21" t="s">
        <v>607</v>
      </c>
      <c r="D54" s="21" t="s">
        <v>511</v>
      </c>
      <c r="E54" s="21" t="s">
        <v>608</v>
      </c>
      <c r="F54" s="21" t="s">
        <v>609</v>
      </c>
      <c r="G54" s="21" t="s">
        <v>610</v>
      </c>
      <c r="H54" s="21" t="s">
        <v>611</v>
      </c>
      <c r="I54" s="21" t="s">
        <v>516</v>
      </c>
    </row>
    <row r="55" spans="1:9" ht="203" x14ac:dyDescent="0.35">
      <c r="A55" s="21">
        <v>51</v>
      </c>
      <c r="B55" s="21" t="s">
        <v>612</v>
      </c>
      <c r="C55" s="21" t="s">
        <v>613</v>
      </c>
      <c r="D55" s="21" t="s">
        <v>333</v>
      </c>
      <c r="E55" s="21" t="s">
        <v>614</v>
      </c>
      <c r="F55" s="21" t="s">
        <v>615</v>
      </c>
      <c r="G55" s="21" t="s">
        <v>435</v>
      </c>
      <c r="H55" s="21" t="s">
        <v>344</v>
      </c>
      <c r="I55" s="21" t="s">
        <v>338</v>
      </c>
    </row>
    <row r="56" spans="1:9" ht="159.5" x14ac:dyDescent="0.35">
      <c r="A56" s="21">
        <v>52</v>
      </c>
      <c r="B56" s="21" t="s">
        <v>616</v>
      </c>
      <c r="C56" s="21" t="s">
        <v>617</v>
      </c>
      <c r="D56" s="21" t="s">
        <v>511</v>
      </c>
      <c r="E56" s="21" t="s">
        <v>618</v>
      </c>
      <c r="F56" s="21" t="s">
        <v>619</v>
      </c>
      <c r="G56" s="21" t="s">
        <v>620</v>
      </c>
      <c r="H56" s="21" t="s">
        <v>515</v>
      </c>
      <c r="I56" s="21" t="s">
        <v>516</v>
      </c>
    </row>
    <row r="57" spans="1:9" ht="159.5" x14ac:dyDescent="0.35">
      <c r="A57" s="21">
        <v>53</v>
      </c>
      <c r="B57" s="21" t="s">
        <v>621</v>
      </c>
      <c r="C57" s="21" t="s">
        <v>622</v>
      </c>
      <c r="D57" s="21" t="s">
        <v>499</v>
      </c>
      <c r="E57" s="21" t="s">
        <v>623</v>
      </c>
      <c r="F57" s="21" t="s">
        <v>624</v>
      </c>
      <c r="G57" s="21" t="s">
        <v>625</v>
      </c>
      <c r="H57" s="21" t="s">
        <v>543</v>
      </c>
      <c r="I57" s="21" t="s">
        <v>504</v>
      </c>
    </row>
    <row r="58" spans="1:9" ht="203" x14ac:dyDescent="0.35">
      <c r="A58" s="21">
        <v>54</v>
      </c>
      <c r="B58" s="21" t="s">
        <v>626</v>
      </c>
      <c r="C58" s="21" t="s">
        <v>627</v>
      </c>
      <c r="D58" s="21" t="s">
        <v>333</v>
      </c>
      <c r="E58" s="21" t="s">
        <v>628</v>
      </c>
      <c r="F58" s="21" t="s">
        <v>629</v>
      </c>
      <c r="G58" s="21" t="s">
        <v>435</v>
      </c>
      <c r="H58" s="21" t="s">
        <v>389</v>
      </c>
      <c r="I58" s="21" t="s">
        <v>390</v>
      </c>
    </row>
    <row r="59" spans="1:9" ht="174" x14ac:dyDescent="0.35">
      <c r="A59" s="21">
        <v>55</v>
      </c>
      <c r="B59" s="21" t="s">
        <v>630</v>
      </c>
      <c r="C59" s="21" t="s">
        <v>631</v>
      </c>
      <c r="D59" s="21" t="s">
        <v>360</v>
      </c>
      <c r="E59" s="21" t="s">
        <v>632</v>
      </c>
      <c r="F59" s="21" t="s">
        <v>633</v>
      </c>
      <c r="G59" s="21" t="s">
        <v>634</v>
      </c>
      <c r="H59" s="21" t="s">
        <v>350</v>
      </c>
      <c r="I59" s="21" t="s">
        <v>488</v>
      </c>
    </row>
    <row r="60" spans="1:9" ht="145" x14ac:dyDescent="0.35">
      <c r="A60" s="21">
        <v>56</v>
      </c>
      <c r="B60" s="21" t="s">
        <v>635</v>
      </c>
      <c r="C60" s="21" t="s">
        <v>636</v>
      </c>
      <c r="D60" s="21" t="s">
        <v>408</v>
      </c>
      <c r="E60" s="21" t="s">
        <v>637</v>
      </c>
      <c r="F60" s="21" t="s">
        <v>638</v>
      </c>
      <c r="G60" s="21" t="s">
        <v>639</v>
      </c>
      <c r="H60" s="21" t="s">
        <v>584</v>
      </c>
      <c r="I60" s="21" t="s">
        <v>424</v>
      </c>
    </row>
    <row r="61" spans="1:9" ht="174" x14ac:dyDescent="0.35">
      <c r="A61" s="21">
        <v>57</v>
      </c>
      <c r="B61" s="21" t="s">
        <v>640</v>
      </c>
      <c r="C61" s="21" t="s">
        <v>641</v>
      </c>
      <c r="D61" s="21" t="s">
        <v>499</v>
      </c>
      <c r="E61" s="21" t="s">
        <v>642</v>
      </c>
      <c r="F61" s="21" t="s">
        <v>643</v>
      </c>
      <c r="G61" s="21" t="s">
        <v>644</v>
      </c>
      <c r="H61" s="21" t="s">
        <v>187</v>
      </c>
      <c r="I61" s="21" t="s">
        <v>444</v>
      </c>
    </row>
    <row r="62" spans="1:9" ht="188.5" x14ac:dyDescent="0.35">
      <c r="A62" s="21">
        <v>58</v>
      </c>
      <c r="B62" s="21" t="s">
        <v>645</v>
      </c>
      <c r="C62" s="21" t="s">
        <v>646</v>
      </c>
      <c r="D62" s="21" t="s">
        <v>367</v>
      </c>
      <c r="E62" s="21" t="s">
        <v>647</v>
      </c>
      <c r="F62" s="21" t="s">
        <v>648</v>
      </c>
      <c r="G62" s="21" t="s">
        <v>649</v>
      </c>
      <c r="H62" s="21" t="s">
        <v>466</v>
      </c>
      <c r="I62" s="21" t="s">
        <v>372</v>
      </c>
    </row>
    <row r="63" spans="1:9" ht="145" x14ac:dyDescent="0.35">
      <c r="A63" s="21">
        <v>59</v>
      </c>
      <c r="B63" s="21" t="s">
        <v>650</v>
      </c>
      <c r="C63" s="21" t="s">
        <v>651</v>
      </c>
      <c r="D63" s="21" t="s">
        <v>367</v>
      </c>
      <c r="E63" s="21" t="s">
        <v>652</v>
      </c>
      <c r="F63" s="21" t="s">
        <v>653</v>
      </c>
      <c r="G63" s="21" t="s">
        <v>654</v>
      </c>
      <c r="H63" s="21" t="s">
        <v>466</v>
      </c>
      <c r="I63" s="21" t="s">
        <v>372</v>
      </c>
    </row>
    <row r="64" spans="1:9" ht="188.5" x14ac:dyDescent="0.35">
      <c r="A64" s="21">
        <v>60</v>
      </c>
      <c r="B64" s="21" t="s">
        <v>655</v>
      </c>
      <c r="C64" s="21" t="s">
        <v>656</v>
      </c>
      <c r="D64" s="21" t="s">
        <v>333</v>
      </c>
      <c r="E64" s="21" t="s">
        <v>657</v>
      </c>
      <c r="F64" s="21" t="s">
        <v>658</v>
      </c>
      <c r="G64" s="21" t="s">
        <v>659</v>
      </c>
      <c r="H64" s="21" t="s">
        <v>337</v>
      </c>
      <c r="I64" s="21" t="s">
        <v>338</v>
      </c>
    </row>
  </sheetData>
  <mergeCells count="2">
    <mergeCell ref="A1:I1"/>
    <mergeCell ref="A2:I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E3021-B4B3-4D4C-9277-1E1B2C607DC1}">
  <dimension ref="A1:G42"/>
  <sheetViews>
    <sheetView workbookViewId="0">
      <selection sqref="A1:N1"/>
    </sheetView>
  </sheetViews>
  <sheetFormatPr defaultRowHeight="14.5" x14ac:dyDescent="0.35"/>
  <cols>
    <col min="1" max="1" width="26.36328125" customWidth="1"/>
    <col min="2" max="2" width="19.1796875" bestFit="1" customWidth="1"/>
    <col min="3" max="3" width="14.453125" bestFit="1" customWidth="1"/>
    <col min="4" max="4" width="76.36328125" customWidth="1"/>
    <col min="6" max="6" width="6.6328125" bestFit="1" customWidth="1"/>
    <col min="7" max="7" width="6.36328125" bestFit="1" customWidth="1"/>
  </cols>
  <sheetData>
    <row r="1" spans="1:7" ht="26" x14ac:dyDescent="0.6">
      <c r="A1" s="4" t="s">
        <v>261</v>
      </c>
      <c r="B1" s="2"/>
      <c r="C1" s="2"/>
      <c r="D1" s="2"/>
      <c r="E1" s="2"/>
      <c r="F1" s="2"/>
      <c r="G1" s="2"/>
    </row>
    <row r="2" spans="1:7" x14ac:dyDescent="0.35">
      <c r="A2" s="2" t="s">
        <v>262</v>
      </c>
      <c r="B2" s="2"/>
      <c r="C2" s="2"/>
      <c r="D2" s="2"/>
      <c r="E2" s="2"/>
      <c r="F2" s="2"/>
      <c r="G2" s="2"/>
    </row>
    <row r="4" spans="1:7" x14ac:dyDescent="0.35">
      <c r="A4" s="5" t="s">
        <v>263</v>
      </c>
      <c r="B4" s="5" t="s">
        <v>264</v>
      </c>
      <c r="C4" s="5" t="s">
        <v>265</v>
      </c>
      <c r="D4" s="5" t="s">
        <v>266</v>
      </c>
    </row>
    <row r="5" spans="1:7" ht="116" x14ac:dyDescent="0.35">
      <c r="A5" t="s">
        <v>267</v>
      </c>
      <c r="B5">
        <v>29</v>
      </c>
      <c r="C5">
        <v>8</v>
      </c>
      <c r="D5" s="21" t="s">
        <v>268</v>
      </c>
    </row>
    <row r="6" spans="1:7" ht="43.5" x14ac:dyDescent="0.35">
      <c r="A6" t="s">
        <v>269</v>
      </c>
      <c r="B6">
        <v>6</v>
      </c>
      <c r="C6">
        <v>4</v>
      </c>
      <c r="D6" s="21" t="s">
        <v>270</v>
      </c>
    </row>
    <row r="7" spans="1:7" ht="72.5" x14ac:dyDescent="0.35">
      <c r="A7" t="s">
        <v>271</v>
      </c>
      <c r="B7">
        <v>48</v>
      </c>
      <c r="C7">
        <v>7</v>
      </c>
      <c r="D7" s="21" t="s">
        <v>272</v>
      </c>
    </row>
    <row r="8" spans="1:7" ht="43.5" x14ac:dyDescent="0.35">
      <c r="A8" t="s">
        <v>273</v>
      </c>
      <c r="B8">
        <v>7</v>
      </c>
      <c r="C8">
        <v>3</v>
      </c>
      <c r="D8" s="21" t="s">
        <v>274</v>
      </c>
    </row>
    <row r="9" spans="1:7" ht="101.5" x14ac:dyDescent="0.35">
      <c r="A9" t="s">
        <v>275</v>
      </c>
      <c r="B9">
        <v>60</v>
      </c>
      <c r="C9">
        <v>9</v>
      </c>
      <c r="D9" s="21" t="s">
        <v>276</v>
      </c>
    </row>
    <row r="10" spans="1:7" ht="101.5" x14ac:dyDescent="0.35">
      <c r="A10" t="s">
        <v>277</v>
      </c>
      <c r="B10">
        <v>18</v>
      </c>
      <c r="C10">
        <v>8</v>
      </c>
      <c r="D10" s="21" t="s">
        <v>278</v>
      </c>
    </row>
    <row r="11" spans="1:7" ht="43.5" x14ac:dyDescent="0.35">
      <c r="A11" t="s">
        <v>279</v>
      </c>
      <c r="B11">
        <v>5</v>
      </c>
      <c r="C11">
        <v>3</v>
      </c>
      <c r="D11" s="21" t="s">
        <v>280</v>
      </c>
    </row>
    <row r="12" spans="1:7" ht="72.5" x14ac:dyDescent="0.35">
      <c r="A12" t="s">
        <v>281</v>
      </c>
      <c r="B12">
        <v>8</v>
      </c>
      <c r="C12">
        <v>5</v>
      </c>
      <c r="D12" s="21" t="s">
        <v>282</v>
      </c>
    </row>
    <row r="13" spans="1:7" ht="101.5" x14ac:dyDescent="0.35">
      <c r="A13" t="s">
        <v>283</v>
      </c>
      <c r="B13">
        <v>9</v>
      </c>
      <c r="C13">
        <v>8</v>
      </c>
      <c r="D13" s="21" t="s">
        <v>284</v>
      </c>
    </row>
    <row r="14" spans="1:7" ht="58" x14ac:dyDescent="0.35">
      <c r="A14" t="s">
        <v>285</v>
      </c>
      <c r="B14">
        <v>20</v>
      </c>
      <c r="C14">
        <v>6</v>
      </c>
      <c r="D14" s="21" t="s">
        <v>286</v>
      </c>
    </row>
    <row r="15" spans="1:7" ht="188.5" x14ac:dyDescent="0.35">
      <c r="A15" t="s">
        <v>287</v>
      </c>
      <c r="B15">
        <v>6</v>
      </c>
      <c r="C15">
        <v>15</v>
      </c>
      <c r="D15" s="21" t="s">
        <v>288</v>
      </c>
    </row>
    <row r="16" spans="1:7" ht="72.5" x14ac:dyDescent="0.35">
      <c r="A16" t="s">
        <v>289</v>
      </c>
      <c r="B16">
        <v>2512</v>
      </c>
      <c r="C16">
        <v>6</v>
      </c>
      <c r="D16" s="21" t="s">
        <v>290</v>
      </c>
    </row>
    <row r="17" spans="1:7" ht="87" x14ac:dyDescent="0.35">
      <c r="A17" t="s">
        <v>291</v>
      </c>
      <c r="B17">
        <v>1200</v>
      </c>
      <c r="C17">
        <v>6</v>
      </c>
      <c r="D17" s="21" t="s">
        <v>292</v>
      </c>
    </row>
    <row r="18" spans="1:7" ht="101.5" x14ac:dyDescent="0.35">
      <c r="A18" t="s">
        <v>293</v>
      </c>
      <c r="B18">
        <v>1344</v>
      </c>
      <c r="C18">
        <v>9</v>
      </c>
      <c r="D18" s="21" t="s">
        <v>294</v>
      </c>
    </row>
    <row r="19" spans="1:7" ht="72.5" x14ac:dyDescent="0.35">
      <c r="A19" t="s">
        <v>295</v>
      </c>
      <c r="B19">
        <v>721</v>
      </c>
      <c r="C19">
        <v>8</v>
      </c>
      <c r="D19" s="21" t="s">
        <v>296</v>
      </c>
    </row>
    <row r="20" spans="1:7" ht="232" x14ac:dyDescent="0.35">
      <c r="A20" t="s">
        <v>297</v>
      </c>
      <c r="B20">
        <v>6</v>
      </c>
      <c r="C20">
        <v>18</v>
      </c>
      <c r="D20" s="21" t="s">
        <v>298</v>
      </c>
    </row>
    <row r="21" spans="1:7" ht="145" x14ac:dyDescent="0.35">
      <c r="A21" t="s">
        <v>299</v>
      </c>
      <c r="B21">
        <v>72</v>
      </c>
      <c r="C21">
        <v>11</v>
      </c>
      <c r="D21" s="21" t="s">
        <v>300</v>
      </c>
    </row>
    <row r="22" spans="1:7" ht="319" x14ac:dyDescent="0.35">
      <c r="A22" t="s">
        <v>301</v>
      </c>
      <c r="B22">
        <v>12</v>
      </c>
      <c r="C22">
        <v>23</v>
      </c>
      <c r="D22" s="21" t="s">
        <v>302</v>
      </c>
    </row>
    <row r="23" spans="1:7" ht="58" x14ac:dyDescent="0.35">
      <c r="A23" t="s">
        <v>303</v>
      </c>
      <c r="B23">
        <v>16</v>
      </c>
      <c r="C23">
        <v>7</v>
      </c>
      <c r="D23" s="21" t="s">
        <v>304</v>
      </c>
    </row>
    <row r="26" spans="1:7" ht="29" x14ac:dyDescent="0.35">
      <c r="A26" s="5" t="s">
        <v>305</v>
      </c>
      <c r="B26" s="5" t="s">
        <v>306</v>
      </c>
      <c r="C26" s="5" t="s">
        <v>307</v>
      </c>
      <c r="D26" s="5" t="s">
        <v>308</v>
      </c>
      <c r="E26" s="5" t="s">
        <v>309</v>
      </c>
      <c r="F26" s="5" t="s">
        <v>310</v>
      </c>
      <c r="G26" s="5" t="s">
        <v>178</v>
      </c>
    </row>
    <row r="27" spans="1:7" x14ac:dyDescent="0.35">
      <c r="A27" t="s">
        <v>271</v>
      </c>
      <c r="B27" t="s">
        <v>311</v>
      </c>
      <c r="C27" t="s">
        <v>295</v>
      </c>
      <c r="D27" t="s">
        <v>311</v>
      </c>
      <c r="E27" t="s">
        <v>312</v>
      </c>
      <c r="F27" t="s">
        <v>313</v>
      </c>
      <c r="G27" t="s">
        <v>314</v>
      </c>
    </row>
    <row r="28" spans="1:7" x14ac:dyDescent="0.35">
      <c r="A28" t="s">
        <v>271</v>
      </c>
      <c r="B28" t="s">
        <v>311</v>
      </c>
      <c r="C28" t="s">
        <v>289</v>
      </c>
      <c r="D28" t="s">
        <v>311</v>
      </c>
      <c r="E28" t="s">
        <v>312</v>
      </c>
      <c r="F28" t="s">
        <v>313</v>
      </c>
      <c r="G28" t="s">
        <v>314</v>
      </c>
    </row>
    <row r="29" spans="1:7" x14ac:dyDescent="0.35">
      <c r="A29" t="s">
        <v>271</v>
      </c>
      <c r="B29" t="s">
        <v>311</v>
      </c>
      <c r="C29" t="s">
        <v>291</v>
      </c>
      <c r="D29" t="s">
        <v>311</v>
      </c>
      <c r="E29" t="s">
        <v>312</v>
      </c>
      <c r="F29" t="s">
        <v>313</v>
      </c>
      <c r="G29" t="s">
        <v>314</v>
      </c>
    </row>
    <row r="30" spans="1:7" x14ac:dyDescent="0.35">
      <c r="A30" t="s">
        <v>271</v>
      </c>
      <c r="B30" t="s">
        <v>311</v>
      </c>
      <c r="C30" t="s">
        <v>299</v>
      </c>
      <c r="D30" t="s">
        <v>311</v>
      </c>
      <c r="E30" t="s">
        <v>312</v>
      </c>
      <c r="F30" t="s">
        <v>313</v>
      </c>
      <c r="G30" t="s">
        <v>314</v>
      </c>
    </row>
    <row r="31" spans="1:7" x14ac:dyDescent="0.35">
      <c r="A31" t="s">
        <v>277</v>
      </c>
      <c r="B31" t="s">
        <v>169</v>
      </c>
      <c r="C31" t="s">
        <v>295</v>
      </c>
      <c r="D31" t="s">
        <v>169</v>
      </c>
      <c r="E31" t="s">
        <v>312</v>
      </c>
      <c r="F31" t="s">
        <v>313</v>
      </c>
      <c r="G31" t="s">
        <v>314</v>
      </c>
    </row>
    <row r="32" spans="1:7" x14ac:dyDescent="0.35">
      <c r="A32" t="s">
        <v>277</v>
      </c>
      <c r="B32" t="s">
        <v>169</v>
      </c>
      <c r="C32" t="s">
        <v>289</v>
      </c>
      <c r="D32" t="s">
        <v>169</v>
      </c>
      <c r="E32" t="s">
        <v>312</v>
      </c>
      <c r="F32" t="s">
        <v>313</v>
      </c>
      <c r="G32" t="s">
        <v>314</v>
      </c>
    </row>
    <row r="33" spans="1:7" x14ac:dyDescent="0.35">
      <c r="A33" t="s">
        <v>277</v>
      </c>
      <c r="B33" t="s">
        <v>169</v>
      </c>
      <c r="C33" t="s">
        <v>291</v>
      </c>
      <c r="D33" t="s">
        <v>169</v>
      </c>
      <c r="E33" t="s">
        <v>312</v>
      </c>
      <c r="F33" t="s">
        <v>313</v>
      </c>
      <c r="G33" t="s">
        <v>314</v>
      </c>
    </row>
    <row r="34" spans="1:7" x14ac:dyDescent="0.35">
      <c r="A34" t="s">
        <v>277</v>
      </c>
      <c r="B34" t="s">
        <v>169</v>
      </c>
      <c r="C34" t="s">
        <v>299</v>
      </c>
      <c r="D34" t="s">
        <v>169</v>
      </c>
      <c r="E34" t="s">
        <v>312</v>
      </c>
      <c r="F34" t="s">
        <v>313</v>
      </c>
      <c r="G34" t="s">
        <v>314</v>
      </c>
    </row>
    <row r="35" spans="1:7" x14ac:dyDescent="0.35">
      <c r="A35" t="s">
        <v>267</v>
      </c>
      <c r="B35" t="s">
        <v>170</v>
      </c>
      <c r="C35" t="s">
        <v>295</v>
      </c>
      <c r="D35" t="s">
        <v>170</v>
      </c>
      <c r="E35" t="s">
        <v>312</v>
      </c>
      <c r="F35" t="s">
        <v>313</v>
      </c>
      <c r="G35" t="s">
        <v>314</v>
      </c>
    </row>
    <row r="36" spans="1:7" x14ac:dyDescent="0.35">
      <c r="A36" t="s">
        <v>267</v>
      </c>
      <c r="B36" t="s">
        <v>170</v>
      </c>
      <c r="C36" t="s">
        <v>289</v>
      </c>
      <c r="D36" t="s">
        <v>170</v>
      </c>
      <c r="E36" t="s">
        <v>312</v>
      </c>
      <c r="F36" t="s">
        <v>313</v>
      </c>
      <c r="G36" t="s">
        <v>314</v>
      </c>
    </row>
    <row r="37" spans="1:7" x14ac:dyDescent="0.35">
      <c r="A37" t="s">
        <v>281</v>
      </c>
      <c r="B37" t="s">
        <v>121</v>
      </c>
      <c r="C37" t="s">
        <v>295</v>
      </c>
      <c r="D37" t="s">
        <v>121</v>
      </c>
      <c r="E37" t="s">
        <v>312</v>
      </c>
      <c r="F37" t="s">
        <v>313</v>
      </c>
      <c r="G37" t="s">
        <v>314</v>
      </c>
    </row>
    <row r="38" spans="1:7" x14ac:dyDescent="0.35">
      <c r="A38" t="s">
        <v>281</v>
      </c>
      <c r="B38" t="s">
        <v>121</v>
      </c>
      <c r="C38" t="s">
        <v>289</v>
      </c>
      <c r="D38" t="s">
        <v>121</v>
      </c>
      <c r="E38" t="s">
        <v>312</v>
      </c>
      <c r="F38" t="s">
        <v>313</v>
      </c>
      <c r="G38" t="s">
        <v>314</v>
      </c>
    </row>
    <row r="39" spans="1:7" x14ac:dyDescent="0.35">
      <c r="A39" t="s">
        <v>281</v>
      </c>
      <c r="B39" t="s">
        <v>121</v>
      </c>
      <c r="C39" t="s">
        <v>297</v>
      </c>
      <c r="D39" t="s">
        <v>121</v>
      </c>
      <c r="E39" s="24">
        <v>4.2361111111111113E-2</v>
      </c>
      <c r="F39" t="s">
        <v>315</v>
      </c>
      <c r="G39" t="s">
        <v>314</v>
      </c>
    </row>
    <row r="40" spans="1:7" x14ac:dyDescent="0.35">
      <c r="A40" t="s">
        <v>283</v>
      </c>
      <c r="B40" t="s">
        <v>316</v>
      </c>
      <c r="C40" t="s">
        <v>299</v>
      </c>
      <c r="D40" t="s">
        <v>316</v>
      </c>
      <c r="E40" t="s">
        <v>312</v>
      </c>
      <c r="F40" t="s">
        <v>313</v>
      </c>
      <c r="G40" t="s">
        <v>314</v>
      </c>
    </row>
    <row r="41" spans="1:7" x14ac:dyDescent="0.35">
      <c r="A41" t="s">
        <v>279</v>
      </c>
      <c r="B41" t="s">
        <v>317</v>
      </c>
      <c r="C41" t="s">
        <v>291</v>
      </c>
      <c r="D41" t="s">
        <v>317</v>
      </c>
      <c r="E41" t="s">
        <v>312</v>
      </c>
      <c r="F41" t="s">
        <v>313</v>
      </c>
      <c r="G41" t="s">
        <v>314</v>
      </c>
    </row>
    <row r="42" spans="1:7" x14ac:dyDescent="0.35">
      <c r="A42" t="s">
        <v>273</v>
      </c>
      <c r="B42" t="s">
        <v>318</v>
      </c>
      <c r="C42" t="s">
        <v>289</v>
      </c>
      <c r="D42" t="s">
        <v>319</v>
      </c>
      <c r="E42" t="s">
        <v>312</v>
      </c>
      <c r="F42" t="s">
        <v>313</v>
      </c>
      <c r="G42" t="s">
        <v>314</v>
      </c>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2026 Budget Cover</vt:lpstr>
      <vt:lpstr>Controller Cockpit</vt:lpstr>
      <vt:lpstr>Finance</vt:lpstr>
      <vt:lpstr>Forecast</vt:lpstr>
      <vt:lpstr>Workforce &amp; Study</vt:lpstr>
      <vt:lpstr>BOA Projects</vt:lpstr>
      <vt:lpstr>Actions</vt:lpstr>
      <vt:lpstr>Yearly Reconciliation</vt:lpstr>
      <vt:lpstr>Glossary</vt:lpstr>
      <vt:lpstr>Data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Ellingsen</dc:creator>
  <cp:lastModifiedBy>Frank Ellingsen</cp:lastModifiedBy>
  <dcterms:created xsi:type="dcterms:W3CDTF">2026-09-25T18:43:57Z</dcterms:created>
  <dcterms:modified xsi:type="dcterms:W3CDTF">2026-09-25T19:37:58Z</dcterms:modified>
</cp:coreProperties>
</file>